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Keneth Dale Tuazon\Downloads\"/>
    </mc:Choice>
  </mc:AlternateContent>
  <xr:revisionPtr revIDLastSave="0" documentId="13_ncr:1_{2187EDD9-4F21-4A18-9856-4AD581891664}" xr6:coauthVersionLast="47" xr6:coauthVersionMax="47" xr10:uidLastSave="{00000000-0000-0000-0000-000000000000}"/>
  <bookViews>
    <workbookView xWindow="-120" yWindow="-120" windowWidth="29040" windowHeight="17520" xr2:uid="{E140844E-2C45-490E-B100-35C00B5A1015}"/>
  </bookViews>
  <sheets>
    <sheet name="data " sheetId="15" r:id="rId1"/>
    <sheet name="Dashboard" sheetId="7" state="hidden" r:id="rId2"/>
  </sheets>
  <definedNames>
    <definedName name="_2023_CF_comparison">#REF!</definedName>
    <definedName name="_xlnm._FilterDatabase" localSheetId="0" hidden="1">'data '!$A$3:$BH$944</definedName>
    <definedName name="assignability_uploaded">#REF!</definedName>
    <definedName name="bp_uploaded">#REF!</definedName>
    <definedName name="Category">#REF!</definedName>
    <definedName name="COLA">#REF!</definedName>
    <definedName name="COLA_">#REF!</definedName>
    <definedName name="Currency_Label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44365.2824421296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ink">#REF!</definedName>
    <definedName name="long">#REF!</definedName>
    <definedName name="millions">#REF!</definedName>
    <definedName name="months_year">#REF!</definedName>
    <definedName name="SLB">#REF!</definedName>
    <definedName name="SLIMS">#REF!</definedName>
    <definedName name="Status">#REF!</definedName>
    <definedName name="TCO">#REF!</definedName>
    <definedName name="Units">#REF!</definedName>
    <definedName name="Univ">#REF!</definedName>
    <definedName name="vd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" i="15" l="1"/>
  <c r="V1" i="15" l="1"/>
  <c r="W1" i="15"/>
  <c r="BD56" i="15"/>
  <c r="R207" i="15" l="1"/>
  <c r="BH1" i="15"/>
  <c r="BG1" i="15"/>
  <c r="BF1" i="15"/>
  <c r="BE1" i="15"/>
  <c r="BC1" i="15"/>
  <c r="BB1" i="15"/>
  <c r="BA1" i="15"/>
  <c r="AZ1" i="15"/>
  <c r="AY1" i="15"/>
  <c r="AX1" i="15"/>
  <c r="AW1" i="15"/>
  <c r="AV1" i="15"/>
  <c r="AU1" i="15"/>
  <c r="AT1" i="15"/>
  <c r="AS1" i="15"/>
  <c r="AR1" i="15"/>
  <c r="AO1" i="15"/>
  <c r="AN1" i="15"/>
  <c r="AM1" i="15"/>
  <c r="AL1" i="15"/>
  <c r="AK1" i="15"/>
  <c r="AJ1" i="15"/>
  <c r="AI1" i="15"/>
  <c r="AH1" i="15"/>
  <c r="AF1" i="15"/>
  <c r="AE1" i="15"/>
  <c r="AD1" i="15"/>
  <c r="AB1" i="15"/>
  <c r="AA1" i="15"/>
  <c r="Z1" i="15"/>
  <c r="Y1" i="15"/>
  <c r="X1" i="15"/>
  <c r="U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C943" i="15"/>
  <c r="AC942" i="15"/>
  <c r="AC941" i="15"/>
  <c r="AC940" i="15"/>
  <c r="AC939" i="15"/>
  <c r="AC938" i="15"/>
  <c r="AC937" i="15"/>
  <c r="AC936" i="15"/>
  <c r="AC935" i="15"/>
  <c r="AC934" i="15"/>
  <c r="AC933" i="15"/>
  <c r="AC932" i="15"/>
  <c r="AC931" i="15"/>
  <c r="AC930" i="15"/>
  <c r="AC929" i="15"/>
  <c r="AC928" i="15"/>
  <c r="AC927" i="15"/>
  <c r="AC926" i="15"/>
  <c r="AC925" i="15"/>
  <c r="AC924" i="15"/>
  <c r="AC923" i="15"/>
  <c r="AC922" i="15"/>
  <c r="AC921" i="15"/>
  <c r="AC920" i="15"/>
  <c r="AC919" i="15"/>
  <c r="AC918" i="15"/>
  <c r="AC917" i="15"/>
  <c r="AC916" i="15"/>
  <c r="AC915" i="15"/>
  <c r="AC914" i="15"/>
  <c r="AC913" i="15"/>
  <c r="AC912" i="15"/>
  <c r="AC911" i="15"/>
  <c r="AC910" i="15"/>
  <c r="AC909" i="15"/>
  <c r="AC908" i="15"/>
  <c r="AC907" i="15"/>
  <c r="AC906" i="15"/>
  <c r="AC905" i="15"/>
  <c r="AC904" i="15"/>
  <c r="AC903" i="15"/>
  <c r="AC902" i="15"/>
  <c r="AC901" i="15"/>
  <c r="AC900" i="15"/>
  <c r="AC899" i="15"/>
  <c r="AC898" i="15"/>
  <c r="AC897" i="15"/>
  <c r="AC896" i="15"/>
  <c r="AC895" i="15"/>
  <c r="AC894" i="15"/>
  <c r="AC893" i="15"/>
  <c r="AC892" i="15"/>
  <c r="AC891" i="15"/>
  <c r="AC890" i="15"/>
  <c r="AC889" i="15"/>
  <c r="AC888" i="15"/>
  <c r="AC887" i="15"/>
  <c r="AC886" i="15"/>
  <c r="AC885" i="15"/>
  <c r="AC884" i="15"/>
  <c r="AC883" i="15"/>
  <c r="AC882" i="15"/>
  <c r="AC881" i="15"/>
  <c r="AC880" i="15"/>
  <c r="AC879" i="15"/>
  <c r="AC878" i="15"/>
  <c r="AC877" i="15"/>
  <c r="AC876" i="15"/>
  <c r="AC875" i="15"/>
  <c r="AC874" i="15"/>
  <c r="AC873" i="15"/>
  <c r="AC872" i="15"/>
  <c r="AC871" i="15"/>
  <c r="AC870" i="15"/>
  <c r="AC869" i="15"/>
  <c r="AC868" i="15"/>
  <c r="AC867" i="15"/>
  <c r="AC866" i="15"/>
  <c r="AC865" i="15"/>
  <c r="AC864" i="15"/>
  <c r="AC863" i="15"/>
  <c r="AC862" i="15"/>
  <c r="AC861" i="15"/>
  <c r="AC860" i="15"/>
  <c r="AC859" i="15"/>
  <c r="AC858" i="15"/>
  <c r="AC857" i="15"/>
  <c r="AC856" i="15"/>
  <c r="AC855" i="15"/>
  <c r="AC854" i="15"/>
  <c r="AC853" i="15"/>
  <c r="AC852" i="15"/>
  <c r="AC851" i="15"/>
  <c r="AC850" i="15"/>
  <c r="AC849" i="15"/>
  <c r="AC848" i="15"/>
  <c r="AC847" i="15"/>
  <c r="AC846" i="15"/>
  <c r="AC845" i="15"/>
  <c r="AC844" i="15"/>
  <c r="AC843" i="15"/>
  <c r="AC842" i="15"/>
  <c r="AC841" i="15"/>
  <c r="AC840" i="15"/>
  <c r="AC839" i="15"/>
  <c r="AC838" i="15"/>
  <c r="AC837" i="15"/>
  <c r="AC836" i="15"/>
  <c r="AC835" i="15"/>
  <c r="AC834" i="15"/>
  <c r="AC833" i="15"/>
  <c r="AC832" i="15"/>
  <c r="AC831" i="15"/>
  <c r="AC830" i="15"/>
  <c r="AC829" i="15"/>
  <c r="AC828" i="15"/>
  <c r="AC827" i="15"/>
  <c r="AC826" i="15"/>
  <c r="AC825" i="15"/>
  <c r="AC824" i="15"/>
  <c r="AC823" i="15"/>
  <c r="AC822" i="15"/>
  <c r="AC821" i="15"/>
  <c r="AC820" i="15"/>
  <c r="AC819" i="15"/>
  <c r="AC818" i="15"/>
  <c r="AC817" i="15"/>
  <c r="AC816" i="15"/>
  <c r="AC815" i="15"/>
  <c r="AC814" i="15"/>
  <c r="AC813" i="15"/>
  <c r="AC812" i="15"/>
  <c r="AC811" i="15"/>
  <c r="AC810" i="15"/>
  <c r="AC809" i="15"/>
  <c r="AC808" i="15"/>
  <c r="AC807" i="15"/>
  <c r="AC806" i="15"/>
  <c r="AC805" i="15"/>
  <c r="AC804" i="15"/>
  <c r="AC803" i="15"/>
  <c r="AC802" i="15"/>
  <c r="AC801" i="15"/>
  <c r="AC800" i="15"/>
  <c r="AC799" i="15"/>
  <c r="AC798" i="15"/>
  <c r="AC797" i="15"/>
  <c r="AC796" i="15"/>
  <c r="AC795" i="15"/>
  <c r="AC794" i="15"/>
  <c r="AC793" i="15"/>
  <c r="AC792" i="15"/>
  <c r="AC791" i="15"/>
  <c r="AC790" i="15"/>
  <c r="AC789" i="15"/>
  <c r="AC788" i="15"/>
  <c r="AC787" i="15"/>
  <c r="AC786" i="15"/>
  <c r="AC785" i="15"/>
  <c r="AC784" i="15"/>
  <c r="AC783" i="15"/>
  <c r="AC782" i="15"/>
  <c r="AC781" i="15"/>
  <c r="AC780" i="15"/>
  <c r="AC779" i="15"/>
  <c r="AC778" i="15"/>
  <c r="AC777" i="15"/>
  <c r="AC776" i="15"/>
  <c r="AC775" i="15"/>
  <c r="AC774" i="15"/>
  <c r="AC773" i="15"/>
  <c r="AC772" i="15"/>
  <c r="AC771" i="15"/>
  <c r="AC770" i="15"/>
  <c r="AC769" i="15"/>
  <c r="AC768" i="15"/>
  <c r="AC767" i="15"/>
  <c r="AC766" i="15"/>
  <c r="AC765" i="15"/>
  <c r="AC764" i="15"/>
  <c r="AC763" i="15"/>
  <c r="AC762" i="15"/>
  <c r="AC761" i="15"/>
  <c r="AC760" i="15"/>
  <c r="AC759" i="15"/>
  <c r="AC758" i="15"/>
  <c r="AC757" i="15"/>
  <c r="AC756" i="15"/>
  <c r="AC755" i="15"/>
  <c r="AC754" i="15"/>
  <c r="AC753" i="15"/>
  <c r="AC752" i="15"/>
  <c r="AC751" i="15"/>
  <c r="AC750" i="15"/>
  <c r="AC749" i="15"/>
  <c r="AC748" i="15"/>
  <c r="AC747" i="15"/>
  <c r="AC746" i="15"/>
  <c r="AC745" i="15"/>
  <c r="AC744" i="15"/>
  <c r="AC743" i="15"/>
  <c r="AC742" i="15"/>
  <c r="AC741" i="15"/>
  <c r="AC740" i="15"/>
  <c r="AC739" i="15"/>
  <c r="AC738" i="15"/>
  <c r="AC737" i="15"/>
  <c r="AC736" i="15"/>
  <c r="AC735" i="15"/>
  <c r="AC734" i="15"/>
  <c r="AC733" i="15"/>
  <c r="AC732" i="15"/>
  <c r="AC731" i="15"/>
  <c r="AC730" i="15"/>
  <c r="AC729" i="15"/>
  <c r="AC728" i="15"/>
  <c r="AC727" i="15"/>
  <c r="AC726" i="15"/>
  <c r="AC725" i="15"/>
  <c r="AC724" i="15"/>
  <c r="AC723" i="15"/>
  <c r="AC722" i="15"/>
  <c r="AC721" i="15"/>
  <c r="AC720" i="15"/>
  <c r="AC719" i="15"/>
  <c r="AC718" i="15"/>
  <c r="AC717" i="15"/>
  <c r="AC716" i="15"/>
  <c r="AC715" i="15"/>
  <c r="AC714" i="15"/>
  <c r="AC713" i="15"/>
  <c r="AC712" i="15"/>
  <c r="AC711" i="15"/>
  <c r="AC710" i="15"/>
  <c r="AC709" i="15"/>
  <c r="AC708" i="15"/>
  <c r="AC707" i="15"/>
  <c r="AC706" i="15"/>
  <c r="AC705" i="15"/>
  <c r="AC704" i="15"/>
  <c r="AC703" i="15"/>
  <c r="AC702" i="15"/>
  <c r="AC701" i="15"/>
  <c r="AC700" i="15"/>
  <c r="AC699" i="15"/>
  <c r="AC698" i="15"/>
  <c r="AC697" i="15"/>
  <c r="AC696" i="15"/>
  <c r="AC695" i="15"/>
  <c r="AC694" i="15"/>
  <c r="AC693" i="15"/>
  <c r="AC692" i="15"/>
  <c r="AC691" i="15"/>
  <c r="AC690" i="15"/>
  <c r="AC689" i="15"/>
  <c r="AC688" i="15"/>
  <c r="AC687" i="15"/>
  <c r="AC686" i="15"/>
  <c r="AC685" i="15"/>
  <c r="AC684" i="15"/>
  <c r="AC683" i="15"/>
  <c r="AC682" i="15"/>
  <c r="AC681" i="15"/>
  <c r="AC680" i="15"/>
  <c r="AC679" i="15"/>
  <c r="AC678" i="15"/>
  <c r="AC677" i="15"/>
  <c r="AC676" i="15"/>
  <c r="AC675" i="15"/>
  <c r="AC674" i="15"/>
  <c r="AC673" i="15"/>
  <c r="AC672" i="15"/>
  <c r="AC671" i="15"/>
  <c r="AC670" i="15"/>
  <c r="AC669" i="15"/>
  <c r="AC668" i="15"/>
  <c r="AC667" i="15"/>
  <c r="AC666" i="15"/>
  <c r="AC665" i="15"/>
  <c r="AC664" i="15"/>
  <c r="AC663" i="15"/>
  <c r="AC662" i="15"/>
  <c r="AC661" i="15"/>
  <c r="AC660" i="15"/>
  <c r="AC659" i="15"/>
  <c r="AC658" i="15"/>
  <c r="AC657" i="15"/>
  <c r="AC656" i="15"/>
  <c r="AC655" i="15"/>
  <c r="AC654" i="15"/>
  <c r="AC653" i="15"/>
  <c r="AC652" i="15"/>
  <c r="AC651" i="15"/>
  <c r="AC650" i="15"/>
  <c r="AC649" i="15"/>
  <c r="AC648" i="15"/>
  <c r="AC647" i="15"/>
  <c r="AC646" i="15"/>
  <c r="AC645" i="15"/>
  <c r="AC644" i="15"/>
  <c r="AC643" i="15"/>
  <c r="AC642" i="15"/>
  <c r="AC641" i="15"/>
  <c r="AC640" i="15"/>
  <c r="AC639" i="15"/>
  <c r="AC638" i="15"/>
  <c r="AC637" i="15"/>
  <c r="AC636" i="15"/>
  <c r="AC635" i="15"/>
  <c r="AC634" i="15"/>
  <c r="AC633" i="15"/>
  <c r="AC632" i="15"/>
  <c r="AC631" i="15"/>
  <c r="AC630" i="15"/>
  <c r="AC629" i="15"/>
  <c r="AC628" i="15"/>
  <c r="AC627" i="15"/>
  <c r="AC626" i="15"/>
  <c r="AC625" i="15"/>
  <c r="AC624" i="15"/>
  <c r="AC623" i="15"/>
  <c r="AC622" i="15"/>
  <c r="AC621" i="15"/>
  <c r="AC620" i="15"/>
  <c r="AC619" i="15"/>
  <c r="AC618" i="15"/>
  <c r="AC617" i="15"/>
  <c r="AC616" i="15"/>
  <c r="AC615" i="15"/>
  <c r="AC614" i="15"/>
  <c r="AC613" i="15"/>
  <c r="AC612" i="15"/>
  <c r="AC611" i="15"/>
  <c r="AC610" i="15"/>
  <c r="AC609" i="15"/>
  <c r="AC608" i="15"/>
  <c r="AC607" i="15"/>
  <c r="AC606" i="15"/>
  <c r="AC605" i="15"/>
  <c r="AC604" i="15"/>
  <c r="AC603" i="15"/>
  <c r="AC602" i="15"/>
  <c r="AC601" i="15"/>
  <c r="AC600" i="15"/>
  <c r="AC599" i="15"/>
  <c r="AC598" i="15"/>
  <c r="AC597" i="15"/>
  <c r="AC596" i="15"/>
  <c r="AC595" i="15"/>
  <c r="AC594" i="15"/>
  <c r="AC593" i="15"/>
  <c r="AC592" i="15"/>
  <c r="AC591" i="15"/>
  <c r="AC590" i="15"/>
  <c r="AC589" i="15"/>
  <c r="AC588" i="15"/>
  <c r="AC587" i="15"/>
  <c r="AC586" i="15"/>
  <c r="AC585" i="15"/>
  <c r="AC584" i="15"/>
  <c r="AC583" i="15"/>
  <c r="AC582" i="15"/>
  <c r="AC581" i="15"/>
  <c r="AC580" i="15"/>
  <c r="AC579" i="15"/>
  <c r="AC578" i="15"/>
  <c r="AC577" i="15"/>
  <c r="AC576" i="15"/>
  <c r="AC575" i="15"/>
  <c r="AC574" i="15"/>
  <c r="AC573" i="15"/>
  <c r="AC572" i="15"/>
  <c r="AC571" i="15"/>
  <c r="AC570" i="15"/>
  <c r="AC569" i="15"/>
  <c r="AC568" i="15"/>
  <c r="AC567" i="15"/>
  <c r="AC566" i="15"/>
  <c r="AC565" i="15"/>
  <c r="AC564" i="15"/>
  <c r="AC563" i="15"/>
  <c r="AC562" i="15"/>
  <c r="AC561" i="15"/>
  <c r="AC560" i="15"/>
  <c r="AC559" i="15"/>
  <c r="AC558" i="15"/>
  <c r="AC557" i="15"/>
  <c r="AC556" i="15"/>
  <c r="AC555" i="15"/>
  <c r="AC554" i="15"/>
  <c r="AC553" i="15"/>
  <c r="AC552" i="15"/>
  <c r="AC551" i="15"/>
  <c r="AC550" i="15"/>
  <c r="AC549" i="15"/>
  <c r="AC548" i="15"/>
  <c r="AC547" i="15"/>
  <c r="AC546" i="15"/>
  <c r="AC545" i="15"/>
  <c r="AC544" i="15"/>
  <c r="AC543" i="15"/>
  <c r="AC542" i="15"/>
  <c r="AC541" i="15"/>
  <c r="AC540" i="15"/>
  <c r="AC539" i="15"/>
  <c r="AC538" i="15"/>
  <c r="AC537" i="15"/>
  <c r="AC536" i="15"/>
  <c r="AC535" i="15"/>
  <c r="AC534" i="15"/>
  <c r="AC533" i="15"/>
  <c r="AC532" i="15"/>
  <c r="AC531" i="15"/>
  <c r="AC530" i="15"/>
  <c r="AC529" i="15"/>
  <c r="AC528" i="15"/>
  <c r="AC527" i="15"/>
  <c r="AC526" i="15"/>
  <c r="AC525" i="15"/>
  <c r="AC524" i="15"/>
  <c r="AC523" i="15"/>
  <c r="AC522" i="15"/>
  <c r="AC521" i="15"/>
  <c r="AC520" i="15"/>
  <c r="AC519" i="15"/>
  <c r="AC518" i="15"/>
  <c r="AC517" i="15"/>
  <c r="AC516" i="15"/>
  <c r="AC515" i="15"/>
  <c r="AC514" i="15"/>
  <c r="AC513" i="15"/>
  <c r="AC512" i="15"/>
  <c r="AC511" i="15"/>
  <c r="AC510" i="15"/>
  <c r="AC509" i="15"/>
  <c r="AC508" i="15"/>
  <c r="AC507" i="15"/>
  <c r="AC506" i="15"/>
  <c r="AC505" i="15"/>
  <c r="AC504" i="15"/>
  <c r="AC503" i="15"/>
  <c r="AC502" i="15"/>
  <c r="AC501" i="15"/>
  <c r="AC500" i="15"/>
  <c r="AC499" i="15"/>
  <c r="AC498" i="15"/>
  <c r="AC497" i="15"/>
  <c r="AC496" i="15"/>
  <c r="AC495" i="15"/>
  <c r="AC494" i="15"/>
  <c r="AC493" i="15"/>
  <c r="AC492" i="15"/>
  <c r="AC491" i="15"/>
  <c r="AC490" i="15"/>
  <c r="AC489" i="15"/>
  <c r="AC488" i="15"/>
  <c r="AC487" i="15"/>
  <c r="AC486" i="15"/>
  <c r="AC485" i="15"/>
  <c r="AC484" i="15"/>
  <c r="AC483" i="15"/>
  <c r="AC482" i="15"/>
  <c r="AC481" i="15"/>
  <c r="AC480" i="15"/>
  <c r="AC479" i="15"/>
  <c r="AC478" i="15"/>
  <c r="AC477" i="15"/>
  <c r="AC476" i="15"/>
  <c r="AC475" i="15"/>
  <c r="AC474" i="15"/>
  <c r="AC473" i="15"/>
  <c r="AC472" i="15"/>
  <c r="AC471" i="15"/>
  <c r="AC470" i="15"/>
  <c r="AC469" i="15"/>
  <c r="AC468" i="15"/>
  <c r="AC467" i="15"/>
  <c r="AC466" i="15"/>
  <c r="AC465" i="15"/>
  <c r="AC464" i="15"/>
  <c r="AC463" i="15"/>
  <c r="AC462" i="15"/>
  <c r="AC461" i="15"/>
  <c r="AC460" i="15"/>
  <c r="AC459" i="15"/>
  <c r="AC458" i="15"/>
  <c r="AC457" i="15"/>
  <c r="AC456" i="15"/>
  <c r="AC455" i="15"/>
  <c r="AC454" i="15"/>
  <c r="AC453" i="15"/>
  <c r="AC452" i="15"/>
  <c r="AC451" i="15"/>
  <c r="AC450" i="15"/>
  <c r="AC449" i="15"/>
  <c r="AC448" i="15"/>
  <c r="AC447" i="15"/>
  <c r="AC446" i="15"/>
  <c r="AC445" i="15"/>
  <c r="AC444" i="15"/>
  <c r="AC443" i="15"/>
  <c r="AC442" i="15"/>
  <c r="AC441" i="15"/>
  <c r="AC440" i="15"/>
  <c r="AC439" i="15"/>
  <c r="AC438" i="15"/>
  <c r="AC437" i="15"/>
  <c r="AC436" i="15"/>
  <c r="AC435" i="15"/>
  <c r="AC434" i="15"/>
  <c r="AC433" i="15"/>
  <c r="AC432" i="15"/>
  <c r="AC431" i="15"/>
  <c r="AC430" i="15"/>
  <c r="AC429" i="15"/>
  <c r="AC428" i="15"/>
  <c r="AC427" i="15"/>
  <c r="AC426" i="15"/>
  <c r="AC425" i="15"/>
  <c r="AC424" i="15"/>
  <c r="AC423" i="15"/>
  <c r="AC422" i="15"/>
  <c r="AC421" i="15"/>
  <c r="AC420" i="15"/>
  <c r="AC419" i="15"/>
  <c r="AC418" i="15"/>
  <c r="AC417" i="15"/>
  <c r="AC416" i="15"/>
  <c r="AC415" i="15"/>
  <c r="AC414" i="15"/>
  <c r="AC413" i="15"/>
  <c r="AC412" i="15"/>
  <c r="AC411" i="15"/>
  <c r="AC410" i="15"/>
  <c r="AC409" i="15"/>
  <c r="AC408" i="15"/>
  <c r="AC407" i="15"/>
  <c r="AC406" i="15"/>
  <c r="AC405" i="15"/>
  <c r="AC404" i="15"/>
  <c r="AC403" i="15"/>
  <c r="AC402" i="15"/>
  <c r="AC401" i="15"/>
  <c r="AC400" i="15"/>
  <c r="AC399" i="15"/>
  <c r="AC398" i="15"/>
  <c r="AC397" i="15"/>
  <c r="AC396" i="15"/>
  <c r="AC395" i="15"/>
  <c r="AC394" i="15"/>
  <c r="AC393" i="15"/>
  <c r="AC392" i="15"/>
  <c r="AC391" i="15"/>
  <c r="AC390" i="15"/>
  <c r="AC389" i="15"/>
  <c r="AC388" i="15"/>
  <c r="AC387" i="15"/>
  <c r="AC386" i="15"/>
  <c r="AC385" i="15"/>
  <c r="AC384" i="15"/>
  <c r="AC383" i="15"/>
  <c r="AC382" i="15"/>
  <c r="AC381" i="15"/>
  <c r="AC380" i="15"/>
  <c r="AC379" i="15"/>
  <c r="AC378" i="15"/>
  <c r="AC377" i="15"/>
  <c r="AC376" i="15"/>
  <c r="AC375" i="15"/>
  <c r="AC374" i="15"/>
  <c r="AC373" i="15"/>
  <c r="AC372" i="15"/>
  <c r="AC371" i="15"/>
  <c r="AC370" i="15"/>
  <c r="AC369" i="15"/>
  <c r="AC368" i="15"/>
  <c r="AC367" i="15"/>
  <c r="AC366" i="15"/>
  <c r="AC365" i="15"/>
  <c r="AC364" i="15"/>
  <c r="AC363" i="15"/>
  <c r="AC362" i="15"/>
  <c r="AC361" i="15"/>
  <c r="AC360" i="15"/>
  <c r="AC359" i="15"/>
  <c r="AC358" i="15"/>
  <c r="AC357" i="15"/>
  <c r="AC356" i="15"/>
  <c r="AC355" i="15"/>
  <c r="AC354" i="15"/>
  <c r="AC353" i="15"/>
  <c r="AC352" i="15"/>
  <c r="AC351" i="15"/>
  <c r="AC350" i="15"/>
  <c r="AC349" i="15"/>
  <c r="AC348" i="15"/>
  <c r="AC347" i="15"/>
  <c r="AC346" i="15"/>
  <c r="AC345" i="15"/>
  <c r="AC344" i="15"/>
  <c r="AC343" i="15"/>
  <c r="AC342" i="15"/>
  <c r="AC341" i="15"/>
  <c r="AC340" i="15"/>
  <c r="AC339" i="15"/>
  <c r="AC338" i="15"/>
  <c r="AC337" i="15"/>
  <c r="AC336" i="15"/>
  <c r="AC335" i="15"/>
  <c r="AC334" i="15"/>
  <c r="AC333" i="15"/>
  <c r="AC332" i="15"/>
  <c r="AC331" i="15"/>
  <c r="AC330" i="15"/>
  <c r="AC329" i="15"/>
  <c r="AC328" i="15"/>
  <c r="AC327" i="15"/>
  <c r="AC326" i="15"/>
  <c r="AC325" i="15"/>
  <c r="AC324" i="15"/>
  <c r="AC323" i="15"/>
  <c r="AC322" i="15"/>
  <c r="AC321" i="15"/>
  <c r="AC320" i="15"/>
  <c r="AC319" i="15"/>
  <c r="AC318" i="15"/>
  <c r="AC317" i="15"/>
  <c r="AC316" i="15"/>
  <c r="AC315" i="15"/>
  <c r="AC314" i="15"/>
  <c r="AC313" i="15"/>
  <c r="AC312" i="15"/>
  <c r="AC311" i="15"/>
  <c r="AC310" i="15"/>
  <c r="AC309" i="15"/>
  <c r="AC308" i="15"/>
  <c r="AC307" i="15"/>
  <c r="AC306" i="15"/>
  <c r="AC305" i="15"/>
  <c r="AC304" i="15"/>
  <c r="AC303" i="15"/>
  <c r="AC302" i="15"/>
  <c r="AC301" i="15"/>
  <c r="AC300" i="15"/>
  <c r="AC299" i="15"/>
  <c r="AC298" i="15"/>
  <c r="AC297" i="15"/>
  <c r="AC296" i="15"/>
  <c r="AC295" i="15"/>
  <c r="AC294" i="15"/>
  <c r="AC293" i="15"/>
  <c r="AC292" i="15"/>
  <c r="AC291" i="15"/>
  <c r="AC290" i="15"/>
  <c r="AC289" i="15"/>
  <c r="AC288" i="15"/>
  <c r="AC287" i="15"/>
  <c r="AC286" i="15"/>
  <c r="AC285" i="15"/>
  <c r="AC284" i="15"/>
  <c r="AC283" i="15"/>
  <c r="AC282" i="15"/>
  <c r="AC281" i="15"/>
  <c r="AC280" i="15"/>
  <c r="AC279" i="15"/>
  <c r="AC278" i="15"/>
  <c r="AC277" i="15"/>
  <c r="AC276" i="15"/>
  <c r="AC275" i="15"/>
  <c r="AC274" i="15"/>
  <c r="AC273" i="15"/>
  <c r="AC272" i="15"/>
  <c r="AC271" i="15"/>
  <c r="AC270" i="15"/>
  <c r="AC269" i="15"/>
  <c r="AC268" i="15"/>
  <c r="AC267" i="15"/>
  <c r="AC266" i="15"/>
  <c r="AC265" i="15"/>
  <c r="AC264" i="15"/>
  <c r="AC263" i="15"/>
  <c r="AC262" i="15"/>
  <c r="AC261" i="15"/>
  <c r="AC260" i="15"/>
  <c r="AC259" i="15"/>
  <c r="AC258" i="15"/>
  <c r="AC257" i="15"/>
  <c r="AC256" i="15"/>
  <c r="AC255" i="15"/>
  <c r="AC254" i="15"/>
  <c r="AC253" i="15"/>
  <c r="AC252" i="15"/>
  <c r="AC251" i="15"/>
  <c r="AC250" i="15"/>
  <c r="AC249" i="15"/>
  <c r="AC248" i="15"/>
  <c r="AC247" i="15"/>
  <c r="AC246" i="15"/>
  <c r="AC245" i="15"/>
  <c r="AC244" i="15"/>
  <c r="AC243" i="15"/>
  <c r="AC242" i="15"/>
  <c r="AC241" i="15"/>
  <c r="AC240" i="15"/>
  <c r="AC239" i="15"/>
  <c r="AC238" i="15"/>
  <c r="AC237" i="15"/>
  <c r="AC236" i="15"/>
  <c r="AC235" i="15"/>
  <c r="AC234" i="15"/>
  <c r="AC233" i="15"/>
  <c r="AC232" i="15"/>
  <c r="AC231" i="15"/>
  <c r="AC230" i="15"/>
  <c r="AC229" i="15"/>
  <c r="AC228" i="15"/>
  <c r="AC227" i="15"/>
  <c r="AC226" i="15"/>
  <c r="AC225" i="15"/>
  <c r="AC224" i="15"/>
  <c r="AC223" i="15"/>
  <c r="AC222" i="15"/>
  <c r="AC221" i="15"/>
  <c r="AC220" i="15"/>
  <c r="AC219" i="15"/>
  <c r="AC218" i="15"/>
  <c r="AC217" i="15"/>
  <c r="AC216" i="15"/>
  <c r="AC215" i="15"/>
  <c r="AC214" i="15"/>
  <c r="AC213" i="15"/>
  <c r="AC212" i="15"/>
  <c r="AC211" i="15"/>
  <c r="AC210" i="15"/>
  <c r="AC209" i="15"/>
  <c r="AC208" i="15"/>
  <c r="AC207" i="15"/>
  <c r="AC206" i="15"/>
  <c r="AC205" i="15"/>
  <c r="AC204" i="15"/>
  <c r="AC203" i="15"/>
  <c r="AC202" i="15"/>
  <c r="AC201" i="15"/>
  <c r="AC200" i="15"/>
  <c r="AC199" i="15"/>
  <c r="AC198" i="15"/>
  <c r="AC197" i="15"/>
  <c r="AC196" i="15"/>
  <c r="AC195" i="15"/>
  <c r="AC194" i="15"/>
  <c r="AC193" i="15"/>
  <c r="AC192" i="15"/>
  <c r="AC191" i="15"/>
  <c r="AC190" i="15"/>
  <c r="AC189" i="15"/>
  <c r="AC188" i="15"/>
  <c r="AC187" i="15"/>
  <c r="AC186" i="15"/>
  <c r="AC185" i="15"/>
  <c r="AC184" i="15"/>
  <c r="AC183" i="15"/>
  <c r="AC182" i="15"/>
  <c r="AC181" i="15"/>
  <c r="AC180" i="15"/>
  <c r="AC179" i="15"/>
  <c r="AC178" i="15"/>
  <c r="AC177" i="15"/>
  <c r="AC176" i="15"/>
  <c r="AC175" i="15"/>
  <c r="AC174" i="15"/>
  <c r="AC173" i="15"/>
  <c r="AC172" i="15"/>
  <c r="AC171" i="15"/>
  <c r="AC170" i="15"/>
  <c r="AC169" i="15"/>
  <c r="AC168" i="15"/>
  <c r="AC167" i="15"/>
  <c r="AC166" i="15"/>
  <c r="AC165" i="15"/>
  <c r="AC164" i="15"/>
  <c r="AC163" i="15"/>
  <c r="AC162" i="15"/>
  <c r="AC161" i="15"/>
  <c r="AC160" i="15"/>
  <c r="AC159" i="15"/>
  <c r="AC158" i="15"/>
  <c r="AC157" i="15"/>
  <c r="AC156" i="15"/>
  <c r="AC154" i="15"/>
  <c r="AC153" i="15"/>
  <c r="AC152" i="15"/>
  <c r="AC151" i="15"/>
  <c r="AC150" i="15"/>
  <c r="AC149" i="15"/>
  <c r="AC148" i="15"/>
  <c r="AC147" i="15"/>
  <c r="AC146" i="15"/>
  <c r="AC145" i="15"/>
  <c r="AC144" i="15"/>
  <c r="AC143" i="15"/>
  <c r="AC142" i="15"/>
  <c r="AC141" i="15"/>
  <c r="AC140" i="15"/>
  <c r="AC139" i="15"/>
  <c r="AC138" i="15"/>
  <c r="AC137" i="15"/>
  <c r="AC136" i="15"/>
  <c r="AC135" i="15"/>
  <c r="AC134" i="15"/>
  <c r="AC133" i="15"/>
  <c r="AC132" i="15"/>
  <c r="AC131" i="15"/>
  <c r="AC130" i="15"/>
  <c r="AC129" i="15"/>
  <c r="AC128" i="15"/>
  <c r="AC127" i="15"/>
  <c r="AC126" i="15"/>
  <c r="AC125" i="15"/>
  <c r="AC124" i="15"/>
  <c r="AC123" i="15"/>
  <c r="AC122" i="15"/>
  <c r="AC121" i="15"/>
  <c r="AC120" i="15"/>
  <c r="AC119" i="15"/>
  <c r="AC118" i="15"/>
  <c r="AC117" i="15"/>
  <c r="AC116" i="15"/>
  <c r="AC115" i="15"/>
  <c r="AC114" i="15"/>
  <c r="AC113" i="15"/>
  <c r="AC112" i="15"/>
  <c r="AC111" i="15"/>
  <c r="AC110" i="15"/>
  <c r="AC109" i="15"/>
  <c r="AC108" i="15"/>
  <c r="AC107" i="15"/>
  <c r="AC106" i="15"/>
  <c r="AC105" i="15"/>
  <c r="AC104" i="15"/>
  <c r="AC103" i="15"/>
  <c r="AC102" i="15"/>
  <c r="AC101" i="15"/>
  <c r="AC100" i="15"/>
  <c r="AC99" i="15"/>
  <c r="AC98" i="15"/>
  <c r="AC97" i="15"/>
  <c r="AC96" i="15"/>
  <c r="AC95" i="15"/>
  <c r="AC94" i="15"/>
  <c r="AC93" i="15"/>
  <c r="AC92" i="15"/>
  <c r="AC91" i="15"/>
  <c r="AC90" i="15"/>
  <c r="AC89" i="15"/>
  <c r="AC88" i="15"/>
  <c r="AC87" i="15"/>
  <c r="AC86" i="15"/>
  <c r="AC85" i="15"/>
  <c r="AC84" i="15"/>
  <c r="AC83" i="15"/>
  <c r="AC82" i="15"/>
  <c r="AC81" i="15"/>
  <c r="AC80" i="15"/>
  <c r="AC79" i="15"/>
  <c r="AC78" i="15"/>
  <c r="AC77" i="15"/>
  <c r="AC76" i="15"/>
  <c r="AC75" i="15"/>
  <c r="AC74" i="15"/>
  <c r="AC73" i="15"/>
  <c r="AC72" i="15"/>
  <c r="AC71" i="15"/>
  <c r="AC70" i="15"/>
  <c r="AC69" i="15"/>
  <c r="AC68" i="15"/>
  <c r="AC67" i="15"/>
  <c r="AC66" i="15"/>
  <c r="AC65" i="15"/>
  <c r="AC64" i="15"/>
  <c r="AC63" i="15"/>
  <c r="AC62" i="15"/>
  <c r="AC61" i="15"/>
  <c r="AC60" i="15"/>
  <c r="AC59" i="15"/>
  <c r="AC58" i="15"/>
  <c r="AC57" i="15"/>
  <c r="AC56" i="15"/>
  <c r="AC55" i="15"/>
  <c r="AC54" i="15"/>
  <c r="AC53" i="15"/>
  <c r="AC52" i="15"/>
  <c r="AC51" i="15"/>
  <c r="AC50" i="15"/>
  <c r="AC49" i="15"/>
  <c r="AC48" i="15"/>
  <c r="AC47" i="15"/>
  <c r="AC46" i="15"/>
  <c r="AC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AC30" i="15"/>
  <c r="AC29" i="15"/>
  <c r="AC28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AC5" i="15"/>
  <c r="AC4" i="15"/>
  <c r="AC155" i="15"/>
  <c r="R416" i="15"/>
  <c r="R517" i="15"/>
  <c r="R5" i="15"/>
  <c r="S5" i="15"/>
  <c r="T5" i="15"/>
  <c r="R6" i="15"/>
  <c r="S6" i="15"/>
  <c r="T6" i="15"/>
  <c r="R7" i="15"/>
  <c r="S7" i="15"/>
  <c r="T7" i="15"/>
  <c r="R8" i="15"/>
  <c r="S8" i="15"/>
  <c r="T8" i="15"/>
  <c r="R9" i="15"/>
  <c r="S9" i="15"/>
  <c r="T9" i="15"/>
  <c r="R10" i="15"/>
  <c r="S10" i="15"/>
  <c r="T10" i="15"/>
  <c r="R11" i="15"/>
  <c r="S11" i="15"/>
  <c r="T11" i="15"/>
  <c r="R12" i="15"/>
  <c r="S12" i="15"/>
  <c r="T12" i="15"/>
  <c r="R13" i="15"/>
  <c r="S13" i="15"/>
  <c r="T13" i="15"/>
  <c r="R14" i="15"/>
  <c r="S14" i="15"/>
  <c r="T14" i="15"/>
  <c r="R15" i="15"/>
  <c r="S15" i="15"/>
  <c r="T15" i="15"/>
  <c r="R16" i="15"/>
  <c r="S16" i="15"/>
  <c r="T16" i="15"/>
  <c r="R17" i="15"/>
  <c r="S17" i="15"/>
  <c r="T17" i="15"/>
  <c r="R18" i="15"/>
  <c r="S18" i="15"/>
  <c r="T18" i="15"/>
  <c r="R19" i="15"/>
  <c r="S19" i="15"/>
  <c r="T19" i="15"/>
  <c r="R20" i="15"/>
  <c r="S20" i="15"/>
  <c r="T20" i="15"/>
  <c r="R21" i="15"/>
  <c r="S21" i="15"/>
  <c r="T21" i="15"/>
  <c r="R22" i="15"/>
  <c r="S22" i="15"/>
  <c r="T22" i="15"/>
  <c r="R23" i="15"/>
  <c r="S23" i="15"/>
  <c r="T23" i="15"/>
  <c r="R24" i="15"/>
  <c r="S24" i="15"/>
  <c r="T24" i="15"/>
  <c r="R25" i="15"/>
  <c r="S25" i="15"/>
  <c r="T25" i="15"/>
  <c r="R26" i="15"/>
  <c r="S26" i="15"/>
  <c r="T26" i="15"/>
  <c r="R27" i="15"/>
  <c r="S27" i="15"/>
  <c r="T27" i="15"/>
  <c r="R28" i="15"/>
  <c r="S28" i="15"/>
  <c r="T28" i="15"/>
  <c r="R29" i="15"/>
  <c r="S29" i="15"/>
  <c r="T29" i="15"/>
  <c r="R30" i="15"/>
  <c r="S30" i="15"/>
  <c r="T30" i="15"/>
  <c r="R31" i="15"/>
  <c r="S31" i="15"/>
  <c r="T31" i="15"/>
  <c r="R32" i="15"/>
  <c r="S32" i="15"/>
  <c r="T32" i="15"/>
  <c r="S33" i="15"/>
  <c r="T33" i="15"/>
  <c r="R34" i="15"/>
  <c r="S34" i="15"/>
  <c r="T34" i="15"/>
  <c r="R35" i="15"/>
  <c r="S35" i="15"/>
  <c r="T35" i="15"/>
  <c r="R36" i="15"/>
  <c r="S36" i="15"/>
  <c r="T36" i="15"/>
  <c r="R37" i="15"/>
  <c r="S37" i="15"/>
  <c r="T37" i="15"/>
  <c r="R38" i="15"/>
  <c r="S38" i="15"/>
  <c r="T38" i="15"/>
  <c r="R39" i="15"/>
  <c r="S39" i="15"/>
  <c r="T39" i="15"/>
  <c r="R40" i="15"/>
  <c r="S40" i="15"/>
  <c r="T40" i="15"/>
  <c r="R41" i="15"/>
  <c r="S41" i="15"/>
  <c r="T41" i="15"/>
  <c r="R42" i="15"/>
  <c r="S42" i="15"/>
  <c r="T42" i="15"/>
  <c r="R43" i="15"/>
  <c r="S43" i="15"/>
  <c r="T43" i="15"/>
  <c r="R44" i="15"/>
  <c r="S44" i="15"/>
  <c r="T44" i="15"/>
  <c r="R45" i="15"/>
  <c r="S45" i="15"/>
  <c r="T45" i="15"/>
  <c r="R46" i="15"/>
  <c r="S46" i="15"/>
  <c r="T46" i="15"/>
  <c r="R47" i="15"/>
  <c r="S47" i="15"/>
  <c r="T47" i="15"/>
  <c r="R48" i="15"/>
  <c r="S48" i="15"/>
  <c r="T48" i="15"/>
  <c r="R49" i="15"/>
  <c r="S49" i="15"/>
  <c r="T49" i="15"/>
  <c r="R50" i="15"/>
  <c r="S50" i="15"/>
  <c r="T50" i="15"/>
  <c r="R51" i="15"/>
  <c r="S51" i="15"/>
  <c r="T51" i="15"/>
  <c r="R52" i="15"/>
  <c r="S52" i="15"/>
  <c r="T52" i="15"/>
  <c r="R53" i="15"/>
  <c r="S53" i="15"/>
  <c r="T53" i="15"/>
  <c r="R54" i="15"/>
  <c r="S54" i="15"/>
  <c r="T54" i="15"/>
  <c r="R55" i="15"/>
  <c r="S55" i="15"/>
  <c r="T55" i="15"/>
  <c r="R56" i="15"/>
  <c r="S56" i="15"/>
  <c r="T56" i="15"/>
  <c r="R57" i="15"/>
  <c r="S57" i="15"/>
  <c r="T57" i="15"/>
  <c r="R58" i="15"/>
  <c r="S58" i="15"/>
  <c r="T58" i="15"/>
  <c r="R59" i="15"/>
  <c r="S59" i="15"/>
  <c r="T59" i="15"/>
  <c r="R60" i="15"/>
  <c r="S60" i="15"/>
  <c r="T60" i="15"/>
  <c r="R61" i="15"/>
  <c r="S61" i="15"/>
  <c r="T61" i="15"/>
  <c r="R62" i="15"/>
  <c r="S62" i="15"/>
  <c r="T62" i="15"/>
  <c r="R63" i="15"/>
  <c r="S63" i="15"/>
  <c r="T63" i="15"/>
  <c r="R64" i="15"/>
  <c r="S64" i="15"/>
  <c r="T64" i="15"/>
  <c r="R65" i="15"/>
  <c r="S65" i="15"/>
  <c r="T65" i="15"/>
  <c r="R66" i="15"/>
  <c r="S66" i="15"/>
  <c r="T66" i="15"/>
  <c r="R67" i="15"/>
  <c r="S67" i="15"/>
  <c r="T67" i="15"/>
  <c r="R68" i="15"/>
  <c r="S68" i="15"/>
  <c r="T68" i="15"/>
  <c r="R69" i="15"/>
  <c r="S69" i="15"/>
  <c r="T69" i="15"/>
  <c r="R70" i="15"/>
  <c r="S70" i="15"/>
  <c r="T70" i="15"/>
  <c r="R71" i="15"/>
  <c r="S71" i="15"/>
  <c r="T71" i="15"/>
  <c r="R72" i="15"/>
  <c r="S72" i="15"/>
  <c r="T72" i="15"/>
  <c r="R73" i="15"/>
  <c r="S73" i="15"/>
  <c r="T73" i="15"/>
  <c r="R74" i="15"/>
  <c r="S74" i="15"/>
  <c r="T74" i="15"/>
  <c r="R75" i="15"/>
  <c r="S75" i="15"/>
  <c r="T75" i="15"/>
  <c r="R76" i="15"/>
  <c r="S76" i="15"/>
  <c r="T76" i="15"/>
  <c r="R77" i="15"/>
  <c r="S77" i="15"/>
  <c r="T77" i="15"/>
  <c r="R78" i="15"/>
  <c r="S78" i="15"/>
  <c r="T78" i="15"/>
  <c r="R79" i="15"/>
  <c r="S79" i="15"/>
  <c r="T79" i="15"/>
  <c r="R80" i="15"/>
  <c r="S80" i="15"/>
  <c r="T80" i="15"/>
  <c r="R81" i="15"/>
  <c r="S81" i="15"/>
  <c r="T81" i="15"/>
  <c r="R82" i="15"/>
  <c r="S82" i="15"/>
  <c r="T82" i="15"/>
  <c r="R83" i="15"/>
  <c r="S83" i="15"/>
  <c r="T83" i="15"/>
  <c r="R84" i="15"/>
  <c r="S84" i="15"/>
  <c r="T84" i="15"/>
  <c r="R85" i="15"/>
  <c r="S85" i="15"/>
  <c r="T85" i="15"/>
  <c r="R86" i="15"/>
  <c r="S86" i="15"/>
  <c r="T86" i="15"/>
  <c r="R87" i="15"/>
  <c r="S87" i="15"/>
  <c r="T87" i="15"/>
  <c r="R88" i="15"/>
  <c r="S88" i="15"/>
  <c r="T88" i="15"/>
  <c r="R89" i="15"/>
  <c r="S89" i="15"/>
  <c r="T89" i="15"/>
  <c r="R90" i="15"/>
  <c r="S90" i="15"/>
  <c r="T90" i="15"/>
  <c r="R91" i="15"/>
  <c r="S91" i="15"/>
  <c r="T91" i="15"/>
  <c r="R92" i="15"/>
  <c r="S92" i="15"/>
  <c r="T92" i="15"/>
  <c r="R93" i="15"/>
  <c r="S93" i="15"/>
  <c r="T93" i="15"/>
  <c r="R94" i="15"/>
  <c r="S94" i="15"/>
  <c r="T94" i="15"/>
  <c r="R95" i="15"/>
  <c r="S95" i="15"/>
  <c r="T95" i="15"/>
  <c r="R96" i="15"/>
  <c r="S96" i="15"/>
  <c r="T96" i="15"/>
  <c r="R97" i="15"/>
  <c r="S97" i="15"/>
  <c r="T97" i="15"/>
  <c r="R98" i="15"/>
  <c r="S98" i="15"/>
  <c r="T98" i="15"/>
  <c r="R99" i="15"/>
  <c r="S99" i="15"/>
  <c r="T99" i="15"/>
  <c r="R100" i="15"/>
  <c r="S100" i="15"/>
  <c r="T100" i="15"/>
  <c r="R101" i="15"/>
  <c r="S101" i="15"/>
  <c r="T101" i="15"/>
  <c r="R102" i="15"/>
  <c r="S102" i="15"/>
  <c r="T102" i="15"/>
  <c r="R103" i="15"/>
  <c r="S103" i="15"/>
  <c r="T103" i="15"/>
  <c r="R104" i="15"/>
  <c r="S104" i="15"/>
  <c r="T104" i="15"/>
  <c r="R105" i="15"/>
  <c r="S105" i="15"/>
  <c r="T105" i="15"/>
  <c r="R106" i="15"/>
  <c r="S106" i="15"/>
  <c r="T106" i="15"/>
  <c r="R107" i="15"/>
  <c r="S107" i="15"/>
  <c r="T107" i="15"/>
  <c r="R108" i="15"/>
  <c r="S108" i="15"/>
  <c r="T108" i="15"/>
  <c r="R109" i="15"/>
  <c r="S109" i="15"/>
  <c r="T109" i="15"/>
  <c r="R110" i="15"/>
  <c r="S110" i="15"/>
  <c r="T110" i="15"/>
  <c r="R111" i="15"/>
  <c r="S111" i="15"/>
  <c r="T111" i="15"/>
  <c r="R112" i="15"/>
  <c r="S112" i="15"/>
  <c r="T112" i="15"/>
  <c r="R113" i="15"/>
  <c r="S113" i="15"/>
  <c r="T113" i="15"/>
  <c r="R114" i="15"/>
  <c r="S114" i="15"/>
  <c r="T114" i="15"/>
  <c r="R115" i="15"/>
  <c r="S115" i="15"/>
  <c r="T115" i="15"/>
  <c r="R116" i="15"/>
  <c r="S116" i="15"/>
  <c r="T116" i="15"/>
  <c r="R117" i="15"/>
  <c r="S117" i="15"/>
  <c r="T117" i="15"/>
  <c r="R118" i="15"/>
  <c r="S118" i="15"/>
  <c r="T118" i="15"/>
  <c r="R119" i="15"/>
  <c r="S119" i="15"/>
  <c r="T119" i="15"/>
  <c r="R120" i="15"/>
  <c r="S120" i="15"/>
  <c r="T120" i="15"/>
  <c r="R121" i="15"/>
  <c r="S121" i="15"/>
  <c r="T121" i="15"/>
  <c r="R122" i="15"/>
  <c r="S122" i="15"/>
  <c r="T122" i="15"/>
  <c r="R123" i="15"/>
  <c r="S123" i="15"/>
  <c r="T123" i="15"/>
  <c r="R124" i="15"/>
  <c r="S124" i="15"/>
  <c r="T124" i="15"/>
  <c r="R125" i="15"/>
  <c r="S125" i="15"/>
  <c r="T125" i="15"/>
  <c r="R126" i="15"/>
  <c r="S126" i="15"/>
  <c r="T126" i="15"/>
  <c r="R127" i="15"/>
  <c r="S127" i="15"/>
  <c r="T127" i="15"/>
  <c r="R128" i="15"/>
  <c r="S128" i="15"/>
  <c r="T128" i="15"/>
  <c r="R129" i="15"/>
  <c r="S129" i="15"/>
  <c r="T129" i="15"/>
  <c r="R130" i="15"/>
  <c r="S130" i="15"/>
  <c r="T130" i="15"/>
  <c r="R131" i="15"/>
  <c r="S131" i="15"/>
  <c r="T131" i="15"/>
  <c r="R132" i="15"/>
  <c r="S132" i="15"/>
  <c r="T132" i="15"/>
  <c r="R133" i="15"/>
  <c r="S133" i="15"/>
  <c r="T133" i="15"/>
  <c r="R134" i="15"/>
  <c r="S134" i="15"/>
  <c r="T134" i="15"/>
  <c r="R135" i="15"/>
  <c r="S135" i="15"/>
  <c r="T135" i="15"/>
  <c r="R136" i="15"/>
  <c r="S136" i="15"/>
  <c r="T136" i="15"/>
  <c r="R137" i="15"/>
  <c r="S137" i="15"/>
  <c r="T137" i="15"/>
  <c r="R138" i="15"/>
  <c r="S138" i="15"/>
  <c r="T138" i="15"/>
  <c r="R139" i="15"/>
  <c r="S139" i="15"/>
  <c r="T139" i="15"/>
  <c r="R140" i="15"/>
  <c r="S140" i="15"/>
  <c r="T140" i="15"/>
  <c r="R141" i="15"/>
  <c r="S141" i="15"/>
  <c r="T141" i="15"/>
  <c r="R142" i="15"/>
  <c r="S142" i="15"/>
  <c r="T142" i="15"/>
  <c r="R143" i="15"/>
  <c r="S143" i="15"/>
  <c r="T143" i="15"/>
  <c r="R144" i="15"/>
  <c r="S144" i="15"/>
  <c r="T144" i="15"/>
  <c r="R145" i="15"/>
  <c r="S145" i="15"/>
  <c r="T145" i="15"/>
  <c r="R146" i="15"/>
  <c r="S146" i="15"/>
  <c r="T146" i="15"/>
  <c r="R147" i="15"/>
  <c r="S147" i="15"/>
  <c r="T147" i="15"/>
  <c r="R148" i="15"/>
  <c r="S148" i="15"/>
  <c r="T148" i="15"/>
  <c r="R149" i="15"/>
  <c r="S149" i="15"/>
  <c r="T149" i="15"/>
  <c r="R150" i="15"/>
  <c r="S150" i="15"/>
  <c r="T150" i="15"/>
  <c r="R151" i="15"/>
  <c r="S151" i="15"/>
  <c r="T151" i="15"/>
  <c r="R152" i="15"/>
  <c r="S152" i="15"/>
  <c r="T152" i="15"/>
  <c r="R153" i="15"/>
  <c r="S153" i="15"/>
  <c r="T153" i="15"/>
  <c r="R154" i="15"/>
  <c r="S154" i="15"/>
  <c r="T154" i="15"/>
  <c r="R155" i="15"/>
  <c r="S155" i="15"/>
  <c r="T155" i="15"/>
  <c r="R156" i="15"/>
  <c r="S156" i="15"/>
  <c r="T156" i="15"/>
  <c r="R157" i="15"/>
  <c r="S157" i="15"/>
  <c r="T157" i="15"/>
  <c r="R158" i="15"/>
  <c r="S158" i="15"/>
  <c r="T158" i="15"/>
  <c r="R159" i="15"/>
  <c r="S159" i="15"/>
  <c r="T159" i="15"/>
  <c r="R160" i="15"/>
  <c r="S160" i="15"/>
  <c r="T160" i="15"/>
  <c r="R161" i="15"/>
  <c r="S161" i="15"/>
  <c r="T161" i="15"/>
  <c r="R162" i="15"/>
  <c r="S162" i="15"/>
  <c r="T162" i="15"/>
  <c r="R163" i="15"/>
  <c r="S163" i="15"/>
  <c r="T163" i="15"/>
  <c r="R164" i="15"/>
  <c r="S164" i="15"/>
  <c r="T164" i="15"/>
  <c r="R165" i="15"/>
  <c r="S165" i="15"/>
  <c r="T165" i="15"/>
  <c r="R166" i="15"/>
  <c r="S166" i="15"/>
  <c r="T166" i="15"/>
  <c r="R167" i="15"/>
  <c r="S167" i="15"/>
  <c r="T167" i="15"/>
  <c r="R168" i="15"/>
  <c r="S168" i="15"/>
  <c r="T168" i="15"/>
  <c r="R169" i="15"/>
  <c r="S169" i="15"/>
  <c r="T169" i="15"/>
  <c r="R170" i="15"/>
  <c r="S170" i="15"/>
  <c r="T170" i="15"/>
  <c r="R171" i="15"/>
  <c r="S171" i="15"/>
  <c r="T171" i="15"/>
  <c r="R172" i="15"/>
  <c r="S172" i="15"/>
  <c r="T172" i="15"/>
  <c r="R173" i="15"/>
  <c r="S173" i="15"/>
  <c r="T173" i="15"/>
  <c r="R174" i="15"/>
  <c r="S174" i="15"/>
  <c r="T174" i="15"/>
  <c r="R175" i="15"/>
  <c r="S175" i="15"/>
  <c r="T175" i="15"/>
  <c r="R176" i="15"/>
  <c r="S176" i="15"/>
  <c r="T176" i="15"/>
  <c r="R177" i="15"/>
  <c r="S177" i="15"/>
  <c r="T177" i="15"/>
  <c r="R178" i="15"/>
  <c r="S178" i="15"/>
  <c r="T178" i="15"/>
  <c r="R179" i="15"/>
  <c r="S179" i="15"/>
  <c r="T179" i="15"/>
  <c r="R180" i="15"/>
  <c r="S180" i="15"/>
  <c r="T180" i="15"/>
  <c r="R181" i="15"/>
  <c r="S181" i="15"/>
  <c r="T181" i="15"/>
  <c r="R182" i="15"/>
  <c r="S182" i="15"/>
  <c r="T182" i="15"/>
  <c r="R183" i="15"/>
  <c r="S183" i="15"/>
  <c r="T183" i="15"/>
  <c r="R184" i="15"/>
  <c r="S184" i="15"/>
  <c r="T184" i="15"/>
  <c r="R185" i="15"/>
  <c r="S185" i="15"/>
  <c r="T185" i="15"/>
  <c r="R186" i="15"/>
  <c r="S186" i="15"/>
  <c r="T186" i="15"/>
  <c r="R187" i="15"/>
  <c r="S187" i="15"/>
  <c r="T187" i="15"/>
  <c r="R188" i="15"/>
  <c r="S188" i="15"/>
  <c r="T188" i="15"/>
  <c r="R189" i="15"/>
  <c r="S189" i="15"/>
  <c r="T189" i="15"/>
  <c r="R190" i="15"/>
  <c r="S190" i="15"/>
  <c r="T190" i="15"/>
  <c r="R191" i="15"/>
  <c r="S191" i="15"/>
  <c r="T191" i="15"/>
  <c r="R192" i="15"/>
  <c r="S192" i="15"/>
  <c r="T192" i="15"/>
  <c r="R193" i="15"/>
  <c r="S193" i="15"/>
  <c r="T193" i="15"/>
  <c r="R194" i="15"/>
  <c r="S194" i="15"/>
  <c r="T194" i="15"/>
  <c r="R195" i="15"/>
  <c r="S195" i="15"/>
  <c r="T195" i="15"/>
  <c r="R196" i="15"/>
  <c r="S196" i="15"/>
  <c r="T196" i="15"/>
  <c r="R197" i="15"/>
  <c r="S197" i="15"/>
  <c r="T197" i="15"/>
  <c r="R198" i="15"/>
  <c r="S198" i="15"/>
  <c r="T198" i="15"/>
  <c r="R199" i="15"/>
  <c r="S199" i="15"/>
  <c r="T199" i="15"/>
  <c r="R200" i="15"/>
  <c r="S200" i="15"/>
  <c r="T200" i="15"/>
  <c r="R201" i="15"/>
  <c r="S201" i="15"/>
  <c r="T201" i="15"/>
  <c r="R202" i="15"/>
  <c r="S202" i="15"/>
  <c r="T202" i="15"/>
  <c r="R203" i="15"/>
  <c r="S203" i="15"/>
  <c r="T203" i="15"/>
  <c r="R204" i="15"/>
  <c r="S204" i="15"/>
  <c r="T204" i="15"/>
  <c r="R205" i="15"/>
  <c r="S205" i="15"/>
  <c r="T205" i="15"/>
  <c r="R206" i="15"/>
  <c r="S206" i="15"/>
  <c r="T206" i="15"/>
  <c r="S207" i="15"/>
  <c r="T207" i="15"/>
  <c r="R208" i="15"/>
  <c r="S208" i="15"/>
  <c r="T208" i="15"/>
  <c r="R209" i="15"/>
  <c r="S209" i="15"/>
  <c r="T209" i="15"/>
  <c r="R210" i="15"/>
  <c r="S210" i="15"/>
  <c r="T210" i="15"/>
  <c r="R211" i="15"/>
  <c r="S211" i="15"/>
  <c r="T211" i="15"/>
  <c r="R212" i="15"/>
  <c r="S212" i="15"/>
  <c r="T212" i="15"/>
  <c r="R213" i="15"/>
  <c r="S213" i="15"/>
  <c r="T213" i="15"/>
  <c r="R214" i="15"/>
  <c r="S214" i="15"/>
  <c r="T214" i="15"/>
  <c r="R215" i="15"/>
  <c r="S215" i="15"/>
  <c r="T215" i="15"/>
  <c r="R216" i="15"/>
  <c r="S216" i="15"/>
  <c r="T216" i="15"/>
  <c r="R217" i="15"/>
  <c r="S217" i="15"/>
  <c r="T217" i="15"/>
  <c r="R218" i="15"/>
  <c r="S218" i="15"/>
  <c r="T218" i="15"/>
  <c r="R219" i="15"/>
  <c r="S219" i="15"/>
  <c r="T219" i="15"/>
  <c r="R220" i="15"/>
  <c r="S220" i="15"/>
  <c r="T220" i="15"/>
  <c r="R221" i="15"/>
  <c r="S221" i="15"/>
  <c r="T221" i="15"/>
  <c r="R222" i="15"/>
  <c r="S222" i="15"/>
  <c r="T222" i="15"/>
  <c r="R223" i="15"/>
  <c r="S223" i="15"/>
  <c r="T223" i="15"/>
  <c r="R224" i="15"/>
  <c r="S224" i="15"/>
  <c r="T224" i="15"/>
  <c r="R225" i="15"/>
  <c r="S225" i="15"/>
  <c r="T225" i="15"/>
  <c r="R226" i="15"/>
  <c r="S226" i="15"/>
  <c r="T226" i="15"/>
  <c r="R227" i="15"/>
  <c r="S227" i="15"/>
  <c r="T227" i="15"/>
  <c r="R228" i="15"/>
  <c r="S228" i="15"/>
  <c r="T228" i="15"/>
  <c r="R229" i="15"/>
  <c r="S229" i="15"/>
  <c r="T229" i="15"/>
  <c r="R230" i="15"/>
  <c r="S230" i="15"/>
  <c r="T230" i="15"/>
  <c r="R231" i="15"/>
  <c r="S231" i="15"/>
  <c r="T231" i="15"/>
  <c r="R232" i="15"/>
  <c r="S232" i="15"/>
  <c r="T232" i="15"/>
  <c r="R233" i="15"/>
  <c r="S233" i="15"/>
  <c r="T233" i="15"/>
  <c r="R234" i="15"/>
  <c r="S234" i="15"/>
  <c r="T234" i="15"/>
  <c r="R235" i="15"/>
  <c r="S235" i="15"/>
  <c r="T235" i="15"/>
  <c r="R236" i="15"/>
  <c r="S236" i="15"/>
  <c r="T236" i="15"/>
  <c r="R237" i="15"/>
  <c r="S237" i="15"/>
  <c r="T237" i="15"/>
  <c r="R238" i="15"/>
  <c r="S238" i="15"/>
  <c r="T238" i="15"/>
  <c r="R239" i="15"/>
  <c r="S239" i="15"/>
  <c r="T239" i="15"/>
  <c r="R240" i="15"/>
  <c r="S240" i="15"/>
  <c r="T240" i="15"/>
  <c r="R241" i="15"/>
  <c r="S241" i="15"/>
  <c r="T241" i="15"/>
  <c r="R242" i="15"/>
  <c r="S242" i="15"/>
  <c r="T242" i="15"/>
  <c r="R243" i="15"/>
  <c r="S243" i="15"/>
  <c r="T243" i="15"/>
  <c r="R244" i="15"/>
  <c r="S244" i="15"/>
  <c r="T244" i="15"/>
  <c r="R245" i="15"/>
  <c r="S245" i="15"/>
  <c r="T245" i="15"/>
  <c r="R246" i="15"/>
  <c r="S246" i="15"/>
  <c r="T246" i="15"/>
  <c r="R247" i="15"/>
  <c r="S247" i="15"/>
  <c r="T247" i="15"/>
  <c r="R248" i="15"/>
  <c r="S248" i="15"/>
  <c r="T248" i="15"/>
  <c r="R249" i="15"/>
  <c r="S249" i="15"/>
  <c r="T249" i="15"/>
  <c r="R250" i="15"/>
  <c r="S250" i="15"/>
  <c r="T250" i="15"/>
  <c r="R251" i="15"/>
  <c r="S251" i="15"/>
  <c r="T251" i="15"/>
  <c r="R252" i="15"/>
  <c r="S252" i="15"/>
  <c r="T252" i="15"/>
  <c r="R253" i="15"/>
  <c r="S253" i="15"/>
  <c r="T253" i="15"/>
  <c r="R254" i="15"/>
  <c r="S254" i="15"/>
  <c r="T254" i="15"/>
  <c r="R255" i="15"/>
  <c r="S255" i="15"/>
  <c r="T255" i="15"/>
  <c r="R256" i="15"/>
  <c r="S256" i="15"/>
  <c r="T256" i="15"/>
  <c r="R257" i="15"/>
  <c r="S257" i="15"/>
  <c r="T257" i="15"/>
  <c r="R258" i="15"/>
  <c r="S258" i="15"/>
  <c r="T258" i="15"/>
  <c r="R259" i="15"/>
  <c r="S259" i="15"/>
  <c r="T259" i="15"/>
  <c r="R260" i="15"/>
  <c r="S260" i="15"/>
  <c r="T260" i="15"/>
  <c r="R261" i="15"/>
  <c r="S261" i="15"/>
  <c r="T261" i="15"/>
  <c r="R262" i="15"/>
  <c r="S262" i="15"/>
  <c r="T262" i="15"/>
  <c r="R263" i="15"/>
  <c r="S263" i="15"/>
  <c r="T263" i="15"/>
  <c r="R264" i="15"/>
  <c r="S264" i="15"/>
  <c r="T264" i="15"/>
  <c r="R265" i="15"/>
  <c r="S265" i="15"/>
  <c r="T265" i="15"/>
  <c r="R266" i="15"/>
  <c r="S266" i="15"/>
  <c r="T266" i="15"/>
  <c r="R267" i="15"/>
  <c r="S267" i="15"/>
  <c r="T267" i="15"/>
  <c r="R268" i="15"/>
  <c r="S268" i="15"/>
  <c r="T268" i="15"/>
  <c r="R269" i="15"/>
  <c r="S269" i="15"/>
  <c r="T269" i="15"/>
  <c r="R270" i="15"/>
  <c r="S270" i="15"/>
  <c r="T270" i="15"/>
  <c r="R271" i="15"/>
  <c r="S271" i="15"/>
  <c r="T271" i="15"/>
  <c r="R272" i="15"/>
  <c r="S272" i="15"/>
  <c r="T272" i="15"/>
  <c r="R273" i="15"/>
  <c r="S273" i="15"/>
  <c r="T273" i="15"/>
  <c r="R274" i="15"/>
  <c r="S274" i="15"/>
  <c r="T274" i="15"/>
  <c r="R275" i="15"/>
  <c r="S275" i="15"/>
  <c r="T275" i="15"/>
  <c r="R276" i="15"/>
  <c r="S276" i="15"/>
  <c r="T276" i="15"/>
  <c r="R277" i="15"/>
  <c r="S277" i="15"/>
  <c r="T277" i="15"/>
  <c r="R278" i="15"/>
  <c r="S278" i="15"/>
  <c r="T278" i="15"/>
  <c r="R279" i="15"/>
  <c r="S279" i="15"/>
  <c r="T279" i="15"/>
  <c r="R280" i="15"/>
  <c r="S280" i="15"/>
  <c r="T280" i="15"/>
  <c r="R281" i="15"/>
  <c r="S281" i="15"/>
  <c r="T281" i="15"/>
  <c r="R282" i="15"/>
  <c r="S282" i="15"/>
  <c r="T282" i="15"/>
  <c r="R283" i="15"/>
  <c r="S283" i="15"/>
  <c r="T283" i="15"/>
  <c r="R284" i="15"/>
  <c r="S284" i="15"/>
  <c r="T284" i="15"/>
  <c r="R285" i="15"/>
  <c r="S285" i="15"/>
  <c r="T285" i="15"/>
  <c r="R286" i="15"/>
  <c r="S286" i="15"/>
  <c r="T286" i="15"/>
  <c r="R287" i="15"/>
  <c r="S287" i="15"/>
  <c r="T287" i="15"/>
  <c r="R288" i="15"/>
  <c r="S288" i="15"/>
  <c r="T288" i="15"/>
  <c r="R289" i="15"/>
  <c r="S289" i="15"/>
  <c r="T289" i="15"/>
  <c r="R290" i="15"/>
  <c r="S290" i="15"/>
  <c r="T290" i="15"/>
  <c r="R291" i="15"/>
  <c r="S291" i="15"/>
  <c r="T291" i="15"/>
  <c r="R292" i="15"/>
  <c r="S292" i="15"/>
  <c r="T292" i="15"/>
  <c r="R293" i="15"/>
  <c r="S293" i="15"/>
  <c r="T293" i="15"/>
  <c r="R294" i="15"/>
  <c r="S294" i="15"/>
  <c r="T294" i="15"/>
  <c r="R295" i="15"/>
  <c r="S295" i="15"/>
  <c r="T295" i="15"/>
  <c r="R296" i="15"/>
  <c r="S296" i="15"/>
  <c r="T296" i="15"/>
  <c r="R297" i="15"/>
  <c r="S297" i="15"/>
  <c r="T297" i="15"/>
  <c r="R298" i="15"/>
  <c r="S298" i="15"/>
  <c r="T298" i="15"/>
  <c r="R299" i="15"/>
  <c r="S299" i="15"/>
  <c r="T299" i="15"/>
  <c r="R300" i="15"/>
  <c r="S300" i="15"/>
  <c r="T300" i="15"/>
  <c r="R301" i="15"/>
  <c r="S301" i="15"/>
  <c r="T301" i="15"/>
  <c r="R302" i="15"/>
  <c r="S302" i="15"/>
  <c r="T302" i="15"/>
  <c r="R303" i="15"/>
  <c r="S303" i="15"/>
  <c r="T303" i="15"/>
  <c r="R304" i="15"/>
  <c r="S304" i="15"/>
  <c r="T304" i="15"/>
  <c r="R305" i="15"/>
  <c r="S305" i="15"/>
  <c r="T305" i="15"/>
  <c r="R306" i="15"/>
  <c r="S306" i="15"/>
  <c r="T306" i="15"/>
  <c r="R307" i="15"/>
  <c r="S307" i="15"/>
  <c r="T307" i="15"/>
  <c r="R308" i="15"/>
  <c r="S308" i="15"/>
  <c r="T308" i="15"/>
  <c r="R309" i="15"/>
  <c r="S309" i="15"/>
  <c r="T309" i="15"/>
  <c r="R310" i="15"/>
  <c r="S310" i="15"/>
  <c r="T310" i="15"/>
  <c r="R311" i="15"/>
  <c r="S311" i="15"/>
  <c r="T311" i="15"/>
  <c r="R312" i="15"/>
  <c r="S312" i="15"/>
  <c r="T312" i="15"/>
  <c r="R313" i="15"/>
  <c r="S313" i="15"/>
  <c r="T313" i="15"/>
  <c r="R314" i="15"/>
  <c r="S314" i="15"/>
  <c r="T314" i="15"/>
  <c r="R315" i="15"/>
  <c r="S315" i="15"/>
  <c r="T315" i="15"/>
  <c r="R316" i="15"/>
  <c r="S316" i="15"/>
  <c r="T316" i="15"/>
  <c r="R317" i="15"/>
  <c r="S317" i="15"/>
  <c r="T317" i="15"/>
  <c r="R318" i="15"/>
  <c r="S318" i="15"/>
  <c r="T318" i="15"/>
  <c r="R319" i="15"/>
  <c r="S319" i="15"/>
  <c r="T319" i="15"/>
  <c r="R320" i="15"/>
  <c r="S320" i="15"/>
  <c r="T320" i="15"/>
  <c r="R321" i="15"/>
  <c r="S321" i="15"/>
  <c r="T321" i="15"/>
  <c r="R322" i="15"/>
  <c r="S322" i="15"/>
  <c r="T322" i="15"/>
  <c r="R323" i="15"/>
  <c r="S323" i="15"/>
  <c r="T323" i="15"/>
  <c r="R324" i="15"/>
  <c r="S324" i="15"/>
  <c r="T324" i="15"/>
  <c r="R325" i="15"/>
  <c r="S325" i="15"/>
  <c r="T325" i="15"/>
  <c r="R326" i="15"/>
  <c r="S326" i="15"/>
  <c r="T326" i="15"/>
  <c r="R327" i="15"/>
  <c r="S327" i="15"/>
  <c r="T327" i="15"/>
  <c r="R328" i="15"/>
  <c r="S328" i="15"/>
  <c r="T328" i="15"/>
  <c r="R329" i="15"/>
  <c r="S329" i="15"/>
  <c r="T329" i="15"/>
  <c r="R330" i="15"/>
  <c r="S330" i="15"/>
  <c r="T330" i="15"/>
  <c r="R331" i="15"/>
  <c r="S331" i="15"/>
  <c r="T331" i="15"/>
  <c r="R332" i="15"/>
  <c r="S332" i="15"/>
  <c r="T332" i="15"/>
  <c r="R333" i="15"/>
  <c r="S333" i="15"/>
  <c r="T333" i="15"/>
  <c r="R334" i="15"/>
  <c r="S334" i="15"/>
  <c r="T334" i="15"/>
  <c r="R335" i="15"/>
  <c r="S335" i="15"/>
  <c r="T335" i="15"/>
  <c r="R336" i="15"/>
  <c r="S336" i="15"/>
  <c r="T336" i="15"/>
  <c r="R337" i="15"/>
  <c r="S337" i="15"/>
  <c r="T337" i="15"/>
  <c r="R338" i="15"/>
  <c r="S338" i="15"/>
  <c r="T338" i="15"/>
  <c r="R339" i="15"/>
  <c r="S339" i="15"/>
  <c r="T339" i="15"/>
  <c r="R340" i="15"/>
  <c r="S340" i="15"/>
  <c r="T340" i="15"/>
  <c r="R341" i="15"/>
  <c r="S341" i="15"/>
  <c r="T341" i="15"/>
  <c r="R342" i="15"/>
  <c r="S342" i="15"/>
  <c r="T342" i="15"/>
  <c r="R343" i="15"/>
  <c r="S343" i="15"/>
  <c r="T343" i="15"/>
  <c r="R344" i="15"/>
  <c r="S344" i="15"/>
  <c r="T344" i="15"/>
  <c r="R345" i="15"/>
  <c r="S345" i="15"/>
  <c r="T345" i="15"/>
  <c r="R346" i="15"/>
  <c r="S346" i="15"/>
  <c r="T346" i="15"/>
  <c r="R347" i="15"/>
  <c r="S347" i="15"/>
  <c r="T347" i="15"/>
  <c r="R348" i="15"/>
  <c r="S348" i="15"/>
  <c r="T348" i="15"/>
  <c r="R349" i="15"/>
  <c r="S349" i="15"/>
  <c r="T349" i="15"/>
  <c r="R350" i="15"/>
  <c r="S350" i="15"/>
  <c r="T350" i="15"/>
  <c r="R351" i="15"/>
  <c r="S351" i="15"/>
  <c r="T351" i="15"/>
  <c r="R352" i="15"/>
  <c r="S352" i="15"/>
  <c r="T352" i="15"/>
  <c r="R353" i="15"/>
  <c r="S353" i="15"/>
  <c r="T353" i="15"/>
  <c r="R354" i="15"/>
  <c r="S354" i="15"/>
  <c r="T354" i="15"/>
  <c r="R355" i="15"/>
  <c r="S355" i="15"/>
  <c r="T355" i="15"/>
  <c r="R356" i="15"/>
  <c r="S356" i="15"/>
  <c r="T356" i="15"/>
  <c r="R357" i="15"/>
  <c r="S357" i="15"/>
  <c r="T357" i="15"/>
  <c r="R358" i="15"/>
  <c r="S358" i="15"/>
  <c r="T358" i="15"/>
  <c r="R359" i="15"/>
  <c r="S359" i="15"/>
  <c r="T359" i="15"/>
  <c r="R360" i="15"/>
  <c r="S360" i="15"/>
  <c r="T360" i="15"/>
  <c r="R361" i="15"/>
  <c r="S361" i="15"/>
  <c r="T361" i="15"/>
  <c r="R362" i="15"/>
  <c r="S362" i="15"/>
  <c r="T362" i="15"/>
  <c r="R363" i="15"/>
  <c r="S363" i="15"/>
  <c r="T363" i="15"/>
  <c r="R364" i="15"/>
  <c r="S364" i="15"/>
  <c r="T364" i="15"/>
  <c r="R365" i="15"/>
  <c r="S365" i="15"/>
  <c r="T365" i="15"/>
  <c r="R366" i="15"/>
  <c r="S366" i="15"/>
  <c r="T366" i="15"/>
  <c r="R367" i="15"/>
  <c r="S367" i="15"/>
  <c r="T367" i="15"/>
  <c r="R368" i="15"/>
  <c r="S368" i="15"/>
  <c r="T368" i="15"/>
  <c r="R369" i="15"/>
  <c r="S369" i="15"/>
  <c r="T369" i="15"/>
  <c r="R370" i="15"/>
  <c r="S370" i="15"/>
  <c r="T370" i="15"/>
  <c r="R371" i="15"/>
  <c r="S371" i="15"/>
  <c r="T371" i="15"/>
  <c r="R372" i="15"/>
  <c r="S372" i="15"/>
  <c r="T372" i="15"/>
  <c r="R373" i="15"/>
  <c r="S373" i="15"/>
  <c r="T373" i="15"/>
  <c r="R374" i="15"/>
  <c r="S374" i="15"/>
  <c r="T374" i="15"/>
  <c r="R375" i="15"/>
  <c r="S375" i="15"/>
  <c r="T375" i="15"/>
  <c r="R376" i="15"/>
  <c r="S376" i="15"/>
  <c r="T376" i="15"/>
  <c r="R377" i="15"/>
  <c r="S377" i="15"/>
  <c r="T377" i="15"/>
  <c r="R378" i="15"/>
  <c r="S378" i="15"/>
  <c r="T378" i="15"/>
  <c r="R379" i="15"/>
  <c r="S379" i="15"/>
  <c r="T379" i="15"/>
  <c r="R380" i="15"/>
  <c r="S380" i="15"/>
  <c r="T380" i="15"/>
  <c r="R381" i="15"/>
  <c r="S381" i="15"/>
  <c r="T381" i="15"/>
  <c r="R382" i="15"/>
  <c r="S382" i="15"/>
  <c r="T382" i="15"/>
  <c r="R383" i="15"/>
  <c r="S383" i="15"/>
  <c r="T383" i="15"/>
  <c r="R384" i="15"/>
  <c r="S384" i="15"/>
  <c r="T384" i="15"/>
  <c r="R385" i="15"/>
  <c r="S385" i="15"/>
  <c r="T385" i="15"/>
  <c r="R386" i="15"/>
  <c r="S386" i="15"/>
  <c r="T386" i="15"/>
  <c r="R387" i="15"/>
  <c r="S387" i="15"/>
  <c r="T387" i="15"/>
  <c r="R388" i="15"/>
  <c r="S388" i="15"/>
  <c r="T388" i="15"/>
  <c r="R389" i="15"/>
  <c r="S389" i="15"/>
  <c r="T389" i="15"/>
  <c r="R390" i="15"/>
  <c r="S390" i="15"/>
  <c r="T390" i="15"/>
  <c r="R391" i="15"/>
  <c r="S391" i="15"/>
  <c r="T391" i="15"/>
  <c r="R392" i="15"/>
  <c r="S392" i="15"/>
  <c r="T392" i="15"/>
  <c r="R393" i="15"/>
  <c r="S393" i="15"/>
  <c r="T393" i="15"/>
  <c r="R394" i="15"/>
  <c r="S394" i="15"/>
  <c r="T394" i="15"/>
  <c r="R395" i="15"/>
  <c r="S395" i="15"/>
  <c r="T395" i="15"/>
  <c r="R396" i="15"/>
  <c r="S396" i="15"/>
  <c r="T396" i="15"/>
  <c r="R397" i="15"/>
  <c r="S397" i="15"/>
  <c r="T397" i="15"/>
  <c r="R398" i="15"/>
  <c r="S398" i="15"/>
  <c r="T398" i="15"/>
  <c r="R399" i="15"/>
  <c r="S399" i="15"/>
  <c r="T399" i="15"/>
  <c r="R400" i="15"/>
  <c r="S400" i="15"/>
  <c r="T400" i="15"/>
  <c r="R401" i="15"/>
  <c r="S401" i="15"/>
  <c r="T401" i="15"/>
  <c r="R402" i="15"/>
  <c r="S402" i="15"/>
  <c r="T402" i="15"/>
  <c r="R403" i="15"/>
  <c r="S403" i="15"/>
  <c r="T403" i="15"/>
  <c r="R404" i="15"/>
  <c r="S404" i="15"/>
  <c r="T404" i="15"/>
  <c r="R405" i="15"/>
  <c r="S405" i="15"/>
  <c r="T405" i="15"/>
  <c r="R406" i="15"/>
  <c r="S406" i="15"/>
  <c r="T406" i="15"/>
  <c r="R407" i="15"/>
  <c r="S407" i="15"/>
  <c r="T407" i="15"/>
  <c r="R408" i="15"/>
  <c r="S408" i="15"/>
  <c r="T408" i="15"/>
  <c r="R409" i="15"/>
  <c r="S409" i="15"/>
  <c r="T409" i="15"/>
  <c r="R410" i="15"/>
  <c r="S410" i="15"/>
  <c r="T410" i="15"/>
  <c r="R411" i="15"/>
  <c r="S411" i="15"/>
  <c r="T411" i="15"/>
  <c r="R412" i="15"/>
  <c r="S412" i="15"/>
  <c r="T412" i="15"/>
  <c r="R413" i="15"/>
  <c r="S413" i="15"/>
  <c r="T413" i="15"/>
  <c r="R414" i="15"/>
  <c r="S414" i="15"/>
  <c r="T414" i="15"/>
  <c r="R415" i="15"/>
  <c r="S415" i="15"/>
  <c r="T415" i="15"/>
  <c r="S416" i="15"/>
  <c r="T416" i="15"/>
  <c r="R417" i="15"/>
  <c r="S417" i="15"/>
  <c r="T417" i="15"/>
  <c r="R418" i="15"/>
  <c r="S418" i="15"/>
  <c r="T418" i="15"/>
  <c r="R419" i="15"/>
  <c r="S419" i="15"/>
  <c r="T419" i="15"/>
  <c r="R420" i="15"/>
  <c r="S420" i="15"/>
  <c r="T420" i="15"/>
  <c r="R421" i="15"/>
  <c r="S421" i="15"/>
  <c r="T421" i="15"/>
  <c r="R422" i="15"/>
  <c r="S422" i="15"/>
  <c r="T422" i="15"/>
  <c r="R423" i="15"/>
  <c r="S423" i="15"/>
  <c r="T423" i="15"/>
  <c r="R424" i="15"/>
  <c r="S424" i="15"/>
  <c r="T424" i="15"/>
  <c r="R425" i="15"/>
  <c r="S425" i="15"/>
  <c r="T425" i="15"/>
  <c r="R426" i="15"/>
  <c r="S426" i="15"/>
  <c r="T426" i="15"/>
  <c r="R427" i="15"/>
  <c r="S427" i="15"/>
  <c r="T427" i="15"/>
  <c r="R428" i="15"/>
  <c r="S428" i="15"/>
  <c r="T428" i="15"/>
  <c r="R429" i="15"/>
  <c r="S429" i="15"/>
  <c r="T429" i="15"/>
  <c r="R430" i="15"/>
  <c r="S430" i="15"/>
  <c r="T430" i="15"/>
  <c r="R431" i="15"/>
  <c r="S431" i="15"/>
  <c r="T431" i="15"/>
  <c r="R432" i="15"/>
  <c r="S432" i="15"/>
  <c r="T432" i="15"/>
  <c r="R433" i="15"/>
  <c r="S433" i="15"/>
  <c r="T433" i="15"/>
  <c r="R434" i="15"/>
  <c r="S434" i="15"/>
  <c r="T434" i="15"/>
  <c r="R435" i="15"/>
  <c r="S435" i="15"/>
  <c r="T435" i="15"/>
  <c r="R436" i="15"/>
  <c r="S436" i="15"/>
  <c r="T436" i="15"/>
  <c r="R437" i="15"/>
  <c r="S437" i="15"/>
  <c r="T437" i="15"/>
  <c r="R438" i="15"/>
  <c r="S438" i="15"/>
  <c r="T438" i="15"/>
  <c r="R439" i="15"/>
  <c r="S439" i="15"/>
  <c r="T439" i="15"/>
  <c r="R440" i="15"/>
  <c r="S440" i="15"/>
  <c r="T440" i="15"/>
  <c r="R441" i="15"/>
  <c r="S441" i="15"/>
  <c r="T441" i="15"/>
  <c r="R442" i="15"/>
  <c r="S442" i="15"/>
  <c r="T442" i="15"/>
  <c r="R443" i="15"/>
  <c r="S443" i="15"/>
  <c r="T443" i="15"/>
  <c r="R444" i="15"/>
  <c r="S444" i="15"/>
  <c r="T444" i="15"/>
  <c r="R445" i="15"/>
  <c r="S445" i="15"/>
  <c r="T445" i="15"/>
  <c r="R446" i="15"/>
  <c r="S446" i="15"/>
  <c r="T446" i="15"/>
  <c r="R447" i="15"/>
  <c r="S447" i="15"/>
  <c r="T447" i="15"/>
  <c r="R448" i="15"/>
  <c r="S448" i="15"/>
  <c r="T448" i="15"/>
  <c r="R449" i="15"/>
  <c r="S449" i="15"/>
  <c r="T449" i="15"/>
  <c r="R450" i="15"/>
  <c r="S450" i="15"/>
  <c r="T450" i="15"/>
  <c r="R451" i="15"/>
  <c r="S451" i="15"/>
  <c r="T451" i="15"/>
  <c r="R452" i="15"/>
  <c r="S452" i="15"/>
  <c r="T452" i="15"/>
  <c r="R453" i="15"/>
  <c r="S453" i="15"/>
  <c r="T453" i="15"/>
  <c r="R454" i="15"/>
  <c r="S454" i="15"/>
  <c r="T454" i="15"/>
  <c r="R455" i="15"/>
  <c r="S455" i="15"/>
  <c r="T455" i="15"/>
  <c r="R456" i="15"/>
  <c r="S456" i="15"/>
  <c r="T456" i="15"/>
  <c r="R457" i="15"/>
  <c r="S457" i="15"/>
  <c r="T457" i="15"/>
  <c r="R458" i="15"/>
  <c r="S458" i="15"/>
  <c r="T458" i="15"/>
  <c r="R459" i="15"/>
  <c r="S459" i="15"/>
  <c r="T459" i="15"/>
  <c r="R460" i="15"/>
  <c r="S460" i="15"/>
  <c r="T460" i="15"/>
  <c r="R461" i="15"/>
  <c r="S461" i="15"/>
  <c r="T461" i="15"/>
  <c r="R462" i="15"/>
  <c r="S462" i="15"/>
  <c r="T462" i="15"/>
  <c r="R463" i="15"/>
  <c r="S463" i="15"/>
  <c r="T463" i="15"/>
  <c r="R464" i="15"/>
  <c r="S464" i="15"/>
  <c r="T464" i="15"/>
  <c r="R465" i="15"/>
  <c r="S465" i="15"/>
  <c r="T465" i="15"/>
  <c r="R466" i="15"/>
  <c r="S466" i="15"/>
  <c r="T466" i="15"/>
  <c r="R467" i="15"/>
  <c r="S467" i="15"/>
  <c r="T467" i="15"/>
  <c r="R468" i="15"/>
  <c r="S468" i="15"/>
  <c r="T468" i="15"/>
  <c r="R469" i="15"/>
  <c r="S469" i="15"/>
  <c r="T469" i="15"/>
  <c r="R470" i="15"/>
  <c r="S470" i="15"/>
  <c r="T470" i="15"/>
  <c r="R471" i="15"/>
  <c r="S471" i="15"/>
  <c r="T471" i="15"/>
  <c r="R472" i="15"/>
  <c r="S472" i="15"/>
  <c r="T472" i="15"/>
  <c r="R473" i="15"/>
  <c r="S473" i="15"/>
  <c r="T473" i="15"/>
  <c r="R474" i="15"/>
  <c r="S474" i="15"/>
  <c r="T474" i="15"/>
  <c r="R475" i="15"/>
  <c r="S475" i="15"/>
  <c r="T475" i="15"/>
  <c r="R476" i="15"/>
  <c r="S476" i="15"/>
  <c r="T476" i="15"/>
  <c r="R477" i="15"/>
  <c r="S477" i="15"/>
  <c r="T477" i="15"/>
  <c r="R478" i="15"/>
  <c r="S478" i="15"/>
  <c r="T478" i="15"/>
  <c r="R479" i="15"/>
  <c r="S479" i="15"/>
  <c r="T479" i="15"/>
  <c r="R480" i="15"/>
  <c r="S480" i="15"/>
  <c r="T480" i="15"/>
  <c r="R481" i="15"/>
  <c r="S481" i="15"/>
  <c r="T481" i="15"/>
  <c r="R482" i="15"/>
  <c r="S482" i="15"/>
  <c r="T482" i="15"/>
  <c r="R483" i="15"/>
  <c r="S483" i="15"/>
  <c r="T483" i="15"/>
  <c r="R484" i="15"/>
  <c r="S484" i="15"/>
  <c r="T484" i="15"/>
  <c r="R485" i="15"/>
  <c r="S485" i="15"/>
  <c r="T485" i="15"/>
  <c r="R486" i="15"/>
  <c r="S486" i="15"/>
  <c r="T486" i="15"/>
  <c r="R487" i="15"/>
  <c r="S487" i="15"/>
  <c r="T487" i="15"/>
  <c r="R488" i="15"/>
  <c r="S488" i="15"/>
  <c r="T488" i="15"/>
  <c r="R489" i="15"/>
  <c r="S489" i="15"/>
  <c r="T489" i="15"/>
  <c r="R490" i="15"/>
  <c r="S490" i="15"/>
  <c r="T490" i="15"/>
  <c r="R491" i="15"/>
  <c r="S491" i="15"/>
  <c r="T491" i="15"/>
  <c r="R492" i="15"/>
  <c r="S492" i="15"/>
  <c r="T492" i="15"/>
  <c r="R493" i="15"/>
  <c r="S493" i="15"/>
  <c r="T493" i="15"/>
  <c r="R494" i="15"/>
  <c r="S494" i="15"/>
  <c r="T494" i="15"/>
  <c r="R495" i="15"/>
  <c r="S495" i="15"/>
  <c r="T495" i="15"/>
  <c r="R496" i="15"/>
  <c r="S496" i="15"/>
  <c r="T496" i="15"/>
  <c r="R497" i="15"/>
  <c r="S497" i="15"/>
  <c r="T497" i="15"/>
  <c r="R498" i="15"/>
  <c r="S498" i="15"/>
  <c r="T498" i="15"/>
  <c r="R499" i="15"/>
  <c r="S499" i="15"/>
  <c r="T499" i="15"/>
  <c r="R500" i="15"/>
  <c r="S500" i="15"/>
  <c r="T500" i="15"/>
  <c r="R501" i="15"/>
  <c r="S501" i="15"/>
  <c r="T501" i="15"/>
  <c r="R502" i="15"/>
  <c r="S502" i="15"/>
  <c r="T502" i="15"/>
  <c r="R503" i="15"/>
  <c r="S503" i="15"/>
  <c r="T503" i="15"/>
  <c r="R504" i="15"/>
  <c r="S504" i="15"/>
  <c r="T504" i="15"/>
  <c r="R505" i="15"/>
  <c r="S505" i="15"/>
  <c r="T505" i="15"/>
  <c r="R506" i="15"/>
  <c r="S506" i="15"/>
  <c r="T506" i="15"/>
  <c r="R507" i="15"/>
  <c r="S507" i="15"/>
  <c r="T507" i="15"/>
  <c r="R508" i="15"/>
  <c r="S508" i="15"/>
  <c r="T508" i="15"/>
  <c r="R509" i="15"/>
  <c r="S509" i="15"/>
  <c r="T509" i="15"/>
  <c r="R510" i="15"/>
  <c r="S510" i="15"/>
  <c r="T510" i="15"/>
  <c r="R511" i="15"/>
  <c r="S511" i="15"/>
  <c r="T511" i="15"/>
  <c r="R512" i="15"/>
  <c r="S512" i="15"/>
  <c r="T512" i="15"/>
  <c r="R513" i="15"/>
  <c r="S513" i="15"/>
  <c r="T513" i="15"/>
  <c r="R514" i="15"/>
  <c r="S514" i="15"/>
  <c r="T514" i="15"/>
  <c r="R515" i="15"/>
  <c r="S515" i="15"/>
  <c r="T515" i="15"/>
  <c r="R516" i="15"/>
  <c r="S516" i="15"/>
  <c r="T516" i="15"/>
  <c r="S517" i="15"/>
  <c r="T517" i="15"/>
  <c r="R518" i="15"/>
  <c r="S518" i="15"/>
  <c r="T518" i="15"/>
  <c r="R519" i="15"/>
  <c r="S519" i="15"/>
  <c r="T519" i="15"/>
  <c r="R520" i="15"/>
  <c r="S520" i="15"/>
  <c r="T520" i="15"/>
  <c r="R521" i="15"/>
  <c r="S521" i="15"/>
  <c r="T521" i="15"/>
  <c r="R522" i="15"/>
  <c r="S522" i="15"/>
  <c r="T522" i="15"/>
  <c r="R523" i="15"/>
  <c r="S523" i="15"/>
  <c r="T523" i="15"/>
  <c r="R524" i="15"/>
  <c r="S524" i="15"/>
  <c r="T524" i="15"/>
  <c r="R525" i="15"/>
  <c r="S525" i="15"/>
  <c r="T525" i="15"/>
  <c r="R526" i="15"/>
  <c r="S526" i="15"/>
  <c r="T526" i="15"/>
  <c r="R527" i="15"/>
  <c r="S527" i="15"/>
  <c r="T527" i="15"/>
  <c r="R528" i="15"/>
  <c r="S528" i="15"/>
  <c r="T528" i="15"/>
  <c r="R529" i="15"/>
  <c r="S529" i="15"/>
  <c r="T529" i="15"/>
  <c r="R530" i="15"/>
  <c r="S530" i="15"/>
  <c r="T530" i="15"/>
  <c r="R531" i="15"/>
  <c r="S531" i="15"/>
  <c r="T531" i="15"/>
  <c r="R532" i="15"/>
  <c r="S532" i="15"/>
  <c r="T532" i="15"/>
  <c r="R533" i="15"/>
  <c r="S533" i="15"/>
  <c r="T533" i="15"/>
  <c r="R534" i="15"/>
  <c r="S534" i="15"/>
  <c r="T534" i="15"/>
  <c r="R535" i="15"/>
  <c r="S535" i="15"/>
  <c r="T535" i="15"/>
  <c r="R536" i="15"/>
  <c r="S536" i="15"/>
  <c r="T536" i="15"/>
  <c r="R537" i="15"/>
  <c r="S537" i="15"/>
  <c r="T537" i="15"/>
  <c r="R538" i="15"/>
  <c r="S538" i="15"/>
  <c r="T538" i="15"/>
  <c r="R539" i="15"/>
  <c r="S539" i="15"/>
  <c r="T539" i="15"/>
  <c r="R540" i="15"/>
  <c r="S540" i="15"/>
  <c r="T540" i="15"/>
  <c r="R541" i="15"/>
  <c r="S541" i="15"/>
  <c r="T541" i="15"/>
  <c r="R542" i="15"/>
  <c r="S542" i="15"/>
  <c r="T542" i="15"/>
  <c r="R543" i="15"/>
  <c r="S543" i="15"/>
  <c r="T543" i="15"/>
  <c r="R544" i="15"/>
  <c r="S544" i="15"/>
  <c r="T544" i="15"/>
  <c r="R545" i="15"/>
  <c r="S545" i="15"/>
  <c r="T545" i="15"/>
  <c r="R546" i="15"/>
  <c r="S546" i="15"/>
  <c r="T546" i="15"/>
  <c r="R547" i="15"/>
  <c r="S547" i="15"/>
  <c r="T547" i="15"/>
  <c r="R548" i="15"/>
  <c r="S548" i="15"/>
  <c r="T548" i="15"/>
  <c r="R549" i="15"/>
  <c r="S549" i="15"/>
  <c r="T549" i="15"/>
  <c r="R550" i="15"/>
  <c r="S550" i="15"/>
  <c r="T550" i="15"/>
  <c r="R551" i="15"/>
  <c r="S551" i="15"/>
  <c r="T551" i="15"/>
  <c r="R552" i="15"/>
  <c r="S552" i="15"/>
  <c r="T552" i="15"/>
  <c r="R553" i="15"/>
  <c r="S553" i="15"/>
  <c r="T553" i="15"/>
  <c r="R554" i="15"/>
  <c r="S554" i="15"/>
  <c r="T554" i="15"/>
  <c r="R555" i="15"/>
  <c r="S555" i="15"/>
  <c r="T555" i="15"/>
  <c r="R556" i="15"/>
  <c r="S556" i="15"/>
  <c r="T556" i="15"/>
  <c r="R557" i="15"/>
  <c r="S557" i="15"/>
  <c r="T557" i="15"/>
  <c r="R558" i="15"/>
  <c r="S558" i="15"/>
  <c r="T558" i="15"/>
  <c r="R559" i="15"/>
  <c r="S559" i="15"/>
  <c r="T559" i="15"/>
  <c r="R560" i="15"/>
  <c r="S560" i="15"/>
  <c r="T560" i="15"/>
  <c r="R561" i="15"/>
  <c r="S561" i="15"/>
  <c r="T561" i="15"/>
  <c r="R562" i="15"/>
  <c r="S562" i="15"/>
  <c r="T562" i="15"/>
  <c r="R563" i="15"/>
  <c r="S563" i="15"/>
  <c r="T563" i="15"/>
  <c r="R564" i="15"/>
  <c r="S564" i="15"/>
  <c r="T564" i="15"/>
  <c r="R565" i="15"/>
  <c r="S565" i="15"/>
  <c r="T565" i="15"/>
  <c r="R566" i="15"/>
  <c r="S566" i="15"/>
  <c r="T566" i="15"/>
  <c r="R567" i="15"/>
  <c r="S567" i="15"/>
  <c r="T567" i="15"/>
  <c r="R568" i="15"/>
  <c r="S568" i="15"/>
  <c r="T568" i="15"/>
  <c r="R569" i="15"/>
  <c r="S569" i="15"/>
  <c r="T569" i="15"/>
  <c r="R570" i="15"/>
  <c r="S570" i="15"/>
  <c r="T570" i="15"/>
  <c r="R571" i="15"/>
  <c r="S571" i="15"/>
  <c r="T571" i="15"/>
  <c r="R572" i="15"/>
  <c r="S572" i="15"/>
  <c r="T572" i="15"/>
  <c r="R573" i="15"/>
  <c r="S573" i="15"/>
  <c r="T573" i="15"/>
  <c r="R574" i="15"/>
  <c r="S574" i="15"/>
  <c r="T574" i="15"/>
  <c r="R575" i="15"/>
  <c r="S575" i="15"/>
  <c r="T575" i="15"/>
  <c r="R576" i="15"/>
  <c r="S576" i="15"/>
  <c r="T576" i="15"/>
  <c r="R577" i="15"/>
  <c r="S577" i="15"/>
  <c r="T577" i="15"/>
  <c r="R578" i="15"/>
  <c r="S578" i="15"/>
  <c r="T578" i="15"/>
  <c r="R579" i="15"/>
  <c r="S579" i="15"/>
  <c r="T579" i="15"/>
  <c r="R580" i="15"/>
  <c r="S580" i="15"/>
  <c r="T580" i="15"/>
  <c r="R581" i="15"/>
  <c r="S581" i="15"/>
  <c r="T581" i="15"/>
  <c r="R582" i="15"/>
  <c r="S582" i="15"/>
  <c r="T582" i="15"/>
  <c r="R583" i="15"/>
  <c r="S583" i="15"/>
  <c r="T583" i="15"/>
  <c r="R584" i="15"/>
  <c r="S584" i="15"/>
  <c r="T584" i="15"/>
  <c r="R585" i="15"/>
  <c r="S585" i="15"/>
  <c r="T585" i="15"/>
  <c r="R586" i="15"/>
  <c r="S586" i="15"/>
  <c r="T586" i="15"/>
  <c r="R587" i="15"/>
  <c r="S587" i="15"/>
  <c r="T587" i="15"/>
  <c r="R588" i="15"/>
  <c r="S588" i="15"/>
  <c r="T588" i="15"/>
  <c r="R589" i="15"/>
  <c r="S589" i="15"/>
  <c r="T589" i="15"/>
  <c r="R590" i="15"/>
  <c r="S590" i="15"/>
  <c r="T590" i="15"/>
  <c r="R591" i="15"/>
  <c r="S591" i="15"/>
  <c r="T591" i="15"/>
  <c r="R592" i="15"/>
  <c r="S592" i="15"/>
  <c r="T592" i="15"/>
  <c r="R593" i="15"/>
  <c r="S593" i="15"/>
  <c r="T593" i="15"/>
  <c r="R594" i="15"/>
  <c r="S594" i="15"/>
  <c r="T594" i="15"/>
  <c r="R595" i="15"/>
  <c r="S595" i="15"/>
  <c r="T595" i="15"/>
  <c r="R596" i="15"/>
  <c r="S596" i="15"/>
  <c r="T596" i="15"/>
  <c r="R597" i="15"/>
  <c r="S597" i="15"/>
  <c r="T597" i="15"/>
  <c r="R598" i="15"/>
  <c r="S598" i="15"/>
  <c r="T598" i="15"/>
  <c r="R599" i="15"/>
  <c r="S599" i="15"/>
  <c r="T599" i="15"/>
  <c r="R600" i="15"/>
  <c r="S600" i="15"/>
  <c r="T600" i="15"/>
  <c r="R601" i="15"/>
  <c r="S601" i="15"/>
  <c r="T601" i="15"/>
  <c r="R602" i="15"/>
  <c r="S602" i="15"/>
  <c r="T602" i="15"/>
  <c r="R603" i="15"/>
  <c r="S603" i="15"/>
  <c r="T603" i="15"/>
  <c r="R604" i="15"/>
  <c r="S604" i="15"/>
  <c r="T604" i="15"/>
  <c r="R605" i="15"/>
  <c r="S605" i="15"/>
  <c r="T605" i="15"/>
  <c r="R606" i="15"/>
  <c r="S606" i="15"/>
  <c r="T606" i="15"/>
  <c r="R607" i="15"/>
  <c r="S607" i="15"/>
  <c r="T607" i="15"/>
  <c r="R608" i="15"/>
  <c r="S608" i="15"/>
  <c r="T608" i="15"/>
  <c r="R609" i="15"/>
  <c r="S609" i="15"/>
  <c r="T609" i="15"/>
  <c r="R610" i="15"/>
  <c r="S610" i="15"/>
  <c r="T610" i="15"/>
  <c r="R611" i="15"/>
  <c r="S611" i="15"/>
  <c r="T611" i="15"/>
  <c r="R612" i="15"/>
  <c r="S612" i="15"/>
  <c r="T612" i="15"/>
  <c r="R613" i="15"/>
  <c r="S613" i="15"/>
  <c r="T613" i="15"/>
  <c r="R614" i="15"/>
  <c r="S614" i="15"/>
  <c r="T614" i="15"/>
  <c r="R615" i="15"/>
  <c r="S615" i="15"/>
  <c r="T615" i="15"/>
  <c r="R616" i="15"/>
  <c r="S616" i="15"/>
  <c r="T616" i="15"/>
  <c r="R617" i="15"/>
  <c r="S617" i="15"/>
  <c r="T617" i="15"/>
  <c r="R618" i="15"/>
  <c r="S618" i="15"/>
  <c r="T618" i="15"/>
  <c r="R619" i="15"/>
  <c r="S619" i="15"/>
  <c r="T619" i="15"/>
  <c r="R620" i="15"/>
  <c r="S620" i="15"/>
  <c r="T620" i="15"/>
  <c r="R621" i="15"/>
  <c r="S621" i="15"/>
  <c r="T621" i="15"/>
  <c r="R622" i="15"/>
  <c r="S622" i="15"/>
  <c r="T622" i="15"/>
  <c r="R623" i="15"/>
  <c r="S623" i="15"/>
  <c r="T623" i="15"/>
  <c r="R624" i="15"/>
  <c r="S624" i="15"/>
  <c r="T624" i="15"/>
  <c r="R625" i="15"/>
  <c r="S625" i="15"/>
  <c r="T625" i="15"/>
  <c r="R626" i="15"/>
  <c r="S626" i="15"/>
  <c r="T626" i="15"/>
  <c r="R627" i="15"/>
  <c r="S627" i="15"/>
  <c r="T627" i="15"/>
  <c r="R628" i="15"/>
  <c r="S628" i="15"/>
  <c r="T628" i="15"/>
  <c r="R629" i="15"/>
  <c r="S629" i="15"/>
  <c r="T629" i="15"/>
  <c r="R630" i="15"/>
  <c r="S630" i="15"/>
  <c r="T630" i="15"/>
  <c r="R631" i="15"/>
  <c r="S631" i="15"/>
  <c r="T631" i="15"/>
  <c r="R632" i="15"/>
  <c r="S632" i="15"/>
  <c r="T632" i="15"/>
  <c r="R633" i="15"/>
  <c r="S633" i="15"/>
  <c r="T633" i="15"/>
  <c r="R634" i="15"/>
  <c r="S634" i="15"/>
  <c r="T634" i="15"/>
  <c r="R635" i="15"/>
  <c r="S635" i="15"/>
  <c r="T635" i="15"/>
  <c r="R636" i="15"/>
  <c r="S636" i="15"/>
  <c r="T636" i="15"/>
  <c r="R637" i="15"/>
  <c r="S637" i="15"/>
  <c r="T637" i="15"/>
  <c r="R638" i="15"/>
  <c r="S638" i="15"/>
  <c r="T638" i="15"/>
  <c r="R639" i="15"/>
  <c r="S639" i="15"/>
  <c r="T639" i="15"/>
  <c r="R640" i="15"/>
  <c r="S640" i="15"/>
  <c r="T640" i="15"/>
  <c r="R641" i="15"/>
  <c r="S641" i="15"/>
  <c r="T641" i="15"/>
  <c r="R642" i="15"/>
  <c r="S642" i="15"/>
  <c r="T642" i="15"/>
  <c r="R643" i="15"/>
  <c r="S643" i="15"/>
  <c r="T643" i="15"/>
  <c r="R644" i="15"/>
  <c r="S644" i="15"/>
  <c r="T644" i="15"/>
  <c r="R645" i="15"/>
  <c r="S645" i="15"/>
  <c r="T645" i="15"/>
  <c r="R646" i="15"/>
  <c r="S646" i="15"/>
  <c r="T646" i="15"/>
  <c r="R647" i="15"/>
  <c r="S647" i="15"/>
  <c r="T647" i="15"/>
  <c r="R648" i="15"/>
  <c r="S648" i="15"/>
  <c r="T648" i="15"/>
  <c r="R649" i="15"/>
  <c r="S649" i="15"/>
  <c r="T649" i="15"/>
  <c r="R650" i="15"/>
  <c r="S650" i="15"/>
  <c r="T650" i="15"/>
  <c r="R651" i="15"/>
  <c r="S651" i="15"/>
  <c r="T651" i="15"/>
  <c r="R652" i="15"/>
  <c r="S652" i="15"/>
  <c r="T652" i="15"/>
  <c r="R653" i="15"/>
  <c r="S653" i="15"/>
  <c r="T653" i="15"/>
  <c r="R654" i="15"/>
  <c r="S654" i="15"/>
  <c r="T654" i="15"/>
  <c r="R655" i="15"/>
  <c r="S655" i="15"/>
  <c r="T655" i="15"/>
  <c r="R656" i="15"/>
  <c r="S656" i="15"/>
  <c r="T656" i="15"/>
  <c r="R657" i="15"/>
  <c r="S657" i="15"/>
  <c r="T657" i="15"/>
  <c r="R658" i="15"/>
  <c r="S658" i="15"/>
  <c r="T658" i="15"/>
  <c r="R659" i="15"/>
  <c r="S659" i="15"/>
  <c r="T659" i="15"/>
  <c r="R660" i="15"/>
  <c r="S660" i="15"/>
  <c r="T660" i="15"/>
  <c r="R661" i="15"/>
  <c r="S661" i="15"/>
  <c r="T661" i="15"/>
  <c r="R662" i="15"/>
  <c r="S662" i="15"/>
  <c r="T662" i="15"/>
  <c r="R663" i="15"/>
  <c r="S663" i="15"/>
  <c r="T663" i="15"/>
  <c r="R664" i="15"/>
  <c r="S664" i="15"/>
  <c r="T664" i="15"/>
  <c r="R665" i="15"/>
  <c r="S665" i="15"/>
  <c r="T665" i="15"/>
  <c r="R666" i="15"/>
  <c r="S666" i="15"/>
  <c r="T666" i="15"/>
  <c r="R667" i="15"/>
  <c r="S667" i="15"/>
  <c r="T667" i="15"/>
  <c r="R668" i="15"/>
  <c r="S668" i="15"/>
  <c r="T668" i="15"/>
  <c r="R669" i="15"/>
  <c r="S669" i="15"/>
  <c r="T669" i="15"/>
  <c r="R670" i="15"/>
  <c r="S670" i="15"/>
  <c r="T670" i="15"/>
  <c r="R671" i="15"/>
  <c r="S671" i="15"/>
  <c r="T671" i="15"/>
  <c r="R672" i="15"/>
  <c r="S672" i="15"/>
  <c r="T672" i="15"/>
  <c r="R673" i="15"/>
  <c r="S673" i="15"/>
  <c r="T673" i="15"/>
  <c r="R674" i="15"/>
  <c r="S674" i="15"/>
  <c r="T674" i="15"/>
  <c r="R675" i="15"/>
  <c r="S675" i="15"/>
  <c r="T675" i="15"/>
  <c r="R676" i="15"/>
  <c r="S676" i="15"/>
  <c r="T676" i="15"/>
  <c r="R677" i="15"/>
  <c r="S677" i="15"/>
  <c r="T677" i="15"/>
  <c r="R678" i="15"/>
  <c r="S678" i="15"/>
  <c r="T678" i="15"/>
  <c r="R679" i="15"/>
  <c r="S679" i="15"/>
  <c r="T679" i="15"/>
  <c r="R680" i="15"/>
  <c r="S680" i="15"/>
  <c r="T680" i="15"/>
  <c r="R681" i="15"/>
  <c r="S681" i="15"/>
  <c r="T681" i="15"/>
  <c r="R682" i="15"/>
  <c r="S682" i="15"/>
  <c r="T682" i="15"/>
  <c r="R683" i="15"/>
  <c r="S683" i="15"/>
  <c r="T683" i="15"/>
  <c r="R684" i="15"/>
  <c r="S684" i="15"/>
  <c r="T684" i="15"/>
  <c r="R685" i="15"/>
  <c r="S685" i="15"/>
  <c r="T685" i="15"/>
  <c r="R686" i="15"/>
  <c r="S686" i="15"/>
  <c r="T686" i="15"/>
  <c r="R687" i="15"/>
  <c r="S687" i="15"/>
  <c r="T687" i="15"/>
  <c r="R688" i="15"/>
  <c r="S688" i="15"/>
  <c r="T688" i="15"/>
  <c r="R689" i="15"/>
  <c r="S689" i="15"/>
  <c r="T689" i="15"/>
  <c r="R690" i="15"/>
  <c r="S690" i="15"/>
  <c r="T690" i="15"/>
  <c r="R691" i="15"/>
  <c r="S691" i="15"/>
  <c r="T691" i="15"/>
  <c r="R692" i="15"/>
  <c r="S692" i="15"/>
  <c r="T692" i="15"/>
  <c r="R693" i="15"/>
  <c r="S693" i="15"/>
  <c r="T693" i="15"/>
  <c r="R694" i="15"/>
  <c r="S694" i="15"/>
  <c r="T694" i="15"/>
  <c r="R695" i="15"/>
  <c r="S695" i="15"/>
  <c r="T695" i="15"/>
  <c r="R696" i="15"/>
  <c r="S696" i="15"/>
  <c r="T696" i="15"/>
  <c r="R697" i="15"/>
  <c r="S697" i="15"/>
  <c r="T697" i="15"/>
  <c r="R698" i="15"/>
  <c r="S698" i="15"/>
  <c r="T698" i="15"/>
  <c r="R699" i="15"/>
  <c r="S699" i="15"/>
  <c r="T699" i="15"/>
  <c r="R700" i="15"/>
  <c r="S700" i="15"/>
  <c r="T700" i="15"/>
  <c r="R701" i="15"/>
  <c r="S701" i="15"/>
  <c r="T701" i="15"/>
  <c r="R702" i="15"/>
  <c r="S702" i="15"/>
  <c r="T702" i="15"/>
  <c r="R703" i="15"/>
  <c r="S703" i="15"/>
  <c r="T703" i="15"/>
  <c r="R704" i="15"/>
  <c r="S704" i="15"/>
  <c r="T704" i="15"/>
  <c r="R705" i="15"/>
  <c r="S705" i="15"/>
  <c r="T705" i="15"/>
  <c r="R706" i="15"/>
  <c r="S706" i="15"/>
  <c r="T706" i="15"/>
  <c r="R707" i="15"/>
  <c r="S707" i="15"/>
  <c r="T707" i="15"/>
  <c r="R708" i="15"/>
  <c r="S708" i="15"/>
  <c r="T708" i="15"/>
  <c r="R709" i="15"/>
  <c r="S709" i="15"/>
  <c r="T709" i="15"/>
  <c r="R710" i="15"/>
  <c r="S710" i="15"/>
  <c r="T710" i="15"/>
  <c r="R711" i="15"/>
  <c r="S711" i="15"/>
  <c r="T711" i="15"/>
  <c r="R712" i="15"/>
  <c r="S712" i="15"/>
  <c r="T712" i="15"/>
  <c r="R713" i="15"/>
  <c r="S713" i="15"/>
  <c r="T713" i="15"/>
  <c r="R714" i="15"/>
  <c r="S714" i="15"/>
  <c r="T714" i="15"/>
  <c r="R715" i="15"/>
  <c r="S715" i="15"/>
  <c r="T715" i="15"/>
  <c r="R716" i="15"/>
  <c r="S716" i="15"/>
  <c r="T716" i="15"/>
  <c r="R717" i="15"/>
  <c r="S717" i="15"/>
  <c r="T717" i="15"/>
  <c r="R718" i="15"/>
  <c r="S718" i="15"/>
  <c r="T718" i="15"/>
  <c r="R719" i="15"/>
  <c r="S719" i="15"/>
  <c r="T719" i="15"/>
  <c r="R720" i="15"/>
  <c r="S720" i="15"/>
  <c r="T720" i="15"/>
  <c r="R721" i="15"/>
  <c r="S721" i="15"/>
  <c r="T721" i="15"/>
  <c r="R722" i="15"/>
  <c r="S722" i="15"/>
  <c r="T722" i="15"/>
  <c r="R723" i="15"/>
  <c r="S723" i="15"/>
  <c r="T723" i="15"/>
  <c r="R724" i="15"/>
  <c r="S724" i="15"/>
  <c r="T724" i="15"/>
  <c r="R725" i="15"/>
  <c r="S725" i="15"/>
  <c r="T725" i="15"/>
  <c r="R726" i="15"/>
  <c r="S726" i="15"/>
  <c r="T726" i="15"/>
  <c r="R727" i="15"/>
  <c r="S727" i="15"/>
  <c r="T727" i="15"/>
  <c r="R728" i="15"/>
  <c r="S728" i="15"/>
  <c r="T728" i="15"/>
  <c r="R729" i="15"/>
  <c r="S729" i="15"/>
  <c r="T729" i="15"/>
  <c r="R730" i="15"/>
  <c r="S730" i="15"/>
  <c r="T730" i="15"/>
  <c r="R731" i="15"/>
  <c r="S731" i="15"/>
  <c r="T731" i="15"/>
  <c r="R732" i="15"/>
  <c r="S732" i="15"/>
  <c r="T732" i="15"/>
  <c r="R733" i="15"/>
  <c r="S733" i="15"/>
  <c r="T733" i="15"/>
  <c r="R734" i="15"/>
  <c r="S734" i="15"/>
  <c r="T734" i="15"/>
  <c r="R735" i="15"/>
  <c r="S735" i="15"/>
  <c r="T735" i="15"/>
  <c r="R736" i="15"/>
  <c r="S736" i="15"/>
  <c r="T736" i="15"/>
  <c r="R737" i="15"/>
  <c r="S737" i="15"/>
  <c r="T737" i="15"/>
  <c r="R738" i="15"/>
  <c r="S738" i="15"/>
  <c r="T738" i="15"/>
  <c r="R739" i="15"/>
  <c r="S739" i="15"/>
  <c r="T739" i="15"/>
  <c r="R740" i="15"/>
  <c r="S740" i="15"/>
  <c r="T740" i="15"/>
  <c r="R741" i="15"/>
  <c r="S741" i="15"/>
  <c r="T741" i="15"/>
  <c r="R742" i="15"/>
  <c r="S742" i="15"/>
  <c r="T742" i="15"/>
  <c r="R743" i="15"/>
  <c r="S743" i="15"/>
  <c r="T743" i="15"/>
  <c r="R744" i="15"/>
  <c r="S744" i="15"/>
  <c r="T744" i="15"/>
  <c r="R745" i="15"/>
  <c r="S745" i="15"/>
  <c r="T745" i="15"/>
  <c r="R746" i="15"/>
  <c r="S746" i="15"/>
  <c r="T746" i="15"/>
  <c r="R747" i="15"/>
  <c r="S747" i="15"/>
  <c r="T747" i="15"/>
  <c r="R748" i="15"/>
  <c r="S748" i="15"/>
  <c r="T748" i="15"/>
  <c r="R749" i="15"/>
  <c r="S749" i="15"/>
  <c r="T749" i="15"/>
  <c r="R750" i="15"/>
  <c r="S750" i="15"/>
  <c r="T750" i="15"/>
  <c r="R751" i="15"/>
  <c r="S751" i="15"/>
  <c r="T751" i="15"/>
  <c r="R752" i="15"/>
  <c r="S752" i="15"/>
  <c r="T752" i="15"/>
  <c r="R753" i="15"/>
  <c r="S753" i="15"/>
  <c r="T753" i="15"/>
  <c r="R754" i="15"/>
  <c r="S754" i="15"/>
  <c r="T754" i="15"/>
  <c r="R755" i="15"/>
  <c r="S755" i="15"/>
  <c r="T755" i="15"/>
  <c r="R756" i="15"/>
  <c r="S756" i="15"/>
  <c r="T756" i="15"/>
  <c r="R757" i="15"/>
  <c r="S757" i="15"/>
  <c r="T757" i="15"/>
  <c r="R758" i="15"/>
  <c r="S758" i="15"/>
  <c r="T758" i="15"/>
  <c r="R759" i="15"/>
  <c r="S759" i="15"/>
  <c r="T759" i="15"/>
  <c r="R760" i="15"/>
  <c r="S760" i="15"/>
  <c r="T760" i="15"/>
  <c r="R761" i="15"/>
  <c r="S761" i="15"/>
  <c r="T761" i="15"/>
  <c r="R762" i="15"/>
  <c r="S762" i="15"/>
  <c r="T762" i="15"/>
  <c r="R763" i="15"/>
  <c r="S763" i="15"/>
  <c r="T763" i="15"/>
  <c r="R764" i="15"/>
  <c r="S764" i="15"/>
  <c r="T764" i="15"/>
  <c r="R765" i="15"/>
  <c r="S765" i="15"/>
  <c r="T765" i="15"/>
  <c r="R766" i="15"/>
  <c r="S766" i="15"/>
  <c r="T766" i="15"/>
  <c r="R767" i="15"/>
  <c r="S767" i="15"/>
  <c r="T767" i="15"/>
  <c r="R768" i="15"/>
  <c r="S768" i="15"/>
  <c r="T768" i="15"/>
  <c r="R769" i="15"/>
  <c r="S769" i="15"/>
  <c r="T769" i="15"/>
  <c r="R770" i="15"/>
  <c r="S770" i="15"/>
  <c r="T770" i="15"/>
  <c r="R771" i="15"/>
  <c r="S771" i="15"/>
  <c r="T771" i="15"/>
  <c r="R772" i="15"/>
  <c r="S772" i="15"/>
  <c r="T772" i="15"/>
  <c r="R773" i="15"/>
  <c r="S773" i="15"/>
  <c r="T773" i="15"/>
  <c r="R774" i="15"/>
  <c r="S774" i="15"/>
  <c r="T774" i="15"/>
  <c r="R775" i="15"/>
  <c r="S775" i="15"/>
  <c r="T775" i="15"/>
  <c r="R776" i="15"/>
  <c r="S776" i="15"/>
  <c r="T776" i="15"/>
  <c r="R777" i="15"/>
  <c r="S777" i="15"/>
  <c r="T777" i="15"/>
  <c r="R778" i="15"/>
  <c r="S778" i="15"/>
  <c r="T778" i="15"/>
  <c r="R779" i="15"/>
  <c r="S779" i="15"/>
  <c r="T779" i="15"/>
  <c r="R780" i="15"/>
  <c r="S780" i="15"/>
  <c r="T780" i="15"/>
  <c r="R781" i="15"/>
  <c r="S781" i="15"/>
  <c r="T781" i="15"/>
  <c r="R782" i="15"/>
  <c r="S782" i="15"/>
  <c r="T782" i="15"/>
  <c r="R783" i="15"/>
  <c r="S783" i="15"/>
  <c r="T783" i="15"/>
  <c r="R784" i="15"/>
  <c r="S784" i="15"/>
  <c r="T784" i="15"/>
  <c r="R785" i="15"/>
  <c r="S785" i="15"/>
  <c r="T785" i="15"/>
  <c r="R786" i="15"/>
  <c r="S786" i="15"/>
  <c r="T786" i="15"/>
  <c r="R787" i="15"/>
  <c r="S787" i="15"/>
  <c r="T787" i="15"/>
  <c r="R788" i="15"/>
  <c r="S788" i="15"/>
  <c r="T788" i="15"/>
  <c r="R789" i="15"/>
  <c r="S789" i="15"/>
  <c r="T789" i="15"/>
  <c r="R790" i="15"/>
  <c r="S790" i="15"/>
  <c r="T790" i="15"/>
  <c r="R791" i="15"/>
  <c r="S791" i="15"/>
  <c r="T791" i="15"/>
  <c r="R792" i="15"/>
  <c r="S792" i="15"/>
  <c r="T792" i="15"/>
  <c r="R793" i="15"/>
  <c r="S793" i="15"/>
  <c r="T793" i="15"/>
  <c r="R794" i="15"/>
  <c r="S794" i="15"/>
  <c r="T794" i="15"/>
  <c r="R795" i="15"/>
  <c r="S795" i="15"/>
  <c r="T795" i="15"/>
  <c r="R796" i="15"/>
  <c r="S796" i="15"/>
  <c r="T796" i="15"/>
  <c r="R797" i="15"/>
  <c r="S797" i="15"/>
  <c r="T797" i="15"/>
  <c r="R798" i="15"/>
  <c r="S798" i="15"/>
  <c r="T798" i="15"/>
  <c r="R799" i="15"/>
  <c r="S799" i="15"/>
  <c r="T799" i="15"/>
  <c r="R800" i="15"/>
  <c r="S800" i="15"/>
  <c r="T800" i="15"/>
  <c r="R801" i="15"/>
  <c r="S801" i="15"/>
  <c r="T801" i="15"/>
  <c r="R802" i="15"/>
  <c r="S802" i="15"/>
  <c r="T802" i="15"/>
  <c r="R803" i="15"/>
  <c r="S803" i="15"/>
  <c r="T803" i="15"/>
  <c r="R804" i="15"/>
  <c r="S804" i="15"/>
  <c r="T804" i="15"/>
  <c r="R805" i="15"/>
  <c r="S805" i="15"/>
  <c r="T805" i="15"/>
  <c r="R806" i="15"/>
  <c r="S806" i="15"/>
  <c r="T806" i="15"/>
  <c r="R807" i="15"/>
  <c r="S807" i="15"/>
  <c r="T807" i="15"/>
  <c r="R808" i="15"/>
  <c r="S808" i="15"/>
  <c r="T808" i="15"/>
  <c r="R809" i="15"/>
  <c r="S809" i="15"/>
  <c r="T809" i="15"/>
  <c r="R810" i="15"/>
  <c r="S810" i="15"/>
  <c r="T810" i="15"/>
  <c r="R811" i="15"/>
  <c r="S811" i="15"/>
  <c r="T811" i="15"/>
  <c r="R812" i="15"/>
  <c r="S812" i="15"/>
  <c r="T812" i="15"/>
  <c r="R813" i="15"/>
  <c r="S813" i="15"/>
  <c r="T813" i="15"/>
  <c r="R814" i="15"/>
  <c r="S814" i="15"/>
  <c r="T814" i="15"/>
  <c r="R815" i="15"/>
  <c r="S815" i="15"/>
  <c r="T815" i="15"/>
  <c r="R816" i="15"/>
  <c r="S816" i="15"/>
  <c r="T816" i="15"/>
  <c r="R817" i="15"/>
  <c r="S817" i="15"/>
  <c r="T817" i="15"/>
  <c r="R818" i="15"/>
  <c r="S818" i="15"/>
  <c r="T818" i="15"/>
  <c r="R819" i="15"/>
  <c r="S819" i="15"/>
  <c r="T819" i="15"/>
  <c r="R820" i="15"/>
  <c r="S820" i="15"/>
  <c r="T820" i="15"/>
  <c r="R821" i="15"/>
  <c r="S821" i="15"/>
  <c r="T821" i="15"/>
  <c r="R822" i="15"/>
  <c r="S822" i="15"/>
  <c r="T822" i="15"/>
  <c r="R823" i="15"/>
  <c r="S823" i="15"/>
  <c r="T823" i="15"/>
  <c r="R824" i="15"/>
  <c r="S824" i="15"/>
  <c r="T824" i="15"/>
  <c r="R825" i="15"/>
  <c r="S825" i="15"/>
  <c r="T825" i="15"/>
  <c r="R826" i="15"/>
  <c r="S826" i="15"/>
  <c r="T826" i="15"/>
  <c r="R827" i="15"/>
  <c r="S827" i="15"/>
  <c r="T827" i="15"/>
  <c r="R828" i="15"/>
  <c r="S828" i="15"/>
  <c r="T828" i="15"/>
  <c r="R829" i="15"/>
  <c r="S829" i="15"/>
  <c r="T829" i="15"/>
  <c r="R830" i="15"/>
  <c r="S830" i="15"/>
  <c r="T830" i="15"/>
  <c r="R831" i="15"/>
  <c r="S831" i="15"/>
  <c r="T831" i="15"/>
  <c r="R832" i="15"/>
  <c r="S832" i="15"/>
  <c r="T832" i="15"/>
  <c r="R833" i="15"/>
  <c r="S833" i="15"/>
  <c r="T833" i="15"/>
  <c r="R834" i="15"/>
  <c r="S834" i="15"/>
  <c r="T834" i="15"/>
  <c r="R835" i="15"/>
  <c r="S835" i="15"/>
  <c r="T835" i="15"/>
  <c r="R836" i="15"/>
  <c r="S836" i="15"/>
  <c r="T836" i="15"/>
  <c r="R837" i="15"/>
  <c r="S837" i="15"/>
  <c r="T837" i="15"/>
  <c r="R838" i="15"/>
  <c r="S838" i="15"/>
  <c r="T838" i="15"/>
  <c r="R839" i="15"/>
  <c r="S839" i="15"/>
  <c r="T839" i="15"/>
  <c r="R840" i="15"/>
  <c r="S840" i="15"/>
  <c r="T840" i="15"/>
  <c r="R841" i="15"/>
  <c r="S841" i="15"/>
  <c r="T841" i="15"/>
  <c r="R842" i="15"/>
  <c r="S842" i="15"/>
  <c r="T842" i="15"/>
  <c r="R843" i="15"/>
  <c r="S843" i="15"/>
  <c r="T843" i="15"/>
  <c r="R844" i="15"/>
  <c r="S844" i="15"/>
  <c r="T844" i="15"/>
  <c r="R845" i="15"/>
  <c r="S845" i="15"/>
  <c r="T845" i="15"/>
  <c r="R846" i="15"/>
  <c r="S846" i="15"/>
  <c r="T846" i="15"/>
  <c r="R847" i="15"/>
  <c r="S847" i="15"/>
  <c r="T847" i="15"/>
  <c r="R848" i="15"/>
  <c r="S848" i="15"/>
  <c r="T848" i="15"/>
  <c r="R849" i="15"/>
  <c r="S849" i="15"/>
  <c r="T849" i="15"/>
  <c r="R850" i="15"/>
  <c r="S850" i="15"/>
  <c r="T850" i="15"/>
  <c r="R851" i="15"/>
  <c r="S851" i="15"/>
  <c r="T851" i="15"/>
  <c r="R852" i="15"/>
  <c r="S852" i="15"/>
  <c r="T852" i="15"/>
  <c r="R853" i="15"/>
  <c r="S853" i="15"/>
  <c r="T853" i="15"/>
  <c r="R854" i="15"/>
  <c r="S854" i="15"/>
  <c r="T854" i="15"/>
  <c r="R855" i="15"/>
  <c r="S855" i="15"/>
  <c r="T855" i="15"/>
  <c r="R856" i="15"/>
  <c r="S856" i="15"/>
  <c r="T856" i="15"/>
  <c r="R857" i="15"/>
  <c r="S857" i="15"/>
  <c r="T857" i="15"/>
  <c r="R858" i="15"/>
  <c r="S858" i="15"/>
  <c r="T858" i="15"/>
  <c r="R859" i="15"/>
  <c r="S859" i="15"/>
  <c r="T859" i="15"/>
  <c r="R860" i="15"/>
  <c r="S860" i="15"/>
  <c r="T860" i="15"/>
  <c r="R861" i="15"/>
  <c r="S861" i="15"/>
  <c r="T861" i="15"/>
  <c r="R862" i="15"/>
  <c r="S862" i="15"/>
  <c r="T862" i="15"/>
  <c r="R863" i="15"/>
  <c r="S863" i="15"/>
  <c r="T863" i="15"/>
  <c r="R864" i="15"/>
  <c r="S864" i="15"/>
  <c r="T864" i="15"/>
  <c r="R865" i="15"/>
  <c r="S865" i="15"/>
  <c r="T865" i="15"/>
  <c r="R866" i="15"/>
  <c r="S866" i="15"/>
  <c r="T866" i="15"/>
  <c r="R867" i="15"/>
  <c r="S867" i="15"/>
  <c r="T867" i="15"/>
  <c r="R868" i="15"/>
  <c r="S868" i="15"/>
  <c r="T868" i="15"/>
  <c r="R869" i="15"/>
  <c r="S869" i="15"/>
  <c r="T869" i="15"/>
  <c r="R870" i="15"/>
  <c r="S870" i="15"/>
  <c r="T870" i="15"/>
  <c r="R871" i="15"/>
  <c r="S871" i="15"/>
  <c r="T871" i="15"/>
  <c r="R872" i="15"/>
  <c r="S872" i="15"/>
  <c r="T872" i="15"/>
  <c r="R873" i="15"/>
  <c r="S873" i="15"/>
  <c r="T873" i="15"/>
  <c r="R874" i="15"/>
  <c r="S874" i="15"/>
  <c r="T874" i="15"/>
  <c r="R875" i="15"/>
  <c r="S875" i="15"/>
  <c r="T875" i="15"/>
  <c r="R876" i="15"/>
  <c r="S876" i="15"/>
  <c r="T876" i="15"/>
  <c r="R877" i="15"/>
  <c r="S877" i="15"/>
  <c r="T877" i="15"/>
  <c r="R878" i="15"/>
  <c r="S878" i="15"/>
  <c r="T878" i="15"/>
  <c r="R879" i="15"/>
  <c r="S879" i="15"/>
  <c r="T879" i="15"/>
  <c r="R880" i="15"/>
  <c r="S880" i="15"/>
  <c r="T880" i="15"/>
  <c r="R881" i="15"/>
  <c r="S881" i="15"/>
  <c r="T881" i="15"/>
  <c r="R882" i="15"/>
  <c r="S882" i="15"/>
  <c r="T882" i="15"/>
  <c r="R883" i="15"/>
  <c r="S883" i="15"/>
  <c r="T883" i="15"/>
  <c r="R884" i="15"/>
  <c r="S884" i="15"/>
  <c r="T884" i="15"/>
  <c r="R885" i="15"/>
  <c r="S885" i="15"/>
  <c r="T885" i="15"/>
  <c r="R886" i="15"/>
  <c r="S886" i="15"/>
  <c r="T886" i="15"/>
  <c r="R887" i="15"/>
  <c r="S887" i="15"/>
  <c r="T887" i="15"/>
  <c r="R888" i="15"/>
  <c r="S888" i="15"/>
  <c r="T888" i="15"/>
  <c r="R889" i="15"/>
  <c r="S889" i="15"/>
  <c r="T889" i="15"/>
  <c r="R890" i="15"/>
  <c r="S890" i="15"/>
  <c r="T890" i="15"/>
  <c r="R891" i="15"/>
  <c r="S891" i="15"/>
  <c r="T891" i="15"/>
  <c r="R892" i="15"/>
  <c r="S892" i="15"/>
  <c r="T892" i="15"/>
  <c r="R893" i="15"/>
  <c r="S893" i="15"/>
  <c r="T893" i="15"/>
  <c r="R894" i="15"/>
  <c r="S894" i="15"/>
  <c r="T894" i="15"/>
  <c r="R895" i="15"/>
  <c r="S895" i="15"/>
  <c r="T895" i="15"/>
  <c r="R896" i="15"/>
  <c r="S896" i="15"/>
  <c r="T896" i="15"/>
  <c r="R897" i="15"/>
  <c r="S897" i="15"/>
  <c r="T897" i="15"/>
  <c r="R898" i="15"/>
  <c r="S898" i="15"/>
  <c r="T898" i="15"/>
  <c r="R899" i="15"/>
  <c r="S899" i="15"/>
  <c r="T899" i="15"/>
  <c r="R900" i="15"/>
  <c r="S900" i="15"/>
  <c r="T900" i="15"/>
  <c r="R901" i="15"/>
  <c r="S901" i="15"/>
  <c r="T901" i="15"/>
  <c r="R902" i="15"/>
  <c r="S902" i="15"/>
  <c r="T902" i="15"/>
  <c r="R903" i="15"/>
  <c r="S903" i="15"/>
  <c r="T903" i="15"/>
  <c r="R904" i="15"/>
  <c r="S904" i="15"/>
  <c r="T904" i="15"/>
  <c r="R905" i="15"/>
  <c r="S905" i="15"/>
  <c r="T905" i="15"/>
  <c r="R906" i="15"/>
  <c r="S906" i="15"/>
  <c r="T906" i="15"/>
  <c r="R907" i="15"/>
  <c r="S907" i="15"/>
  <c r="T907" i="15"/>
  <c r="R908" i="15"/>
  <c r="S908" i="15"/>
  <c r="T908" i="15"/>
  <c r="R909" i="15"/>
  <c r="S909" i="15"/>
  <c r="T909" i="15"/>
  <c r="R910" i="15"/>
  <c r="S910" i="15"/>
  <c r="T910" i="15"/>
  <c r="R911" i="15"/>
  <c r="S911" i="15"/>
  <c r="T911" i="15"/>
  <c r="R912" i="15"/>
  <c r="S912" i="15"/>
  <c r="T912" i="15"/>
  <c r="R913" i="15"/>
  <c r="S913" i="15"/>
  <c r="T913" i="15"/>
  <c r="R914" i="15"/>
  <c r="S914" i="15"/>
  <c r="T914" i="15"/>
  <c r="R915" i="15"/>
  <c r="S915" i="15"/>
  <c r="T915" i="15"/>
  <c r="R916" i="15"/>
  <c r="S916" i="15"/>
  <c r="T916" i="15"/>
  <c r="R917" i="15"/>
  <c r="S917" i="15"/>
  <c r="T917" i="15"/>
  <c r="R918" i="15"/>
  <c r="S918" i="15"/>
  <c r="T918" i="15"/>
  <c r="R919" i="15"/>
  <c r="S919" i="15"/>
  <c r="T919" i="15"/>
  <c r="R920" i="15"/>
  <c r="S920" i="15"/>
  <c r="T920" i="15"/>
  <c r="R921" i="15"/>
  <c r="S921" i="15"/>
  <c r="T921" i="15"/>
  <c r="R922" i="15"/>
  <c r="S922" i="15"/>
  <c r="T922" i="15"/>
  <c r="R923" i="15"/>
  <c r="S923" i="15"/>
  <c r="T923" i="15"/>
  <c r="R924" i="15"/>
  <c r="S924" i="15"/>
  <c r="T924" i="15"/>
  <c r="R925" i="15"/>
  <c r="S925" i="15"/>
  <c r="T925" i="15"/>
  <c r="R926" i="15"/>
  <c r="S926" i="15"/>
  <c r="T926" i="15"/>
  <c r="R927" i="15"/>
  <c r="S927" i="15"/>
  <c r="T927" i="15"/>
  <c r="R928" i="15"/>
  <c r="S928" i="15"/>
  <c r="T928" i="15"/>
  <c r="R929" i="15"/>
  <c r="S929" i="15"/>
  <c r="T929" i="15"/>
  <c r="R930" i="15"/>
  <c r="S930" i="15"/>
  <c r="T930" i="15"/>
  <c r="R931" i="15"/>
  <c r="S931" i="15"/>
  <c r="T931" i="15"/>
  <c r="R932" i="15"/>
  <c r="S932" i="15"/>
  <c r="T932" i="15"/>
  <c r="R933" i="15"/>
  <c r="S933" i="15"/>
  <c r="T933" i="15"/>
  <c r="R934" i="15"/>
  <c r="S934" i="15"/>
  <c r="T934" i="15"/>
  <c r="R935" i="15"/>
  <c r="S935" i="15"/>
  <c r="T935" i="15"/>
  <c r="R936" i="15"/>
  <c r="S936" i="15"/>
  <c r="T936" i="15"/>
  <c r="R937" i="15"/>
  <c r="S937" i="15"/>
  <c r="T937" i="15"/>
  <c r="R938" i="15"/>
  <c r="S938" i="15"/>
  <c r="T938" i="15"/>
  <c r="R939" i="15"/>
  <c r="S939" i="15"/>
  <c r="T939" i="15"/>
  <c r="R940" i="15"/>
  <c r="S940" i="15"/>
  <c r="T940" i="15"/>
  <c r="R941" i="15"/>
  <c r="S941" i="15"/>
  <c r="T941" i="15"/>
  <c r="R942" i="15"/>
  <c r="S942" i="15"/>
  <c r="T942" i="15"/>
  <c r="R943" i="15"/>
  <c r="S943" i="15"/>
  <c r="T943" i="15"/>
  <c r="S4" i="15"/>
  <c r="T4" i="15"/>
  <c r="R4" i="15"/>
  <c r="AP396" i="15"/>
  <c r="BD943" i="15"/>
  <c r="AQ943" i="15" a="1"/>
  <c r="AQ943" i="15" s="1"/>
  <c r="AP943" i="15"/>
  <c r="BD942" i="15"/>
  <c r="AQ942" i="15" a="1"/>
  <c r="AQ942" i="15" s="1"/>
  <c r="AP942" i="15"/>
  <c r="BD941" i="15"/>
  <c r="AQ941" i="15" a="1"/>
  <c r="AQ941" i="15" s="1"/>
  <c r="AP941" i="15"/>
  <c r="BD940" i="15"/>
  <c r="AQ940" i="15" a="1"/>
  <c r="AQ940" i="15" s="1"/>
  <c r="AP940" i="15"/>
  <c r="BD939" i="15"/>
  <c r="AQ939" i="15" a="1"/>
  <c r="AQ939" i="15" s="1"/>
  <c r="AP939" i="15"/>
  <c r="BD938" i="15"/>
  <c r="AQ938" i="15" a="1"/>
  <c r="AQ938" i="15" s="1"/>
  <c r="AP938" i="15"/>
  <c r="BD937" i="15"/>
  <c r="AQ937" i="15" a="1"/>
  <c r="AQ937" i="15" s="1"/>
  <c r="AP937" i="15"/>
  <c r="BD936" i="15"/>
  <c r="AQ936" i="15" a="1"/>
  <c r="AQ936" i="15" s="1"/>
  <c r="AP936" i="15"/>
  <c r="BD935" i="15"/>
  <c r="AQ935" i="15" a="1"/>
  <c r="AQ935" i="15" s="1"/>
  <c r="AP935" i="15"/>
  <c r="BD934" i="15"/>
  <c r="AQ934" i="15" a="1"/>
  <c r="AQ934" i="15" s="1"/>
  <c r="AP934" i="15"/>
  <c r="BD933" i="15"/>
  <c r="AQ933" i="15" a="1"/>
  <c r="AQ933" i="15" s="1"/>
  <c r="AP933" i="15"/>
  <c r="BD932" i="15"/>
  <c r="AQ932" i="15" a="1"/>
  <c r="AQ932" i="15" s="1"/>
  <c r="AP932" i="15"/>
  <c r="BD931" i="15"/>
  <c r="AQ931" i="15" a="1"/>
  <c r="AQ931" i="15" s="1"/>
  <c r="AP931" i="15"/>
  <c r="BD930" i="15"/>
  <c r="AQ930" i="15" a="1"/>
  <c r="AQ930" i="15" s="1"/>
  <c r="AP930" i="15"/>
  <c r="BD929" i="15"/>
  <c r="AQ929" i="15" a="1"/>
  <c r="AQ929" i="15" s="1"/>
  <c r="AP929" i="15"/>
  <c r="BD928" i="15"/>
  <c r="AQ928" i="15" a="1"/>
  <c r="AQ928" i="15" s="1"/>
  <c r="AP928" i="15"/>
  <c r="BD927" i="15"/>
  <c r="AQ927" i="15" a="1"/>
  <c r="AQ927" i="15" s="1"/>
  <c r="AP927" i="15"/>
  <c r="BD926" i="15"/>
  <c r="AQ926" i="15" a="1"/>
  <c r="AQ926" i="15" s="1"/>
  <c r="AP926" i="15"/>
  <c r="BD925" i="15"/>
  <c r="AQ925" i="15" a="1"/>
  <c r="AQ925" i="15" s="1"/>
  <c r="AP925" i="15"/>
  <c r="BD924" i="15"/>
  <c r="AQ924" i="15" a="1"/>
  <c r="AQ924" i="15" s="1"/>
  <c r="AP924" i="15"/>
  <c r="BD923" i="15"/>
  <c r="AQ923" i="15" a="1"/>
  <c r="AQ923" i="15" s="1"/>
  <c r="AP923" i="15"/>
  <c r="BD922" i="15"/>
  <c r="AQ922" i="15" a="1"/>
  <c r="AQ922" i="15" s="1"/>
  <c r="AP922" i="15"/>
  <c r="BD921" i="15"/>
  <c r="AQ921" i="15" a="1"/>
  <c r="AQ921" i="15" s="1"/>
  <c r="AP921" i="15"/>
  <c r="BD920" i="15"/>
  <c r="AQ920" i="15" a="1"/>
  <c r="AQ920" i="15" s="1"/>
  <c r="AP920" i="15"/>
  <c r="BD919" i="15"/>
  <c r="AQ919" i="15" a="1"/>
  <c r="AQ919" i="15" s="1"/>
  <c r="AP919" i="15"/>
  <c r="BD918" i="15"/>
  <c r="AQ918" i="15" a="1"/>
  <c r="AQ918" i="15" s="1"/>
  <c r="AP918" i="15"/>
  <c r="BD917" i="15"/>
  <c r="AQ917" i="15" a="1"/>
  <c r="AQ917" i="15" s="1"/>
  <c r="AP917" i="15"/>
  <c r="BD916" i="15"/>
  <c r="AQ916" i="15" a="1"/>
  <c r="AQ916" i="15" s="1"/>
  <c r="AP916" i="15"/>
  <c r="BD915" i="15"/>
  <c r="AQ915" i="15" a="1"/>
  <c r="AQ915" i="15" s="1"/>
  <c r="AP915" i="15"/>
  <c r="BD914" i="15"/>
  <c r="AQ914" i="15" a="1"/>
  <c r="AQ914" i="15" s="1"/>
  <c r="AP914" i="15"/>
  <c r="BD913" i="15"/>
  <c r="AQ913" i="15" a="1"/>
  <c r="AQ913" i="15" s="1"/>
  <c r="AP913" i="15"/>
  <c r="BD912" i="15"/>
  <c r="AQ912" i="15" a="1"/>
  <c r="AQ912" i="15" s="1"/>
  <c r="AP912" i="15"/>
  <c r="BD911" i="15"/>
  <c r="AQ911" i="15" a="1"/>
  <c r="AQ911" i="15" s="1"/>
  <c r="AP911" i="15"/>
  <c r="BD910" i="15"/>
  <c r="AQ910" i="15" a="1"/>
  <c r="AQ910" i="15" s="1"/>
  <c r="AP910" i="15"/>
  <c r="BD909" i="15"/>
  <c r="AQ909" i="15" a="1"/>
  <c r="AQ909" i="15" s="1"/>
  <c r="AP909" i="15"/>
  <c r="BD908" i="15"/>
  <c r="AQ908" i="15" a="1"/>
  <c r="AQ908" i="15" s="1"/>
  <c r="AP908" i="15"/>
  <c r="BD907" i="15"/>
  <c r="AQ907" i="15" a="1"/>
  <c r="AQ907" i="15" s="1"/>
  <c r="AP907" i="15"/>
  <c r="BD906" i="15"/>
  <c r="AQ906" i="15" a="1"/>
  <c r="AQ906" i="15" s="1"/>
  <c r="AP906" i="15"/>
  <c r="BD905" i="15"/>
  <c r="AQ905" i="15" a="1"/>
  <c r="AQ905" i="15" s="1"/>
  <c r="AP905" i="15"/>
  <c r="BD904" i="15"/>
  <c r="AQ904" i="15" a="1"/>
  <c r="AQ904" i="15" s="1"/>
  <c r="AP904" i="15"/>
  <c r="BD903" i="15"/>
  <c r="AQ903" i="15" a="1"/>
  <c r="AQ903" i="15" s="1"/>
  <c r="AP903" i="15"/>
  <c r="BD902" i="15"/>
  <c r="AQ902" i="15" a="1"/>
  <c r="AQ902" i="15" s="1"/>
  <c r="AP902" i="15"/>
  <c r="BD901" i="15"/>
  <c r="AQ901" i="15" a="1"/>
  <c r="AQ901" i="15" s="1"/>
  <c r="AP901" i="15"/>
  <c r="BD900" i="15"/>
  <c r="AQ900" i="15" a="1"/>
  <c r="AQ900" i="15" s="1"/>
  <c r="AP900" i="15"/>
  <c r="BD899" i="15"/>
  <c r="AQ899" i="15" a="1"/>
  <c r="AQ899" i="15" s="1"/>
  <c r="AP899" i="15"/>
  <c r="BD898" i="15"/>
  <c r="AQ898" i="15" a="1"/>
  <c r="AQ898" i="15" s="1"/>
  <c r="AP898" i="15"/>
  <c r="BD897" i="15"/>
  <c r="AQ897" i="15" a="1"/>
  <c r="AQ897" i="15" s="1"/>
  <c r="AP897" i="15"/>
  <c r="BD896" i="15"/>
  <c r="AQ896" i="15" a="1"/>
  <c r="AQ896" i="15" s="1"/>
  <c r="AP896" i="15"/>
  <c r="BD895" i="15"/>
  <c r="AQ895" i="15" a="1"/>
  <c r="AQ895" i="15" s="1"/>
  <c r="AP895" i="15"/>
  <c r="BD894" i="15"/>
  <c r="AQ894" i="15" a="1"/>
  <c r="AQ894" i="15" s="1"/>
  <c r="AP894" i="15"/>
  <c r="BD893" i="15"/>
  <c r="AQ893" i="15" a="1"/>
  <c r="AQ893" i="15" s="1"/>
  <c r="AP893" i="15"/>
  <c r="BD892" i="15"/>
  <c r="AQ892" i="15" a="1"/>
  <c r="AQ892" i="15" s="1"/>
  <c r="AP892" i="15"/>
  <c r="BD891" i="15"/>
  <c r="AQ891" i="15" a="1"/>
  <c r="AQ891" i="15" s="1"/>
  <c r="AP891" i="15"/>
  <c r="BD890" i="15"/>
  <c r="AQ890" i="15" a="1"/>
  <c r="AQ890" i="15" s="1"/>
  <c r="AP890" i="15"/>
  <c r="BD889" i="15"/>
  <c r="AQ889" i="15" a="1"/>
  <c r="AQ889" i="15" s="1"/>
  <c r="AP889" i="15"/>
  <c r="BD888" i="15"/>
  <c r="AQ888" i="15" a="1"/>
  <c r="AQ888" i="15" s="1"/>
  <c r="AP888" i="15"/>
  <c r="BD887" i="15"/>
  <c r="AQ887" i="15" a="1"/>
  <c r="AQ887" i="15" s="1"/>
  <c r="AP887" i="15"/>
  <c r="BD886" i="15"/>
  <c r="AQ886" i="15" a="1"/>
  <c r="AQ886" i="15" s="1"/>
  <c r="AP886" i="15"/>
  <c r="BD885" i="15"/>
  <c r="AQ885" i="15" a="1"/>
  <c r="AQ885" i="15" s="1"/>
  <c r="AP885" i="15"/>
  <c r="BD884" i="15"/>
  <c r="AQ884" i="15" a="1"/>
  <c r="AQ884" i="15" s="1"/>
  <c r="AP884" i="15"/>
  <c r="BD883" i="15"/>
  <c r="AQ883" i="15" a="1"/>
  <c r="AQ883" i="15" s="1"/>
  <c r="AP883" i="15"/>
  <c r="BD882" i="15"/>
  <c r="AQ882" i="15" a="1"/>
  <c r="AQ882" i="15" s="1"/>
  <c r="AP882" i="15"/>
  <c r="BD881" i="15"/>
  <c r="AQ881" i="15" a="1"/>
  <c r="AQ881" i="15" s="1"/>
  <c r="AP881" i="15"/>
  <c r="BD880" i="15"/>
  <c r="AQ880" i="15" a="1"/>
  <c r="AQ880" i="15" s="1"/>
  <c r="AP880" i="15"/>
  <c r="BD879" i="15"/>
  <c r="AQ879" i="15" a="1"/>
  <c r="AQ879" i="15" s="1"/>
  <c r="AP879" i="15"/>
  <c r="BD878" i="15"/>
  <c r="AQ878" i="15" a="1"/>
  <c r="AQ878" i="15" s="1"/>
  <c r="AP878" i="15"/>
  <c r="BD877" i="15"/>
  <c r="AQ877" i="15" a="1"/>
  <c r="AQ877" i="15" s="1"/>
  <c r="AP877" i="15"/>
  <c r="BD876" i="15"/>
  <c r="AQ876" i="15" a="1"/>
  <c r="AQ876" i="15" s="1"/>
  <c r="AP876" i="15"/>
  <c r="BD875" i="15"/>
  <c r="AQ875" i="15" a="1"/>
  <c r="AQ875" i="15" s="1"/>
  <c r="AP875" i="15"/>
  <c r="BD874" i="15"/>
  <c r="AQ874" i="15" a="1"/>
  <c r="AQ874" i="15" s="1"/>
  <c r="AP874" i="15"/>
  <c r="BD873" i="15"/>
  <c r="AQ873" i="15" a="1"/>
  <c r="AQ873" i="15" s="1"/>
  <c r="AP873" i="15"/>
  <c r="BD872" i="15"/>
  <c r="AQ872" i="15" a="1"/>
  <c r="AQ872" i="15" s="1"/>
  <c r="AP872" i="15"/>
  <c r="BD871" i="15"/>
  <c r="AQ871" i="15" a="1"/>
  <c r="AQ871" i="15" s="1"/>
  <c r="AP871" i="15"/>
  <c r="BD870" i="15"/>
  <c r="AQ870" i="15" a="1"/>
  <c r="AQ870" i="15" s="1"/>
  <c r="AP870" i="15"/>
  <c r="BD869" i="15"/>
  <c r="AQ869" i="15" a="1"/>
  <c r="AQ869" i="15" s="1"/>
  <c r="AP869" i="15"/>
  <c r="BD868" i="15"/>
  <c r="AQ868" i="15" a="1"/>
  <c r="AQ868" i="15" s="1"/>
  <c r="AP868" i="15"/>
  <c r="BD867" i="15"/>
  <c r="AQ867" i="15" a="1"/>
  <c r="AQ867" i="15" s="1"/>
  <c r="AP867" i="15"/>
  <c r="BD866" i="15"/>
  <c r="AQ866" i="15" a="1"/>
  <c r="AQ866" i="15" s="1"/>
  <c r="AP866" i="15"/>
  <c r="BD865" i="15"/>
  <c r="AQ865" i="15" a="1"/>
  <c r="AQ865" i="15" s="1"/>
  <c r="AP865" i="15"/>
  <c r="BD864" i="15"/>
  <c r="AQ864" i="15" a="1"/>
  <c r="AQ864" i="15" s="1"/>
  <c r="AP864" i="15"/>
  <c r="BD863" i="15"/>
  <c r="AQ863" i="15" a="1"/>
  <c r="AQ863" i="15" s="1"/>
  <c r="AP863" i="15"/>
  <c r="BD862" i="15"/>
  <c r="AQ862" i="15" a="1"/>
  <c r="AQ862" i="15" s="1"/>
  <c r="AP862" i="15"/>
  <c r="BD861" i="15"/>
  <c r="AQ861" i="15" a="1"/>
  <c r="AQ861" i="15" s="1"/>
  <c r="AP861" i="15"/>
  <c r="BD860" i="15"/>
  <c r="AQ860" i="15" a="1"/>
  <c r="AQ860" i="15" s="1"/>
  <c r="AP860" i="15"/>
  <c r="BD859" i="15"/>
  <c r="AQ859" i="15" a="1"/>
  <c r="AQ859" i="15" s="1"/>
  <c r="AP859" i="15"/>
  <c r="BD858" i="15"/>
  <c r="AQ858" i="15" a="1"/>
  <c r="AQ858" i="15" s="1"/>
  <c r="AP858" i="15"/>
  <c r="BD857" i="15"/>
  <c r="AQ857" i="15" a="1"/>
  <c r="AQ857" i="15" s="1"/>
  <c r="AP857" i="15"/>
  <c r="BD856" i="15"/>
  <c r="AQ856" i="15" a="1"/>
  <c r="AQ856" i="15" s="1"/>
  <c r="AP856" i="15"/>
  <c r="BD855" i="15"/>
  <c r="AQ855" i="15" a="1"/>
  <c r="AQ855" i="15" s="1"/>
  <c r="AP855" i="15"/>
  <c r="BD854" i="15"/>
  <c r="AQ854" i="15" a="1"/>
  <c r="AQ854" i="15" s="1"/>
  <c r="AP854" i="15"/>
  <c r="BD853" i="15"/>
  <c r="AQ853" i="15" a="1"/>
  <c r="AQ853" i="15" s="1"/>
  <c r="AP853" i="15"/>
  <c r="BD852" i="15"/>
  <c r="AQ852" i="15" a="1"/>
  <c r="AQ852" i="15" s="1"/>
  <c r="AP852" i="15"/>
  <c r="BD851" i="15"/>
  <c r="AQ851" i="15" a="1"/>
  <c r="AQ851" i="15" s="1"/>
  <c r="AP851" i="15"/>
  <c r="BD850" i="15"/>
  <c r="AQ850" i="15" a="1"/>
  <c r="AQ850" i="15" s="1"/>
  <c r="AP850" i="15"/>
  <c r="BD849" i="15"/>
  <c r="AQ849" i="15" a="1"/>
  <c r="AQ849" i="15" s="1"/>
  <c r="AP849" i="15"/>
  <c r="BD848" i="15"/>
  <c r="AQ848" i="15" a="1"/>
  <c r="AQ848" i="15" s="1"/>
  <c r="AP848" i="15"/>
  <c r="BD847" i="15"/>
  <c r="AQ847" i="15" a="1"/>
  <c r="AQ847" i="15" s="1"/>
  <c r="AP847" i="15"/>
  <c r="BD846" i="15"/>
  <c r="AQ846" i="15" a="1"/>
  <c r="AQ846" i="15" s="1"/>
  <c r="AP846" i="15"/>
  <c r="BD845" i="15"/>
  <c r="AQ845" i="15" a="1"/>
  <c r="AQ845" i="15" s="1"/>
  <c r="AP845" i="15"/>
  <c r="BD844" i="15"/>
  <c r="AQ844" i="15" a="1"/>
  <c r="AQ844" i="15" s="1"/>
  <c r="AP844" i="15"/>
  <c r="BD843" i="15"/>
  <c r="AQ843" i="15" a="1"/>
  <c r="AQ843" i="15" s="1"/>
  <c r="AP843" i="15"/>
  <c r="BD842" i="15"/>
  <c r="AQ842" i="15" a="1"/>
  <c r="AQ842" i="15" s="1"/>
  <c r="AP842" i="15"/>
  <c r="BD841" i="15"/>
  <c r="AQ841" i="15" a="1"/>
  <c r="AQ841" i="15" s="1"/>
  <c r="AP841" i="15"/>
  <c r="BD840" i="15"/>
  <c r="AQ840" i="15" a="1"/>
  <c r="AQ840" i="15" s="1"/>
  <c r="AP840" i="15"/>
  <c r="BD839" i="15"/>
  <c r="AQ839" i="15" a="1"/>
  <c r="AQ839" i="15" s="1"/>
  <c r="AP839" i="15"/>
  <c r="BD838" i="15"/>
  <c r="AQ838" i="15" a="1"/>
  <c r="AQ838" i="15" s="1"/>
  <c r="AP838" i="15"/>
  <c r="BD837" i="15"/>
  <c r="AQ837" i="15" a="1"/>
  <c r="AQ837" i="15" s="1"/>
  <c r="AP837" i="15"/>
  <c r="BD836" i="15"/>
  <c r="AQ836" i="15" a="1"/>
  <c r="AQ836" i="15" s="1"/>
  <c r="AP836" i="15"/>
  <c r="BD835" i="15"/>
  <c r="AQ835" i="15" a="1"/>
  <c r="AQ835" i="15" s="1"/>
  <c r="AP835" i="15"/>
  <c r="BD834" i="15"/>
  <c r="AQ834" i="15" a="1"/>
  <c r="AQ834" i="15" s="1"/>
  <c r="AP834" i="15"/>
  <c r="BD833" i="15"/>
  <c r="AQ833" i="15" a="1"/>
  <c r="AQ833" i="15" s="1"/>
  <c r="AP833" i="15"/>
  <c r="BD832" i="15"/>
  <c r="AQ832" i="15" a="1"/>
  <c r="AQ832" i="15" s="1"/>
  <c r="AP832" i="15"/>
  <c r="BD831" i="15"/>
  <c r="AQ831" i="15" a="1"/>
  <c r="AQ831" i="15" s="1"/>
  <c r="AP831" i="15"/>
  <c r="BD830" i="15"/>
  <c r="AQ830" i="15" a="1"/>
  <c r="AQ830" i="15" s="1"/>
  <c r="AP830" i="15"/>
  <c r="BD829" i="15"/>
  <c r="AQ829" i="15" a="1"/>
  <c r="AQ829" i="15" s="1"/>
  <c r="AP829" i="15"/>
  <c r="BD828" i="15"/>
  <c r="AQ828" i="15" a="1"/>
  <c r="AQ828" i="15" s="1"/>
  <c r="AP828" i="15"/>
  <c r="BD827" i="15"/>
  <c r="AQ827" i="15" a="1"/>
  <c r="AQ827" i="15" s="1"/>
  <c r="AP827" i="15"/>
  <c r="BD826" i="15"/>
  <c r="AQ826" i="15" a="1"/>
  <c r="AQ826" i="15" s="1"/>
  <c r="AP826" i="15"/>
  <c r="BD825" i="15"/>
  <c r="AQ825" i="15" a="1"/>
  <c r="AQ825" i="15" s="1"/>
  <c r="AP825" i="15"/>
  <c r="BD824" i="15"/>
  <c r="AQ824" i="15" a="1"/>
  <c r="AQ824" i="15" s="1"/>
  <c r="AP824" i="15"/>
  <c r="BD823" i="15"/>
  <c r="AQ823" i="15" a="1"/>
  <c r="AQ823" i="15" s="1"/>
  <c r="AP823" i="15"/>
  <c r="BD822" i="15"/>
  <c r="AQ822" i="15" a="1"/>
  <c r="AQ822" i="15" s="1"/>
  <c r="AP822" i="15"/>
  <c r="BD821" i="15"/>
  <c r="AQ821" i="15" a="1"/>
  <c r="AQ821" i="15" s="1"/>
  <c r="AP821" i="15"/>
  <c r="BD820" i="15"/>
  <c r="AQ820" i="15" a="1"/>
  <c r="AQ820" i="15" s="1"/>
  <c r="AP820" i="15"/>
  <c r="BD819" i="15"/>
  <c r="AQ819" i="15" a="1"/>
  <c r="AQ819" i="15" s="1"/>
  <c r="AP819" i="15"/>
  <c r="BD818" i="15"/>
  <c r="AQ818" i="15" a="1"/>
  <c r="AQ818" i="15" s="1"/>
  <c r="AP818" i="15"/>
  <c r="BD817" i="15"/>
  <c r="AQ817" i="15" a="1"/>
  <c r="AQ817" i="15" s="1"/>
  <c r="AP817" i="15"/>
  <c r="BD816" i="15"/>
  <c r="AQ816" i="15" a="1"/>
  <c r="AQ816" i="15" s="1"/>
  <c r="AP816" i="15"/>
  <c r="BD815" i="15"/>
  <c r="AQ815" i="15" a="1"/>
  <c r="AQ815" i="15" s="1"/>
  <c r="AP815" i="15"/>
  <c r="BD814" i="15"/>
  <c r="AQ814" i="15" a="1"/>
  <c r="AQ814" i="15" s="1"/>
  <c r="AP814" i="15"/>
  <c r="BD813" i="15"/>
  <c r="AQ813" i="15" a="1"/>
  <c r="AQ813" i="15" s="1"/>
  <c r="AP813" i="15"/>
  <c r="BD812" i="15"/>
  <c r="AQ812" i="15" a="1"/>
  <c r="AQ812" i="15" s="1"/>
  <c r="AP812" i="15"/>
  <c r="BD811" i="15"/>
  <c r="AQ811" i="15" a="1"/>
  <c r="AQ811" i="15" s="1"/>
  <c r="AP811" i="15"/>
  <c r="BD810" i="15"/>
  <c r="AQ810" i="15" a="1"/>
  <c r="AQ810" i="15" s="1"/>
  <c r="AP810" i="15"/>
  <c r="BD809" i="15"/>
  <c r="AQ809" i="15" a="1"/>
  <c r="AQ809" i="15" s="1"/>
  <c r="AP809" i="15"/>
  <c r="BD808" i="15"/>
  <c r="AQ808" i="15" a="1"/>
  <c r="AQ808" i="15" s="1"/>
  <c r="AP808" i="15"/>
  <c r="BD807" i="15"/>
  <c r="AQ807" i="15" a="1"/>
  <c r="AQ807" i="15" s="1"/>
  <c r="AP807" i="15"/>
  <c r="BD806" i="15"/>
  <c r="AQ806" i="15" a="1"/>
  <c r="AQ806" i="15" s="1"/>
  <c r="AP806" i="15"/>
  <c r="BD805" i="15"/>
  <c r="AQ805" i="15" a="1"/>
  <c r="AQ805" i="15" s="1"/>
  <c r="AP805" i="15"/>
  <c r="BD804" i="15"/>
  <c r="AQ804" i="15" a="1"/>
  <c r="AQ804" i="15" s="1"/>
  <c r="AP804" i="15"/>
  <c r="BD803" i="15"/>
  <c r="AQ803" i="15" a="1"/>
  <c r="AQ803" i="15" s="1"/>
  <c r="AP803" i="15"/>
  <c r="BD802" i="15"/>
  <c r="AQ802" i="15" a="1"/>
  <c r="AQ802" i="15" s="1"/>
  <c r="AP802" i="15"/>
  <c r="BD801" i="15"/>
  <c r="AQ801" i="15" a="1"/>
  <c r="AQ801" i="15" s="1"/>
  <c r="AP801" i="15"/>
  <c r="BD800" i="15"/>
  <c r="AQ800" i="15" a="1"/>
  <c r="AQ800" i="15" s="1"/>
  <c r="AP800" i="15"/>
  <c r="BD799" i="15"/>
  <c r="AQ799" i="15" a="1"/>
  <c r="AQ799" i="15" s="1"/>
  <c r="AP799" i="15"/>
  <c r="BD798" i="15"/>
  <c r="AQ798" i="15" a="1"/>
  <c r="AQ798" i="15" s="1"/>
  <c r="AP798" i="15"/>
  <c r="BD797" i="15"/>
  <c r="AQ797" i="15" a="1"/>
  <c r="AQ797" i="15" s="1"/>
  <c r="AP797" i="15"/>
  <c r="BD796" i="15"/>
  <c r="AQ796" i="15" a="1"/>
  <c r="AQ796" i="15" s="1"/>
  <c r="AP796" i="15"/>
  <c r="BD795" i="15"/>
  <c r="AQ795" i="15" a="1"/>
  <c r="AQ795" i="15" s="1"/>
  <c r="AP795" i="15"/>
  <c r="BD794" i="15"/>
  <c r="AQ794" i="15" a="1"/>
  <c r="AQ794" i="15" s="1"/>
  <c r="AP794" i="15"/>
  <c r="BD793" i="15"/>
  <c r="AQ793" i="15" a="1"/>
  <c r="AQ793" i="15" s="1"/>
  <c r="AP793" i="15"/>
  <c r="BD792" i="15"/>
  <c r="AQ792" i="15" a="1"/>
  <c r="AQ792" i="15" s="1"/>
  <c r="AP792" i="15"/>
  <c r="BD791" i="15"/>
  <c r="AQ791" i="15" a="1"/>
  <c r="AQ791" i="15" s="1"/>
  <c r="AP791" i="15"/>
  <c r="BD790" i="15"/>
  <c r="AQ790" i="15" a="1"/>
  <c r="AQ790" i="15" s="1"/>
  <c r="AP790" i="15"/>
  <c r="BD789" i="15"/>
  <c r="AQ789" i="15" a="1"/>
  <c r="AQ789" i="15" s="1"/>
  <c r="AP789" i="15"/>
  <c r="BD788" i="15"/>
  <c r="AQ788" i="15" a="1"/>
  <c r="AQ788" i="15" s="1"/>
  <c r="AP788" i="15"/>
  <c r="BD787" i="15"/>
  <c r="AQ787" i="15" a="1"/>
  <c r="AQ787" i="15" s="1"/>
  <c r="AP787" i="15"/>
  <c r="BD786" i="15"/>
  <c r="AQ786" i="15" a="1"/>
  <c r="AQ786" i="15" s="1"/>
  <c r="AP786" i="15"/>
  <c r="BD785" i="15"/>
  <c r="AQ785" i="15" a="1"/>
  <c r="AQ785" i="15" s="1"/>
  <c r="AP785" i="15"/>
  <c r="BD784" i="15"/>
  <c r="AQ784" i="15" a="1"/>
  <c r="AQ784" i="15" s="1"/>
  <c r="AP784" i="15"/>
  <c r="BD783" i="15"/>
  <c r="AQ783" i="15" a="1"/>
  <c r="AQ783" i="15" s="1"/>
  <c r="AP783" i="15"/>
  <c r="BD782" i="15"/>
  <c r="AQ782" i="15" a="1"/>
  <c r="AQ782" i="15" s="1"/>
  <c r="AP782" i="15"/>
  <c r="BD781" i="15"/>
  <c r="AQ781" i="15" a="1"/>
  <c r="AQ781" i="15" s="1"/>
  <c r="AP781" i="15"/>
  <c r="BD780" i="15"/>
  <c r="AQ780" i="15" a="1"/>
  <c r="AQ780" i="15" s="1"/>
  <c r="AP780" i="15"/>
  <c r="BD779" i="15"/>
  <c r="AQ779" i="15" a="1"/>
  <c r="AQ779" i="15" s="1"/>
  <c r="AP779" i="15"/>
  <c r="BD778" i="15"/>
  <c r="AQ778" i="15" a="1"/>
  <c r="AQ778" i="15" s="1"/>
  <c r="AP778" i="15"/>
  <c r="BD777" i="15"/>
  <c r="AQ777" i="15" a="1"/>
  <c r="AQ777" i="15" s="1"/>
  <c r="AP777" i="15"/>
  <c r="BD776" i="15"/>
  <c r="AQ776" i="15" a="1"/>
  <c r="AQ776" i="15" s="1"/>
  <c r="AP776" i="15"/>
  <c r="BD775" i="15"/>
  <c r="AQ775" i="15" a="1"/>
  <c r="AQ775" i="15" s="1"/>
  <c r="AP775" i="15"/>
  <c r="BD774" i="15"/>
  <c r="AQ774" i="15" a="1"/>
  <c r="AQ774" i="15" s="1"/>
  <c r="AP774" i="15"/>
  <c r="BD773" i="15"/>
  <c r="AQ773" i="15" a="1"/>
  <c r="AQ773" i="15" s="1"/>
  <c r="AP773" i="15"/>
  <c r="BD772" i="15"/>
  <c r="AQ772" i="15" a="1"/>
  <c r="AQ772" i="15" s="1"/>
  <c r="AP772" i="15"/>
  <c r="BD771" i="15"/>
  <c r="AQ771" i="15" a="1"/>
  <c r="AQ771" i="15" s="1"/>
  <c r="AP771" i="15"/>
  <c r="BD770" i="15"/>
  <c r="AQ770" i="15" a="1"/>
  <c r="AQ770" i="15" s="1"/>
  <c r="AP770" i="15"/>
  <c r="BD769" i="15"/>
  <c r="AQ769" i="15" a="1"/>
  <c r="AQ769" i="15" s="1"/>
  <c r="AP769" i="15"/>
  <c r="BD768" i="15"/>
  <c r="AQ768" i="15" a="1"/>
  <c r="AQ768" i="15" s="1"/>
  <c r="AP768" i="15"/>
  <c r="BD767" i="15"/>
  <c r="AQ767" i="15" a="1"/>
  <c r="AQ767" i="15" s="1"/>
  <c r="AP767" i="15"/>
  <c r="BD766" i="15"/>
  <c r="AQ766" i="15" a="1"/>
  <c r="AQ766" i="15" s="1"/>
  <c r="AP766" i="15"/>
  <c r="BD765" i="15"/>
  <c r="AQ765" i="15" a="1"/>
  <c r="AQ765" i="15" s="1"/>
  <c r="AP765" i="15"/>
  <c r="BD764" i="15"/>
  <c r="AQ764" i="15" a="1"/>
  <c r="AQ764" i="15" s="1"/>
  <c r="AP764" i="15"/>
  <c r="BD763" i="15"/>
  <c r="AQ763" i="15" a="1"/>
  <c r="AQ763" i="15" s="1"/>
  <c r="AP763" i="15"/>
  <c r="BD762" i="15"/>
  <c r="AQ762" i="15" a="1"/>
  <c r="AQ762" i="15" s="1"/>
  <c r="AP762" i="15"/>
  <c r="BD761" i="15"/>
  <c r="AQ761" i="15" a="1"/>
  <c r="AQ761" i="15" s="1"/>
  <c r="AP761" i="15"/>
  <c r="BD760" i="15"/>
  <c r="AQ760" i="15" a="1"/>
  <c r="AQ760" i="15" s="1"/>
  <c r="AP760" i="15"/>
  <c r="BD759" i="15"/>
  <c r="AQ759" i="15" a="1"/>
  <c r="AQ759" i="15" s="1"/>
  <c r="AP759" i="15"/>
  <c r="BD758" i="15"/>
  <c r="AP758" i="15"/>
  <c r="BD757" i="15"/>
  <c r="AP757" i="15"/>
  <c r="BD756" i="15"/>
  <c r="AP756" i="15"/>
  <c r="BD755" i="15"/>
  <c r="AQ755" i="15" a="1"/>
  <c r="AQ755" i="15" s="1"/>
  <c r="AP755" i="15"/>
  <c r="BD754" i="15"/>
  <c r="AQ754" i="15" a="1"/>
  <c r="AQ754" i="15" s="1"/>
  <c r="AP754" i="15"/>
  <c r="BD753" i="15"/>
  <c r="AQ753" i="15" a="1"/>
  <c r="AQ753" i="15" s="1"/>
  <c r="AP753" i="15"/>
  <c r="BD752" i="15"/>
  <c r="AQ752" i="15" a="1"/>
  <c r="AQ752" i="15" s="1"/>
  <c r="AP752" i="15"/>
  <c r="BD751" i="15"/>
  <c r="AP751" i="15"/>
  <c r="BD750" i="15"/>
  <c r="AP750" i="15"/>
  <c r="BD749" i="15"/>
  <c r="AP749" i="15"/>
  <c r="BD748" i="15"/>
  <c r="AP748" i="15"/>
  <c r="BD747" i="15"/>
  <c r="AQ747" i="15" a="1"/>
  <c r="AQ747" i="15" s="1"/>
  <c r="AP747" i="15"/>
  <c r="BD746" i="15"/>
  <c r="AQ746" i="15" a="1"/>
  <c r="AQ746" i="15" s="1"/>
  <c r="AP746" i="15"/>
  <c r="BD745" i="15"/>
  <c r="AQ745" i="15" a="1"/>
  <c r="AQ745" i="15" s="1"/>
  <c r="AP745" i="15"/>
  <c r="BD744" i="15"/>
  <c r="AQ744" i="15" a="1"/>
  <c r="AQ744" i="15" s="1"/>
  <c r="AP744" i="15"/>
  <c r="BD743" i="15"/>
  <c r="AQ743" i="15" a="1"/>
  <c r="AQ743" i="15" s="1"/>
  <c r="AP743" i="15"/>
  <c r="BD742" i="15"/>
  <c r="AQ742" i="15" a="1"/>
  <c r="AQ742" i="15" s="1"/>
  <c r="AP742" i="15"/>
  <c r="BD741" i="15"/>
  <c r="AQ741" i="15" a="1"/>
  <c r="AQ741" i="15" s="1"/>
  <c r="AP741" i="15"/>
  <c r="BD740" i="15"/>
  <c r="AQ740" i="15" a="1"/>
  <c r="AQ740" i="15" s="1"/>
  <c r="AP740" i="15"/>
  <c r="BD739" i="15"/>
  <c r="AQ739" i="15" a="1"/>
  <c r="AQ739" i="15" s="1"/>
  <c r="AP739" i="15"/>
  <c r="BD738" i="15"/>
  <c r="AP738" i="15"/>
  <c r="BD737" i="15"/>
  <c r="AQ737" i="15" a="1"/>
  <c r="AQ737" i="15" s="1"/>
  <c r="AP737" i="15"/>
  <c r="BD736" i="15"/>
  <c r="AQ736" i="15" a="1"/>
  <c r="AQ736" i="15" s="1"/>
  <c r="AP736" i="15"/>
  <c r="BD735" i="15"/>
  <c r="AP735" i="15"/>
  <c r="BD734" i="15"/>
  <c r="AQ734" i="15" a="1"/>
  <c r="AQ734" i="15" s="1"/>
  <c r="AP734" i="15"/>
  <c r="BD733" i="15"/>
  <c r="AQ733" i="15" a="1"/>
  <c r="AQ733" i="15" s="1"/>
  <c r="AP733" i="15"/>
  <c r="BD732" i="15"/>
  <c r="AQ732" i="15" a="1"/>
  <c r="AQ732" i="15" s="1"/>
  <c r="AP732" i="15"/>
  <c r="BD731" i="15"/>
  <c r="AQ731" i="15" a="1"/>
  <c r="AQ731" i="15" s="1"/>
  <c r="AP731" i="15"/>
  <c r="BD730" i="15"/>
  <c r="AQ730" i="15" a="1"/>
  <c r="AQ730" i="15" s="1"/>
  <c r="AP730" i="15"/>
  <c r="BD729" i="15"/>
  <c r="AQ729" i="15" a="1"/>
  <c r="AQ729" i="15" s="1"/>
  <c r="AP729" i="15"/>
  <c r="BD728" i="15"/>
  <c r="AQ728" i="15" a="1"/>
  <c r="AQ728" i="15" s="1"/>
  <c r="AP728" i="15"/>
  <c r="BD727" i="15"/>
  <c r="AQ727" i="15" a="1"/>
  <c r="AQ727" i="15" s="1"/>
  <c r="AP727" i="15"/>
  <c r="BD726" i="15"/>
  <c r="AQ726" i="15" a="1"/>
  <c r="AQ726" i="15" s="1"/>
  <c r="AP726" i="15"/>
  <c r="BD725" i="15"/>
  <c r="AQ725" i="15" a="1"/>
  <c r="AQ725" i="15" s="1"/>
  <c r="AP725" i="15"/>
  <c r="BD724" i="15"/>
  <c r="AQ724" i="15" a="1"/>
  <c r="AQ724" i="15" s="1"/>
  <c r="AP724" i="15"/>
  <c r="BD723" i="15"/>
  <c r="AQ723" i="15" a="1"/>
  <c r="AQ723" i="15" s="1"/>
  <c r="AP723" i="15"/>
  <c r="BD722" i="15"/>
  <c r="AQ722" i="15" a="1"/>
  <c r="AQ722" i="15" s="1"/>
  <c r="AP722" i="15"/>
  <c r="BD721" i="15"/>
  <c r="AQ721" i="15" a="1"/>
  <c r="AQ721" i="15" s="1"/>
  <c r="AP721" i="15"/>
  <c r="BD720" i="15"/>
  <c r="AQ720" i="15" a="1"/>
  <c r="AQ720" i="15" s="1"/>
  <c r="AP720" i="15"/>
  <c r="BD719" i="15"/>
  <c r="AQ719" i="15" a="1"/>
  <c r="AQ719" i="15" s="1"/>
  <c r="AP719" i="15"/>
  <c r="BD718" i="15"/>
  <c r="AQ718" i="15" a="1"/>
  <c r="AQ718" i="15" s="1"/>
  <c r="AP718" i="15"/>
  <c r="BD717" i="15"/>
  <c r="AQ717" i="15" a="1"/>
  <c r="AQ717" i="15" s="1"/>
  <c r="AP717" i="15"/>
  <c r="BD716" i="15"/>
  <c r="AQ716" i="15" a="1"/>
  <c r="AQ716" i="15" s="1"/>
  <c r="AP716" i="15"/>
  <c r="BD715" i="15"/>
  <c r="AQ715" i="15" a="1"/>
  <c r="AQ715" i="15" s="1"/>
  <c r="AP715" i="15"/>
  <c r="BD714" i="15"/>
  <c r="AQ714" i="15" a="1"/>
  <c r="AQ714" i="15" s="1"/>
  <c r="AP714" i="15"/>
  <c r="BD713" i="15"/>
  <c r="AQ713" i="15" a="1"/>
  <c r="AQ713" i="15" s="1"/>
  <c r="AP713" i="15"/>
  <c r="BD712" i="15"/>
  <c r="AQ712" i="15" a="1"/>
  <c r="AQ712" i="15" s="1"/>
  <c r="AP712" i="15"/>
  <c r="BD711" i="15"/>
  <c r="AQ711" i="15" a="1"/>
  <c r="AQ711" i="15" s="1"/>
  <c r="AP711" i="15"/>
  <c r="BD710" i="15"/>
  <c r="AQ710" i="15" a="1"/>
  <c r="AQ710" i="15" s="1"/>
  <c r="AP710" i="15"/>
  <c r="BD709" i="15"/>
  <c r="AP709" i="15"/>
  <c r="BD708" i="15"/>
  <c r="AQ708" i="15" a="1"/>
  <c r="AQ708" i="15" s="1"/>
  <c r="AP708" i="15"/>
  <c r="BD707" i="15"/>
  <c r="AQ707" i="15" a="1"/>
  <c r="AQ707" i="15" s="1"/>
  <c r="AP707" i="15"/>
  <c r="BD706" i="15"/>
  <c r="AQ706" i="15" a="1"/>
  <c r="AQ706" i="15" s="1"/>
  <c r="AP706" i="15"/>
  <c r="BD705" i="15"/>
  <c r="AQ705" i="15" a="1"/>
  <c r="AQ705" i="15" s="1"/>
  <c r="AP705" i="15"/>
  <c r="BD704" i="15"/>
  <c r="AQ704" i="15" a="1"/>
  <c r="AQ704" i="15" s="1"/>
  <c r="AP704" i="15"/>
  <c r="BD703" i="15"/>
  <c r="AQ703" i="15" a="1"/>
  <c r="AQ703" i="15" s="1"/>
  <c r="AP703" i="15"/>
  <c r="BD702" i="15"/>
  <c r="AQ702" i="15" a="1"/>
  <c r="AQ702" i="15" s="1"/>
  <c r="AP702" i="15"/>
  <c r="BD701" i="15"/>
  <c r="AQ701" i="15" a="1"/>
  <c r="AQ701" i="15" s="1"/>
  <c r="AP701" i="15"/>
  <c r="BD700" i="15"/>
  <c r="AP700" i="15"/>
  <c r="BD699" i="15"/>
  <c r="AQ699" i="15" a="1"/>
  <c r="AQ699" i="15" s="1"/>
  <c r="AP699" i="15"/>
  <c r="BD698" i="15"/>
  <c r="AQ698" i="15" a="1"/>
  <c r="AQ698" i="15" s="1"/>
  <c r="AP698" i="15"/>
  <c r="BD697" i="15"/>
  <c r="AQ697" i="15" a="1"/>
  <c r="AQ697" i="15" s="1"/>
  <c r="AP697" i="15"/>
  <c r="BD696" i="15"/>
  <c r="AQ696" i="15" a="1"/>
  <c r="AQ696" i="15" s="1"/>
  <c r="AP696" i="15"/>
  <c r="BD695" i="15"/>
  <c r="AQ695" i="15" a="1"/>
  <c r="AQ695" i="15" s="1"/>
  <c r="AP695" i="15"/>
  <c r="BD694" i="15"/>
  <c r="AQ694" i="15" a="1"/>
  <c r="AQ694" i="15" s="1"/>
  <c r="AP694" i="15"/>
  <c r="BD693" i="15"/>
  <c r="AQ693" i="15" a="1"/>
  <c r="AQ693" i="15" s="1"/>
  <c r="AP693" i="15"/>
  <c r="BD692" i="15"/>
  <c r="AQ692" i="15" a="1"/>
  <c r="AQ692" i="15" s="1"/>
  <c r="AP692" i="15"/>
  <c r="BD691" i="15"/>
  <c r="AQ691" i="15" a="1"/>
  <c r="AQ691" i="15" s="1"/>
  <c r="AP691" i="15"/>
  <c r="BD690" i="15"/>
  <c r="AQ690" i="15" a="1"/>
  <c r="AQ690" i="15" s="1"/>
  <c r="AP690" i="15"/>
  <c r="BD689" i="15"/>
  <c r="AQ689" i="15" a="1"/>
  <c r="AQ689" i="15" s="1"/>
  <c r="AP689" i="15"/>
  <c r="BD688" i="15"/>
  <c r="AQ688" i="15" a="1"/>
  <c r="AQ688" i="15" s="1"/>
  <c r="AP688" i="15"/>
  <c r="BD687" i="15"/>
  <c r="AQ687" i="15" a="1"/>
  <c r="AQ687" i="15" s="1"/>
  <c r="AP687" i="15"/>
  <c r="BD686" i="15"/>
  <c r="AQ686" i="15" a="1"/>
  <c r="AQ686" i="15" s="1"/>
  <c r="AP686" i="15"/>
  <c r="BD685" i="15"/>
  <c r="AQ685" i="15" a="1"/>
  <c r="AQ685" i="15" s="1"/>
  <c r="AP685" i="15"/>
  <c r="BD684" i="15"/>
  <c r="AQ684" i="15" a="1"/>
  <c r="AQ684" i="15" s="1"/>
  <c r="AP684" i="15"/>
  <c r="BD683" i="15"/>
  <c r="AQ683" i="15" a="1"/>
  <c r="AQ683" i="15" s="1"/>
  <c r="AP683" i="15"/>
  <c r="BD682" i="15"/>
  <c r="AQ682" i="15" a="1"/>
  <c r="AQ682" i="15" s="1"/>
  <c r="AP682" i="15"/>
  <c r="BD681" i="15"/>
  <c r="AQ681" i="15" a="1"/>
  <c r="AQ681" i="15" s="1"/>
  <c r="AP681" i="15"/>
  <c r="BD680" i="15"/>
  <c r="AQ680" i="15" a="1"/>
  <c r="AQ680" i="15" s="1"/>
  <c r="AP680" i="15"/>
  <c r="BD679" i="15"/>
  <c r="AQ679" i="15" a="1"/>
  <c r="AQ679" i="15" s="1"/>
  <c r="AP679" i="15"/>
  <c r="BD678" i="15"/>
  <c r="AQ678" i="15" a="1"/>
  <c r="AQ678" i="15" s="1"/>
  <c r="AP678" i="15"/>
  <c r="BD677" i="15"/>
  <c r="AQ677" i="15" a="1"/>
  <c r="AQ677" i="15" s="1"/>
  <c r="AP677" i="15"/>
  <c r="BD676" i="15"/>
  <c r="AQ676" i="15" a="1"/>
  <c r="AQ676" i="15" s="1"/>
  <c r="AP676" i="15"/>
  <c r="BD675" i="15"/>
  <c r="AQ675" i="15" a="1"/>
  <c r="AQ675" i="15" s="1"/>
  <c r="AP675" i="15"/>
  <c r="BD674" i="15"/>
  <c r="AQ674" i="15" a="1"/>
  <c r="AQ674" i="15" s="1"/>
  <c r="AP674" i="15"/>
  <c r="BD673" i="15"/>
  <c r="AQ673" i="15" a="1"/>
  <c r="AQ673" i="15" s="1"/>
  <c r="AP673" i="15"/>
  <c r="BD672" i="15"/>
  <c r="AQ672" i="15" a="1"/>
  <c r="AQ672" i="15" s="1"/>
  <c r="AP672" i="15"/>
  <c r="BD671" i="15"/>
  <c r="AQ671" i="15" a="1"/>
  <c r="AQ671" i="15" s="1"/>
  <c r="AP671" i="15"/>
  <c r="BD670" i="15"/>
  <c r="AQ670" i="15" a="1"/>
  <c r="AQ670" i="15" s="1"/>
  <c r="AP670" i="15"/>
  <c r="BD669" i="15"/>
  <c r="AQ669" i="15" a="1"/>
  <c r="AQ669" i="15" s="1"/>
  <c r="AP669" i="15"/>
  <c r="BD668" i="15"/>
  <c r="AQ668" i="15" a="1"/>
  <c r="AQ668" i="15" s="1"/>
  <c r="AP668" i="15"/>
  <c r="BD667" i="15"/>
  <c r="AQ667" i="15" a="1"/>
  <c r="AQ667" i="15" s="1"/>
  <c r="AP667" i="15"/>
  <c r="BD666" i="15"/>
  <c r="AQ666" i="15" a="1"/>
  <c r="AQ666" i="15" s="1"/>
  <c r="AP666" i="15"/>
  <c r="BD665" i="15"/>
  <c r="AQ665" i="15" a="1"/>
  <c r="AQ665" i="15" s="1"/>
  <c r="AP665" i="15"/>
  <c r="BD664" i="15"/>
  <c r="AQ664" i="15" a="1"/>
  <c r="AQ664" i="15" s="1"/>
  <c r="AP664" i="15"/>
  <c r="BD663" i="15"/>
  <c r="AQ663" i="15" a="1"/>
  <c r="AQ663" i="15" s="1"/>
  <c r="AP663" i="15"/>
  <c r="BD662" i="15"/>
  <c r="AQ662" i="15" a="1"/>
  <c r="AQ662" i="15" s="1"/>
  <c r="AP662" i="15"/>
  <c r="BD661" i="15"/>
  <c r="AQ661" i="15" a="1"/>
  <c r="AQ661" i="15" s="1"/>
  <c r="AP661" i="15"/>
  <c r="BD660" i="15"/>
  <c r="AQ660" i="15" a="1"/>
  <c r="AQ660" i="15" s="1"/>
  <c r="AP660" i="15"/>
  <c r="BD659" i="15"/>
  <c r="AQ659" i="15" a="1"/>
  <c r="AQ659" i="15" s="1"/>
  <c r="AP659" i="15"/>
  <c r="BD658" i="15"/>
  <c r="AQ658" i="15" a="1"/>
  <c r="AQ658" i="15" s="1"/>
  <c r="AP658" i="15"/>
  <c r="BD657" i="15"/>
  <c r="AQ657" i="15" a="1"/>
  <c r="AQ657" i="15" s="1"/>
  <c r="AP657" i="15"/>
  <c r="BD656" i="15"/>
  <c r="AQ656" i="15" a="1"/>
  <c r="AQ656" i="15" s="1"/>
  <c r="AP656" i="15"/>
  <c r="BD655" i="15"/>
  <c r="AQ655" i="15" a="1"/>
  <c r="AQ655" i="15" s="1"/>
  <c r="AP655" i="15"/>
  <c r="BD654" i="15"/>
  <c r="AQ654" i="15" a="1"/>
  <c r="AQ654" i="15" s="1"/>
  <c r="AP654" i="15"/>
  <c r="BD653" i="15"/>
  <c r="AQ653" i="15" a="1"/>
  <c r="AQ653" i="15" s="1"/>
  <c r="AP653" i="15"/>
  <c r="BD652" i="15"/>
  <c r="AQ652" i="15" a="1"/>
  <c r="AQ652" i="15" s="1"/>
  <c r="AP652" i="15"/>
  <c r="BD651" i="15"/>
  <c r="AQ651" i="15" a="1"/>
  <c r="AQ651" i="15" s="1"/>
  <c r="AP651" i="15"/>
  <c r="BD650" i="15"/>
  <c r="AQ650" i="15" a="1"/>
  <c r="AQ650" i="15" s="1"/>
  <c r="AP650" i="15"/>
  <c r="BD649" i="15"/>
  <c r="AQ649" i="15" a="1"/>
  <c r="AQ649" i="15" s="1"/>
  <c r="AP649" i="15"/>
  <c r="BD648" i="15"/>
  <c r="AQ648" i="15" a="1"/>
  <c r="AQ648" i="15" s="1"/>
  <c r="AP648" i="15"/>
  <c r="BD647" i="15"/>
  <c r="AQ647" i="15" a="1"/>
  <c r="AQ647" i="15" s="1"/>
  <c r="AP647" i="15"/>
  <c r="BD646" i="15"/>
  <c r="AQ646" i="15" a="1"/>
  <c r="AQ646" i="15" s="1"/>
  <c r="AP646" i="15"/>
  <c r="BD645" i="15"/>
  <c r="AQ645" i="15" a="1"/>
  <c r="AQ645" i="15" s="1"/>
  <c r="AP645" i="15"/>
  <c r="BD644" i="15"/>
  <c r="AQ644" i="15" a="1"/>
  <c r="AQ644" i="15" s="1"/>
  <c r="AP644" i="15"/>
  <c r="BD643" i="15"/>
  <c r="AQ643" i="15" a="1"/>
  <c r="AQ643" i="15" s="1"/>
  <c r="AP643" i="15"/>
  <c r="BD642" i="15"/>
  <c r="AQ642" i="15" a="1"/>
  <c r="AQ642" i="15" s="1"/>
  <c r="AP642" i="15"/>
  <c r="BD641" i="15"/>
  <c r="AQ641" i="15" a="1"/>
  <c r="AQ641" i="15" s="1"/>
  <c r="AP641" i="15"/>
  <c r="BD640" i="15"/>
  <c r="AQ640" i="15" a="1"/>
  <c r="AQ640" i="15" s="1"/>
  <c r="AP640" i="15"/>
  <c r="BD639" i="15"/>
  <c r="AQ639" i="15" a="1"/>
  <c r="AQ639" i="15" s="1"/>
  <c r="AP639" i="15"/>
  <c r="BD638" i="15"/>
  <c r="AQ638" i="15" a="1"/>
  <c r="AQ638" i="15" s="1"/>
  <c r="AP638" i="15"/>
  <c r="BD637" i="15"/>
  <c r="AQ637" i="15" a="1"/>
  <c r="AQ637" i="15" s="1"/>
  <c r="AP637" i="15"/>
  <c r="BD636" i="15"/>
  <c r="AQ636" i="15" a="1"/>
  <c r="AQ636" i="15" s="1"/>
  <c r="AP636" i="15"/>
  <c r="BD635" i="15"/>
  <c r="AQ635" i="15" a="1"/>
  <c r="AQ635" i="15" s="1"/>
  <c r="AP635" i="15"/>
  <c r="BD634" i="15"/>
  <c r="AQ634" i="15" a="1"/>
  <c r="AQ634" i="15" s="1"/>
  <c r="AP634" i="15"/>
  <c r="BD633" i="15"/>
  <c r="AQ633" i="15" a="1"/>
  <c r="AQ633" i="15" s="1"/>
  <c r="AP633" i="15"/>
  <c r="BD632" i="15"/>
  <c r="AQ632" i="15" a="1"/>
  <c r="AQ632" i="15" s="1"/>
  <c r="AP632" i="15"/>
  <c r="BD631" i="15"/>
  <c r="AQ631" i="15" a="1"/>
  <c r="AQ631" i="15" s="1"/>
  <c r="AP631" i="15"/>
  <c r="BD630" i="15"/>
  <c r="AQ630" i="15" a="1"/>
  <c r="AQ630" i="15" s="1"/>
  <c r="AP630" i="15"/>
  <c r="BD629" i="15"/>
  <c r="AQ629" i="15" a="1"/>
  <c r="AQ629" i="15" s="1"/>
  <c r="AP629" i="15"/>
  <c r="BD628" i="15"/>
  <c r="AQ628" i="15" a="1"/>
  <c r="AQ628" i="15" s="1"/>
  <c r="AP628" i="15"/>
  <c r="BD627" i="15"/>
  <c r="AQ627" i="15" a="1"/>
  <c r="AQ627" i="15" s="1"/>
  <c r="AP627" i="15"/>
  <c r="BD626" i="15"/>
  <c r="AQ626" i="15" a="1"/>
  <c r="AQ626" i="15" s="1"/>
  <c r="AP626" i="15"/>
  <c r="BD625" i="15"/>
  <c r="AQ625" i="15" a="1"/>
  <c r="AQ625" i="15" s="1"/>
  <c r="AP625" i="15"/>
  <c r="BD624" i="15"/>
  <c r="AQ624" i="15" a="1"/>
  <c r="AQ624" i="15" s="1"/>
  <c r="AP624" i="15"/>
  <c r="BD623" i="15"/>
  <c r="AQ623" i="15" a="1"/>
  <c r="AQ623" i="15" s="1"/>
  <c r="AP623" i="15"/>
  <c r="BD622" i="15"/>
  <c r="AQ622" i="15" a="1"/>
  <c r="AQ622" i="15" s="1"/>
  <c r="AP622" i="15"/>
  <c r="BD621" i="15"/>
  <c r="AQ621" i="15" a="1"/>
  <c r="AQ621" i="15" s="1"/>
  <c r="AP621" i="15"/>
  <c r="BD620" i="15"/>
  <c r="AQ620" i="15" a="1"/>
  <c r="AQ620" i="15" s="1"/>
  <c r="AP620" i="15"/>
  <c r="BD619" i="15"/>
  <c r="AQ619" i="15" a="1"/>
  <c r="AQ619" i="15" s="1"/>
  <c r="AP619" i="15"/>
  <c r="BD618" i="15"/>
  <c r="AQ618" i="15" a="1"/>
  <c r="AQ618" i="15" s="1"/>
  <c r="AP618" i="15"/>
  <c r="BD617" i="15"/>
  <c r="AQ617" i="15" a="1"/>
  <c r="AQ617" i="15" s="1"/>
  <c r="AP617" i="15"/>
  <c r="BD616" i="15"/>
  <c r="AQ616" i="15" a="1"/>
  <c r="AQ616" i="15" s="1"/>
  <c r="AP616" i="15"/>
  <c r="BD615" i="15"/>
  <c r="AQ615" i="15" a="1"/>
  <c r="AQ615" i="15" s="1"/>
  <c r="AP615" i="15"/>
  <c r="BD614" i="15"/>
  <c r="AQ614" i="15" a="1"/>
  <c r="AQ614" i="15" s="1"/>
  <c r="AP614" i="15"/>
  <c r="BD613" i="15"/>
  <c r="AQ613" i="15" a="1"/>
  <c r="AQ613" i="15" s="1"/>
  <c r="AP613" i="15"/>
  <c r="BD612" i="15"/>
  <c r="AQ612" i="15" a="1"/>
  <c r="AQ612" i="15" s="1"/>
  <c r="AP612" i="15"/>
  <c r="BD611" i="15"/>
  <c r="AQ611" i="15" a="1"/>
  <c r="AQ611" i="15" s="1"/>
  <c r="AP611" i="15"/>
  <c r="BD610" i="15"/>
  <c r="AQ610" i="15" a="1"/>
  <c r="AQ610" i="15" s="1"/>
  <c r="AP610" i="15"/>
  <c r="BD609" i="15"/>
  <c r="AQ609" i="15" a="1"/>
  <c r="AQ609" i="15" s="1"/>
  <c r="AP609" i="15"/>
  <c r="BD608" i="15"/>
  <c r="AQ608" i="15" a="1"/>
  <c r="AQ608" i="15" s="1"/>
  <c r="AP608" i="15"/>
  <c r="BD607" i="15"/>
  <c r="AQ607" i="15" a="1"/>
  <c r="AQ607" i="15" s="1"/>
  <c r="AP607" i="15"/>
  <c r="BD606" i="15"/>
  <c r="AQ606" i="15" a="1"/>
  <c r="AQ606" i="15" s="1"/>
  <c r="AP606" i="15"/>
  <c r="BD605" i="15"/>
  <c r="AQ605" i="15" a="1"/>
  <c r="AQ605" i="15" s="1"/>
  <c r="AP605" i="15"/>
  <c r="BD604" i="15"/>
  <c r="AQ604" i="15" a="1"/>
  <c r="AQ604" i="15" s="1"/>
  <c r="AP604" i="15"/>
  <c r="BD603" i="15"/>
  <c r="AQ603" i="15" a="1"/>
  <c r="AQ603" i="15" s="1"/>
  <c r="AP603" i="15"/>
  <c r="BD602" i="15"/>
  <c r="AQ602" i="15" a="1"/>
  <c r="AQ602" i="15" s="1"/>
  <c r="AP602" i="15"/>
  <c r="BD601" i="15"/>
  <c r="AQ601" i="15" a="1"/>
  <c r="AQ601" i="15" s="1"/>
  <c r="AP601" i="15"/>
  <c r="BD600" i="15"/>
  <c r="AQ600" i="15" a="1"/>
  <c r="AQ600" i="15" s="1"/>
  <c r="AP600" i="15"/>
  <c r="BD599" i="15"/>
  <c r="AQ599" i="15" a="1"/>
  <c r="AQ599" i="15" s="1"/>
  <c r="AP599" i="15"/>
  <c r="BD598" i="15"/>
  <c r="AQ598" i="15" a="1"/>
  <c r="AQ598" i="15" s="1"/>
  <c r="AP598" i="15"/>
  <c r="BD597" i="15"/>
  <c r="AQ597" i="15" a="1"/>
  <c r="AQ597" i="15" s="1"/>
  <c r="AP597" i="15"/>
  <c r="BD596" i="15"/>
  <c r="AQ596" i="15" a="1"/>
  <c r="AQ596" i="15" s="1"/>
  <c r="AP596" i="15"/>
  <c r="BD595" i="15"/>
  <c r="AQ595" i="15" a="1"/>
  <c r="AQ595" i="15" s="1"/>
  <c r="AP595" i="15"/>
  <c r="BD594" i="15"/>
  <c r="AQ594" i="15" a="1"/>
  <c r="AQ594" i="15" s="1"/>
  <c r="AP594" i="15"/>
  <c r="BD593" i="15"/>
  <c r="AQ593" i="15" a="1"/>
  <c r="AQ593" i="15" s="1"/>
  <c r="AP593" i="15"/>
  <c r="BD592" i="15"/>
  <c r="AQ592" i="15" a="1"/>
  <c r="AQ592" i="15" s="1"/>
  <c r="AP592" i="15"/>
  <c r="BD591" i="15"/>
  <c r="AQ591" i="15" a="1"/>
  <c r="AQ591" i="15" s="1"/>
  <c r="AP591" i="15"/>
  <c r="BD590" i="15"/>
  <c r="AQ590" i="15" a="1"/>
  <c r="AQ590" i="15" s="1"/>
  <c r="AP590" i="15"/>
  <c r="BD589" i="15"/>
  <c r="AQ589" i="15" a="1"/>
  <c r="AQ589" i="15" s="1"/>
  <c r="AP589" i="15"/>
  <c r="BD588" i="15"/>
  <c r="AQ588" i="15" a="1"/>
  <c r="AQ588" i="15" s="1"/>
  <c r="AP588" i="15"/>
  <c r="BD587" i="15"/>
  <c r="AQ587" i="15" a="1"/>
  <c r="AQ587" i="15" s="1"/>
  <c r="AP587" i="15"/>
  <c r="BD586" i="15"/>
  <c r="AQ586" i="15" a="1"/>
  <c r="AQ586" i="15" s="1"/>
  <c r="AP586" i="15"/>
  <c r="BD585" i="15"/>
  <c r="AQ585" i="15" a="1"/>
  <c r="AQ585" i="15" s="1"/>
  <c r="AP585" i="15"/>
  <c r="BD584" i="15"/>
  <c r="AQ584" i="15" a="1"/>
  <c r="AQ584" i="15" s="1"/>
  <c r="AP584" i="15"/>
  <c r="BD583" i="15"/>
  <c r="AQ583" i="15" a="1"/>
  <c r="AQ583" i="15" s="1"/>
  <c r="AP583" i="15"/>
  <c r="BD582" i="15"/>
  <c r="AQ582" i="15" a="1"/>
  <c r="AQ582" i="15" s="1"/>
  <c r="AP582" i="15"/>
  <c r="BD581" i="15"/>
  <c r="AQ581" i="15" a="1"/>
  <c r="AQ581" i="15" s="1"/>
  <c r="AP581" i="15"/>
  <c r="BD580" i="15"/>
  <c r="AQ580" i="15" a="1"/>
  <c r="AQ580" i="15" s="1"/>
  <c r="AP580" i="15"/>
  <c r="BD579" i="15"/>
  <c r="AQ579" i="15" a="1"/>
  <c r="AQ579" i="15" s="1"/>
  <c r="AP579" i="15"/>
  <c r="BD578" i="15"/>
  <c r="AQ578" i="15" a="1"/>
  <c r="AQ578" i="15" s="1"/>
  <c r="AP578" i="15"/>
  <c r="BD577" i="15"/>
  <c r="AQ577" i="15" a="1"/>
  <c r="AQ577" i="15" s="1"/>
  <c r="AP577" i="15"/>
  <c r="BD576" i="15"/>
  <c r="AQ576" i="15" a="1"/>
  <c r="AQ576" i="15" s="1"/>
  <c r="AP576" i="15"/>
  <c r="BD575" i="15"/>
  <c r="AQ575" i="15" a="1"/>
  <c r="AQ575" i="15" s="1"/>
  <c r="AP575" i="15"/>
  <c r="BD574" i="15"/>
  <c r="AQ574" i="15" a="1"/>
  <c r="AQ574" i="15" s="1"/>
  <c r="AP574" i="15"/>
  <c r="BD573" i="15"/>
  <c r="AQ573" i="15" a="1"/>
  <c r="AQ573" i="15" s="1"/>
  <c r="AP573" i="15"/>
  <c r="BD572" i="15"/>
  <c r="AQ572" i="15" a="1"/>
  <c r="AQ572" i="15" s="1"/>
  <c r="AP572" i="15"/>
  <c r="BD571" i="15"/>
  <c r="AQ571" i="15" a="1"/>
  <c r="AQ571" i="15" s="1"/>
  <c r="AP571" i="15"/>
  <c r="BD570" i="15"/>
  <c r="AQ570" i="15" a="1"/>
  <c r="AQ570" i="15" s="1"/>
  <c r="AP570" i="15"/>
  <c r="BD569" i="15"/>
  <c r="AQ569" i="15" a="1"/>
  <c r="AQ569" i="15" s="1"/>
  <c r="AP569" i="15"/>
  <c r="BD568" i="15"/>
  <c r="AQ568" i="15" a="1"/>
  <c r="AQ568" i="15" s="1"/>
  <c r="AP568" i="15"/>
  <c r="BD567" i="15"/>
  <c r="AQ567" i="15" a="1"/>
  <c r="AQ567" i="15" s="1"/>
  <c r="AP567" i="15"/>
  <c r="BD566" i="15"/>
  <c r="AQ566" i="15" a="1"/>
  <c r="AQ566" i="15" s="1"/>
  <c r="AP566" i="15"/>
  <c r="BD565" i="15"/>
  <c r="AQ565" i="15" a="1"/>
  <c r="AQ565" i="15" s="1"/>
  <c r="AP565" i="15"/>
  <c r="BD564" i="15"/>
  <c r="AQ564" i="15" a="1"/>
  <c r="AQ564" i="15" s="1"/>
  <c r="AP564" i="15"/>
  <c r="BD563" i="15"/>
  <c r="AQ563" i="15" a="1"/>
  <c r="AQ563" i="15" s="1"/>
  <c r="AP563" i="15"/>
  <c r="BD562" i="15"/>
  <c r="AQ562" i="15" a="1"/>
  <c r="AQ562" i="15" s="1"/>
  <c r="AP562" i="15"/>
  <c r="BD561" i="15"/>
  <c r="AQ561" i="15" a="1"/>
  <c r="AQ561" i="15" s="1"/>
  <c r="AP561" i="15"/>
  <c r="BD560" i="15"/>
  <c r="AQ560" i="15" a="1"/>
  <c r="AQ560" i="15" s="1"/>
  <c r="AP560" i="15"/>
  <c r="BD559" i="15"/>
  <c r="AQ559" i="15" a="1"/>
  <c r="AQ559" i="15" s="1"/>
  <c r="AP559" i="15"/>
  <c r="BD558" i="15"/>
  <c r="AQ558" i="15" a="1"/>
  <c r="AQ558" i="15" s="1"/>
  <c r="AP558" i="15"/>
  <c r="BD557" i="15"/>
  <c r="AQ557" i="15" a="1"/>
  <c r="AQ557" i="15" s="1"/>
  <c r="AP557" i="15"/>
  <c r="BD556" i="15"/>
  <c r="AQ556" i="15" a="1"/>
  <c r="AQ556" i="15" s="1"/>
  <c r="AP556" i="15"/>
  <c r="BD555" i="15"/>
  <c r="AQ555" i="15" a="1"/>
  <c r="AQ555" i="15" s="1"/>
  <c r="AP555" i="15"/>
  <c r="BD554" i="15"/>
  <c r="AQ554" i="15" a="1"/>
  <c r="AQ554" i="15" s="1"/>
  <c r="AP554" i="15"/>
  <c r="BD553" i="15"/>
  <c r="AQ553" i="15" a="1"/>
  <c r="AQ553" i="15" s="1"/>
  <c r="AP553" i="15"/>
  <c r="BD552" i="15"/>
  <c r="AQ552" i="15" a="1"/>
  <c r="AQ552" i="15" s="1"/>
  <c r="AP552" i="15"/>
  <c r="BD551" i="15"/>
  <c r="AQ551" i="15" a="1"/>
  <c r="AQ551" i="15" s="1"/>
  <c r="AP551" i="15"/>
  <c r="BD550" i="15"/>
  <c r="AQ550" i="15" a="1"/>
  <c r="AQ550" i="15" s="1"/>
  <c r="AP550" i="15"/>
  <c r="BD549" i="15"/>
  <c r="AQ549" i="15" a="1"/>
  <c r="AQ549" i="15" s="1"/>
  <c r="AP549" i="15"/>
  <c r="BD548" i="15"/>
  <c r="AQ548" i="15" a="1"/>
  <c r="AQ548" i="15" s="1"/>
  <c r="AP548" i="15"/>
  <c r="BD547" i="15"/>
  <c r="AQ547" i="15" a="1"/>
  <c r="AQ547" i="15" s="1"/>
  <c r="AP547" i="15"/>
  <c r="BD546" i="15"/>
  <c r="AQ546" i="15" a="1"/>
  <c r="AQ546" i="15" s="1"/>
  <c r="AP546" i="15"/>
  <c r="BD545" i="15"/>
  <c r="AQ545" i="15" a="1"/>
  <c r="AQ545" i="15" s="1"/>
  <c r="AP545" i="15"/>
  <c r="BD544" i="15"/>
  <c r="AQ544" i="15" a="1"/>
  <c r="AQ544" i="15" s="1"/>
  <c r="AP544" i="15"/>
  <c r="BD543" i="15"/>
  <c r="AQ543" i="15" a="1"/>
  <c r="AQ543" i="15" s="1"/>
  <c r="AP543" i="15"/>
  <c r="BD542" i="15"/>
  <c r="AQ542" i="15" a="1"/>
  <c r="AQ542" i="15" s="1"/>
  <c r="AP542" i="15"/>
  <c r="BD541" i="15"/>
  <c r="AQ541" i="15" a="1"/>
  <c r="AQ541" i="15" s="1"/>
  <c r="AP541" i="15"/>
  <c r="BD540" i="15"/>
  <c r="AQ540" i="15" a="1"/>
  <c r="AQ540" i="15" s="1"/>
  <c r="AP540" i="15"/>
  <c r="BD539" i="15"/>
  <c r="AQ539" i="15" a="1"/>
  <c r="AQ539" i="15" s="1"/>
  <c r="AP539" i="15"/>
  <c r="BD538" i="15"/>
  <c r="AQ538" i="15" a="1"/>
  <c r="AQ538" i="15" s="1"/>
  <c r="AP538" i="15"/>
  <c r="BD537" i="15"/>
  <c r="AQ537" i="15" a="1"/>
  <c r="AQ537" i="15" s="1"/>
  <c r="AP537" i="15"/>
  <c r="BD536" i="15"/>
  <c r="AQ536" i="15" a="1"/>
  <c r="AQ536" i="15" s="1"/>
  <c r="AP536" i="15"/>
  <c r="BD535" i="15"/>
  <c r="AQ535" i="15" a="1"/>
  <c r="AQ535" i="15" s="1"/>
  <c r="AP535" i="15"/>
  <c r="BD534" i="15"/>
  <c r="AQ534" i="15" a="1"/>
  <c r="AQ534" i="15" s="1"/>
  <c r="AP534" i="15"/>
  <c r="BD533" i="15"/>
  <c r="AQ533" i="15" a="1"/>
  <c r="AQ533" i="15" s="1"/>
  <c r="AP533" i="15"/>
  <c r="BD532" i="15"/>
  <c r="AQ532" i="15" a="1"/>
  <c r="AQ532" i="15" s="1"/>
  <c r="AP532" i="15"/>
  <c r="BD531" i="15"/>
  <c r="AQ531" i="15" a="1"/>
  <c r="AQ531" i="15" s="1"/>
  <c r="AP531" i="15"/>
  <c r="BD530" i="15"/>
  <c r="AQ530" i="15" a="1"/>
  <c r="AQ530" i="15" s="1"/>
  <c r="AP530" i="15"/>
  <c r="BD529" i="15"/>
  <c r="AQ529" i="15" a="1"/>
  <c r="AQ529" i="15" s="1"/>
  <c r="AP529" i="15"/>
  <c r="BD528" i="15"/>
  <c r="AQ528" i="15" a="1"/>
  <c r="AQ528" i="15" s="1"/>
  <c r="AP528" i="15"/>
  <c r="BD527" i="15"/>
  <c r="AQ527" i="15" a="1"/>
  <c r="AQ527" i="15" s="1"/>
  <c r="AP527" i="15"/>
  <c r="BD526" i="15"/>
  <c r="AQ526" i="15" a="1"/>
  <c r="AQ526" i="15" s="1"/>
  <c r="AP526" i="15"/>
  <c r="BD525" i="15"/>
  <c r="AQ525" i="15" a="1"/>
  <c r="AQ525" i="15" s="1"/>
  <c r="AP525" i="15"/>
  <c r="BD524" i="15"/>
  <c r="AQ524" i="15" a="1"/>
  <c r="AQ524" i="15" s="1"/>
  <c r="AP524" i="15"/>
  <c r="BD523" i="15"/>
  <c r="AQ523" i="15" a="1"/>
  <c r="AQ523" i="15" s="1"/>
  <c r="AP523" i="15"/>
  <c r="BD522" i="15"/>
  <c r="AQ522" i="15" a="1"/>
  <c r="AQ522" i="15" s="1"/>
  <c r="AP522" i="15"/>
  <c r="BD521" i="15"/>
  <c r="AQ521" i="15" a="1"/>
  <c r="AQ521" i="15" s="1"/>
  <c r="AP521" i="15"/>
  <c r="BD520" i="15"/>
  <c r="AQ520" i="15" a="1"/>
  <c r="AQ520" i="15" s="1"/>
  <c r="AP520" i="15"/>
  <c r="BD519" i="15"/>
  <c r="AQ519" i="15" a="1"/>
  <c r="AQ519" i="15" s="1"/>
  <c r="AP519" i="15"/>
  <c r="BD518" i="15"/>
  <c r="AQ518" i="15" a="1"/>
  <c r="AQ518" i="15" s="1"/>
  <c r="AP518" i="15"/>
  <c r="BD517" i="15"/>
  <c r="AQ517" i="15" a="1"/>
  <c r="AQ517" i="15" s="1"/>
  <c r="AP517" i="15"/>
  <c r="BD516" i="15"/>
  <c r="AQ516" i="15" a="1"/>
  <c r="AQ516" i="15" s="1"/>
  <c r="AP516" i="15"/>
  <c r="BD515" i="15"/>
  <c r="AQ515" i="15" a="1"/>
  <c r="AQ515" i="15" s="1"/>
  <c r="AP515" i="15"/>
  <c r="BD514" i="15"/>
  <c r="AQ514" i="15" a="1"/>
  <c r="AQ514" i="15" s="1"/>
  <c r="AP514" i="15"/>
  <c r="BD513" i="15"/>
  <c r="AQ513" i="15" a="1"/>
  <c r="AQ513" i="15" s="1"/>
  <c r="AP513" i="15"/>
  <c r="BD512" i="15"/>
  <c r="AP512" i="15"/>
  <c r="BD511" i="15"/>
  <c r="AP511" i="15"/>
  <c r="BD510" i="15"/>
  <c r="AQ510" i="15" a="1"/>
  <c r="AQ510" i="15" s="1"/>
  <c r="AP510" i="15"/>
  <c r="BD509" i="15"/>
  <c r="AQ509" i="15" a="1"/>
  <c r="AQ509" i="15" s="1"/>
  <c r="AP509" i="15"/>
  <c r="BD508" i="15"/>
  <c r="AQ508" i="15" a="1"/>
  <c r="AQ508" i="15" s="1"/>
  <c r="AP508" i="15"/>
  <c r="BD507" i="15"/>
  <c r="AQ507" i="15" a="1"/>
  <c r="AQ507" i="15" s="1"/>
  <c r="AP507" i="15"/>
  <c r="BD506" i="15"/>
  <c r="AP506" i="15"/>
  <c r="BD505" i="15"/>
  <c r="AQ505" i="15" a="1"/>
  <c r="AQ505" i="15" s="1"/>
  <c r="AP505" i="15"/>
  <c r="BD504" i="15"/>
  <c r="AQ504" i="15" a="1"/>
  <c r="AQ504" i="15" s="1"/>
  <c r="AP504" i="15"/>
  <c r="BD503" i="15"/>
  <c r="AQ503" i="15" a="1"/>
  <c r="AQ503" i="15" s="1"/>
  <c r="AP503" i="15"/>
  <c r="BD502" i="15"/>
  <c r="AQ502" i="15" a="1"/>
  <c r="AQ502" i="15" s="1"/>
  <c r="AP502" i="15"/>
  <c r="BD501" i="15"/>
  <c r="AQ501" i="15" a="1"/>
  <c r="AQ501" i="15" s="1"/>
  <c r="AP501" i="15"/>
  <c r="BD500" i="15"/>
  <c r="AQ500" i="15" a="1"/>
  <c r="AQ500" i="15" s="1"/>
  <c r="AP500" i="15"/>
  <c r="BD499" i="15"/>
  <c r="AQ499" i="15" a="1"/>
  <c r="AQ499" i="15" s="1"/>
  <c r="AP499" i="15"/>
  <c r="BD498" i="15"/>
  <c r="AQ498" i="15" a="1"/>
  <c r="AQ498" i="15" s="1"/>
  <c r="AP498" i="15"/>
  <c r="BD497" i="15"/>
  <c r="AQ497" i="15" a="1"/>
  <c r="AQ497" i="15" s="1"/>
  <c r="AP497" i="15"/>
  <c r="BD496" i="15"/>
  <c r="AQ496" i="15" a="1"/>
  <c r="AQ496" i="15" s="1"/>
  <c r="AP496" i="15"/>
  <c r="BD495" i="15"/>
  <c r="AQ495" i="15" a="1"/>
  <c r="AQ495" i="15" s="1"/>
  <c r="AP495" i="15"/>
  <c r="BD494" i="15"/>
  <c r="AQ494" i="15" a="1"/>
  <c r="AQ494" i="15" s="1"/>
  <c r="AP494" i="15"/>
  <c r="BD493" i="15"/>
  <c r="AQ493" i="15" a="1"/>
  <c r="AQ493" i="15" s="1"/>
  <c r="AP493" i="15"/>
  <c r="BD492" i="15"/>
  <c r="AQ492" i="15" a="1"/>
  <c r="AQ492" i="15" s="1"/>
  <c r="AP492" i="15"/>
  <c r="BD491" i="15"/>
  <c r="AP491" i="15"/>
  <c r="BD490" i="15"/>
  <c r="AQ490" i="15" a="1"/>
  <c r="AQ490" i="15" s="1"/>
  <c r="AP490" i="15"/>
  <c r="BD489" i="15"/>
  <c r="AQ489" i="15" a="1"/>
  <c r="AQ489" i="15" s="1"/>
  <c r="AP489" i="15"/>
  <c r="BD488" i="15"/>
  <c r="AQ488" i="15" a="1"/>
  <c r="AQ488" i="15" s="1"/>
  <c r="AP488" i="15"/>
  <c r="BD487" i="15"/>
  <c r="AQ487" i="15" a="1"/>
  <c r="AQ487" i="15" s="1"/>
  <c r="AP487" i="15"/>
  <c r="BD486" i="15"/>
  <c r="AQ486" i="15" a="1"/>
  <c r="AQ486" i="15" s="1"/>
  <c r="AP486" i="15"/>
  <c r="BD485" i="15"/>
  <c r="AQ485" i="15" a="1"/>
  <c r="AQ485" i="15" s="1"/>
  <c r="AP485" i="15"/>
  <c r="BD484" i="15"/>
  <c r="AQ484" i="15" a="1"/>
  <c r="AQ484" i="15" s="1"/>
  <c r="AP484" i="15"/>
  <c r="BD483" i="15"/>
  <c r="AQ483" i="15" a="1"/>
  <c r="AQ483" i="15" s="1"/>
  <c r="AP483" i="15"/>
  <c r="BD482" i="15"/>
  <c r="AP482" i="15"/>
  <c r="BD481" i="15"/>
  <c r="AQ481" i="15" a="1"/>
  <c r="AQ481" i="15" s="1"/>
  <c r="AP481" i="15"/>
  <c r="BD480" i="15"/>
  <c r="AQ480" i="15" a="1"/>
  <c r="AQ480" i="15" s="1"/>
  <c r="AP480" i="15"/>
  <c r="BD479" i="15"/>
  <c r="AQ479" i="15" a="1"/>
  <c r="AQ479" i="15" s="1"/>
  <c r="AP479" i="15"/>
  <c r="BD478" i="15"/>
  <c r="AQ478" i="15" a="1"/>
  <c r="AQ478" i="15" s="1"/>
  <c r="AP478" i="15"/>
  <c r="BD477" i="15"/>
  <c r="AP477" i="15"/>
  <c r="BD476" i="15"/>
  <c r="AQ476" i="15" a="1"/>
  <c r="AQ476" i="15" s="1"/>
  <c r="AP476" i="15"/>
  <c r="BD475" i="15"/>
  <c r="AQ475" i="15" a="1"/>
  <c r="AQ475" i="15" s="1"/>
  <c r="AP475" i="15"/>
  <c r="BD474" i="15"/>
  <c r="AQ474" i="15" a="1"/>
  <c r="AQ474" i="15" s="1"/>
  <c r="AP474" i="15"/>
  <c r="BD473" i="15"/>
  <c r="AQ473" i="15" a="1"/>
  <c r="AQ473" i="15" s="1"/>
  <c r="AP473" i="15"/>
  <c r="BD472" i="15"/>
  <c r="AQ472" i="15" a="1"/>
  <c r="AQ472" i="15" s="1"/>
  <c r="AP472" i="15"/>
  <c r="BD471" i="15"/>
  <c r="AQ471" i="15" a="1"/>
  <c r="AQ471" i="15" s="1"/>
  <c r="AP471" i="15"/>
  <c r="BD470" i="15"/>
  <c r="AQ470" i="15" a="1"/>
  <c r="AQ470" i="15" s="1"/>
  <c r="AP470" i="15"/>
  <c r="BD469" i="15"/>
  <c r="AQ469" i="15" a="1"/>
  <c r="AQ469" i="15" s="1"/>
  <c r="AP469" i="15"/>
  <c r="BD468" i="15"/>
  <c r="AQ468" i="15" a="1"/>
  <c r="AQ468" i="15" s="1"/>
  <c r="AP468" i="15"/>
  <c r="BD467" i="15"/>
  <c r="AQ467" i="15" a="1"/>
  <c r="AQ467" i="15" s="1"/>
  <c r="AP467" i="15"/>
  <c r="BD466" i="15"/>
  <c r="AQ466" i="15" a="1"/>
  <c r="AQ466" i="15" s="1"/>
  <c r="AP466" i="15"/>
  <c r="BD465" i="15"/>
  <c r="AQ465" i="15" a="1"/>
  <c r="AQ465" i="15" s="1"/>
  <c r="AP465" i="15"/>
  <c r="BD464" i="15"/>
  <c r="AQ464" i="15" a="1"/>
  <c r="AQ464" i="15" s="1"/>
  <c r="AP464" i="15"/>
  <c r="BD463" i="15"/>
  <c r="AQ463" i="15" a="1"/>
  <c r="AQ463" i="15" s="1"/>
  <c r="AP463" i="15"/>
  <c r="BD462" i="15"/>
  <c r="AQ462" i="15" a="1"/>
  <c r="AQ462" i="15" s="1"/>
  <c r="AP462" i="15"/>
  <c r="BD461" i="15"/>
  <c r="AQ461" i="15" a="1"/>
  <c r="AQ461" i="15" s="1"/>
  <c r="AP461" i="15"/>
  <c r="BD460" i="15"/>
  <c r="AQ460" i="15" a="1"/>
  <c r="AQ460" i="15" s="1"/>
  <c r="AP460" i="15"/>
  <c r="BD459" i="15"/>
  <c r="AP459" i="15"/>
  <c r="BD458" i="15"/>
  <c r="AQ458" i="15" a="1"/>
  <c r="AQ458" i="15" s="1"/>
  <c r="AP458" i="15"/>
  <c r="BD457" i="15"/>
  <c r="AQ457" i="15" a="1"/>
  <c r="AQ457" i="15" s="1"/>
  <c r="AP457" i="15"/>
  <c r="BD456" i="15"/>
  <c r="AQ456" i="15" a="1"/>
  <c r="AQ456" i="15" s="1"/>
  <c r="AP456" i="15"/>
  <c r="BD455" i="15"/>
  <c r="AP455" i="15"/>
  <c r="BD454" i="15"/>
  <c r="AQ454" i="15" a="1"/>
  <c r="AQ454" i="15" s="1"/>
  <c r="AP454" i="15"/>
  <c r="BD453" i="15"/>
  <c r="AQ453" i="15" a="1"/>
  <c r="AQ453" i="15" s="1"/>
  <c r="AP453" i="15"/>
  <c r="BD452" i="15"/>
  <c r="AQ452" i="15" a="1"/>
  <c r="AQ452" i="15" s="1"/>
  <c r="AP452" i="15"/>
  <c r="BD451" i="15"/>
  <c r="AQ451" i="15" a="1"/>
  <c r="AQ451" i="15" s="1"/>
  <c r="AP451" i="15"/>
  <c r="BD450" i="15"/>
  <c r="AQ450" i="15" a="1"/>
  <c r="AQ450" i="15" s="1"/>
  <c r="AP450" i="15"/>
  <c r="BD449" i="15"/>
  <c r="AQ449" i="15" a="1"/>
  <c r="AQ449" i="15" s="1"/>
  <c r="AP449" i="15"/>
  <c r="BD448" i="15"/>
  <c r="AQ448" i="15" a="1"/>
  <c r="AQ448" i="15" s="1"/>
  <c r="AP448" i="15"/>
  <c r="BD447" i="15"/>
  <c r="AQ447" i="15" a="1"/>
  <c r="AQ447" i="15" s="1"/>
  <c r="AP447" i="15"/>
  <c r="BD446" i="15"/>
  <c r="AQ446" i="15" a="1"/>
  <c r="AQ446" i="15" s="1"/>
  <c r="AP446" i="15"/>
  <c r="BD445" i="15"/>
  <c r="AQ445" i="15" a="1"/>
  <c r="AQ445" i="15" s="1"/>
  <c r="AP445" i="15"/>
  <c r="BD444" i="15"/>
  <c r="AQ444" i="15" a="1"/>
  <c r="AQ444" i="15" s="1"/>
  <c r="AP444" i="15"/>
  <c r="BD443" i="15"/>
  <c r="AQ443" i="15" a="1"/>
  <c r="AQ443" i="15" s="1"/>
  <c r="AP443" i="15"/>
  <c r="BD442" i="15"/>
  <c r="AQ442" i="15" a="1"/>
  <c r="AQ442" i="15" s="1"/>
  <c r="AP442" i="15"/>
  <c r="BD441" i="15"/>
  <c r="AQ441" i="15" a="1"/>
  <c r="AQ441" i="15" s="1"/>
  <c r="AP441" i="15"/>
  <c r="BD440" i="15"/>
  <c r="AP440" i="15"/>
  <c r="BD439" i="15"/>
  <c r="AP439" i="15"/>
  <c r="BD438" i="15"/>
  <c r="AQ438" i="15" a="1"/>
  <c r="AQ438" i="15" s="1"/>
  <c r="AP438" i="15"/>
  <c r="BD437" i="15"/>
  <c r="AQ437" i="15" a="1"/>
  <c r="AQ437" i="15" s="1"/>
  <c r="AP437" i="15"/>
  <c r="BD436" i="15"/>
  <c r="AQ436" i="15" a="1"/>
  <c r="AQ436" i="15" s="1"/>
  <c r="AP436" i="15"/>
  <c r="BD435" i="15"/>
  <c r="AQ435" i="15" a="1"/>
  <c r="AQ435" i="15" s="1"/>
  <c r="AP435" i="15"/>
  <c r="BD434" i="15"/>
  <c r="AQ434" i="15" a="1"/>
  <c r="AQ434" i="15" s="1"/>
  <c r="AP434" i="15"/>
  <c r="BD433" i="15"/>
  <c r="AQ433" i="15" a="1"/>
  <c r="AQ433" i="15" s="1"/>
  <c r="AP433" i="15"/>
  <c r="BD432" i="15"/>
  <c r="AQ432" i="15" a="1"/>
  <c r="AQ432" i="15" s="1"/>
  <c r="AP432" i="15"/>
  <c r="BD431" i="15"/>
  <c r="AQ431" i="15" a="1"/>
  <c r="AQ431" i="15" s="1"/>
  <c r="AP431" i="15"/>
  <c r="BD430" i="15"/>
  <c r="AQ430" i="15" a="1"/>
  <c r="AQ430" i="15" s="1"/>
  <c r="AP430" i="15"/>
  <c r="BD429" i="15"/>
  <c r="AQ429" i="15" a="1"/>
  <c r="AQ429" i="15" s="1"/>
  <c r="AP429" i="15"/>
  <c r="BD428" i="15"/>
  <c r="AQ428" i="15" a="1"/>
  <c r="AQ428" i="15" s="1"/>
  <c r="AP428" i="15"/>
  <c r="BD427" i="15"/>
  <c r="AQ427" i="15" a="1"/>
  <c r="AQ427" i="15" s="1"/>
  <c r="AP427" i="15"/>
  <c r="BD426" i="15"/>
  <c r="AQ426" i="15" a="1"/>
  <c r="AQ426" i="15" s="1"/>
  <c r="AP426" i="15"/>
  <c r="BD425" i="15"/>
  <c r="AP425" i="15"/>
  <c r="BD424" i="15"/>
  <c r="AP424" i="15"/>
  <c r="BD423" i="15"/>
  <c r="AQ423" i="15" a="1"/>
  <c r="AQ423" i="15" s="1"/>
  <c r="AP423" i="15"/>
  <c r="BD422" i="15"/>
  <c r="AQ422" i="15" a="1"/>
  <c r="AQ422" i="15" s="1"/>
  <c r="AP422" i="15"/>
  <c r="BD421" i="15"/>
  <c r="AP421" i="15"/>
  <c r="BD420" i="15"/>
  <c r="AQ420" i="15" a="1"/>
  <c r="AQ420" i="15" s="1"/>
  <c r="AP420" i="15"/>
  <c r="BD419" i="15"/>
  <c r="AP419" i="15"/>
  <c r="BD418" i="15"/>
  <c r="AQ418" i="15" a="1"/>
  <c r="AQ418" i="15" s="1"/>
  <c r="AP418" i="15"/>
  <c r="BD417" i="15"/>
  <c r="AQ417" i="15" a="1"/>
  <c r="AQ417" i="15" s="1"/>
  <c r="AP417" i="15"/>
  <c r="BD416" i="15"/>
  <c r="AP416" i="15"/>
  <c r="BD415" i="15"/>
  <c r="AP415" i="15"/>
  <c r="BD414" i="15"/>
  <c r="AP414" i="15"/>
  <c r="BD413" i="15"/>
  <c r="AQ413" i="15" a="1"/>
  <c r="AQ413" i="15" s="1"/>
  <c r="AP413" i="15"/>
  <c r="BD412" i="15"/>
  <c r="AP412" i="15"/>
  <c r="BD411" i="15"/>
  <c r="AQ411" i="15" a="1"/>
  <c r="AQ411" i="15" s="1"/>
  <c r="AP411" i="15"/>
  <c r="BD410" i="15"/>
  <c r="AP410" i="15"/>
  <c r="BD409" i="15"/>
  <c r="AQ409" i="15" a="1"/>
  <c r="AQ409" i="15" s="1"/>
  <c r="AP409" i="15"/>
  <c r="BD408" i="15"/>
  <c r="AQ408" i="15" a="1"/>
  <c r="AQ408" i="15" s="1"/>
  <c r="AP408" i="15"/>
  <c r="BD407" i="15"/>
  <c r="AQ407" i="15" a="1"/>
  <c r="AQ407" i="15" s="1"/>
  <c r="AP407" i="15"/>
  <c r="BD406" i="15"/>
  <c r="AP406" i="15"/>
  <c r="BD405" i="15"/>
  <c r="AQ405" i="15" a="1"/>
  <c r="AQ405" i="15" s="1"/>
  <c r="AP405" i="15"/>
  <c r="BD404" i="15"/>
  <c r="AQ404" i="15" a="1"/>
  <c r="AQ404" i="15" s="1"/>
  <c r="AP404" i="15"/>
  <c r="BD403" i="15"/>
  <c r="AQ403" i="15" a="1"/>
  <c r="AQ403" i="15" s="1"/>
  <c r="AP403" i="15"/>
  <c r="BD402" i="15"/>
  <c r="AQ402" i="15" a="1"/>
  <c r="AQ402" i="15" s="1"/>
  <c r="AP402" i="15"/>
  <c r="BD401" i="15"/>
  <c r="AQ401" i="15" a="1"/>
  <c r="AQ401" i="15" s="1"/>
  <c r="AP401" i="15"/>
  <c r="BD400" i="15"/>
  <c r="AQ400" i="15" a="1"/>
  <c r="AQ400" i="15" s="1"/>
  <c r="AP400" i="15"/>
  <c r="BD399" i="15"/>
  <c r="AQ399" i="15" a="1"/>
  <c r="AQ399" i="15" s="1"/>
  <c r="AP399" i="15"/>
  <c r="BD398" i="15"/>
  <c r="AQ398" i="15" a="1"/>
  <c r="AQ398" i="15" s="1"/>
  <c r="AP398" i="15"/>
  <c r="BD397" i="15"/>
  <c r="AQ397" i="15" a="1"/>
  <c r="AQ397" i="15" s="1"/>
  <c r="AP397" i="15"/>
  <c r="BD396" i="15"/>
  <c r="BD395" i="15"/>
  <c r="AQ395" i="15" a="1"/>
  <c r="AQ395" i="15" s="1"/>
  <c r="AP395" i="15"/>
  <c r="BD394" i="15"/>
  <c r="AQ394" i="15" a="1"/>
  <c r="AQ394" i="15" s="1"/>
  <c r="AP394" i="15"/>
  <c r="BD393" i="15"/>
  <c r="AQ393" i="15" a="1"/>
  <c r="AQ393" i="15" s="1"/>
  <c r="AP393" i="15"/>
  <c r="BD392" i="15"/>
  <c r="AQ392" i="15" a="1"/>
  <c r="AQ392" i="15" s="1"/>
  <c r="AP392" i="15"/>
  <c r="BD391" i="15"/>
  <c r="AQ391" i="15" a="1"/>
  <c r="AQ391" i="15" s="1"/>
  <c r="AP391" i="15"/>
  <c r="BD390" i="15"/>
  <c r="AQ390" i="15" a="1"/>
  <c r="AQ390" i="15" s="1"/>
  <c r="AP390" i="15"/>
  <c r="BD389" i="15"/>
  <c r="AQ389" i="15" a="1"/>
  <c r="AQ389" i="15" s="1"/>
  <c r="AP389" i="15"/>
  <c r="BD388" i="15"/>
  <c r="AP388" i="15"/>
  <c r="BD387" i="15"/>
  <c r="AP387" i="15"/>
  <c r="BD386" i="15"/>
  <c r="AQ386" i="15" a="1"/>
  <c r="AQ386" i="15" s="1"/>
  <c r="AP386" i="15"/>
  <c r="BD385" i="15"/>
  <c r="AQ385" i="15" a="1"/>
  <c r="AQ385" i="15" s="1"/>
  <c r="AP385" i="15"/>
  <c r="BD384" i="15"/>
  <c r="AQ384" i="15" a="1"/>
  <c r="AQ384" i="15" s="1"/>
  <c r="AP384" i="15"/>
  <c r="BD383" i="15"/>
  <c r="AP383" i="15"/>
  <c r="BD382" i="15"/>
  <c r="AP382" i="15"/>
  <c r="BD381" i="15"/>
  <c r="AQ381" i="15" a="1"/>
  <c r="AQ381" i="15" s="1"/>
  <c r="AP381" i="15"/>
  <c r="BD380" i="15"/>
  <c r="AQ380" i="15" a="1"/>
  <c r="AQ380" i="15" s="1"/>
  <c r="AP380" i="15"/>
  <c r="BD379" i="15"/>
  <c r="AP379" i="15"/>
  <c r="BD378" i="15"/>
  <c r="AQ378" i="15" a="1"/>
  <c r="AQ378" i="15" s="1"/>
  <c r="AP378" i="15"/>
  <c r="BD377" i="15"/>
  <c r="AQ377" i="15" a="1"/>
  <c r="AQ377" i="15" s="1"/>
  <c r="AP377" i="15"/>
  <c r="BD376" i="15"/>
  <c r="AQ376" i="15" a="1"/>
  <c r="AQ376" i="15" s="1"/>
  <c r="AP376" i="15"/>
  <c r="BD375" i="15"/>
  <c r="AQ375" i="15" a="1"/>
  <c r="AQ375" i="15" s="1"/>
  <c r="AP375" i="15"/>
  <c r="BD374" i="15"/>
  <c r="AQ374" i="15" a="1"/>
  <c r="AQ374" i="15" s="1"/>
  <c r="AP374" i="15"/>
  <c r="BD373" i="15"/>
  <c r="AP373" i="15"/>
  <c r="BD372" i="15"/>
  <c r="AQ372" i="15" a="1"/>
  <c r="AQ372" i="15" s="1"/>
  <c r="AP372" i="15"/>
  <c r="BD371" i="15"/>
  <c r="AQ371" i="15" a="1"/>
  <c r="AQ371" i="15" s="1"/>
  <c r="AP371" i="15"/>
  <c r="BD370" i="15"/>
  <c r="AQ370" i="15" a="1"/>
  <c r="AQ370" i="15" s="1"/>
  <c r="AP370" i="15"/>
  <c r="BD369" i="15"/>
  <c r="AQ369" i="15" a="1"/>
  <c r="AQ369" i="15" s="1"/>
  <c r="AP369" i="15"/>
  <c r="BD368" i="15"/>
  <c r="AQ368" i="15" a="1"/>
  <c r="AQ368" i="15" s="1"/>
  <c r="AP368" i="15"/>
  <c r="BD367" i="15"/>
  <c r="AP367" i="15"/>
  <c r="BD366" i="15"/>
  <c r="AP366" i="15"/>
  <c r="BD365" i="15"/>
  <c r="AQ365" i="15" a="1"/>
  <c r="AQ365" i="15" s="1"/>
  <c r="AP365" i="15"/>
  <c r="BD364" i="15"/>
  <c r="AQ364" i="15" a="1"/>
  <c r="AQ364" i="15" s="1"/>
  <c r="AP364" i="15"/>
  <c r="BD363" i="15"/>
  <c r="AQ363" i="15" a="1"/>
  <c r="AQ363" i="15" s="1"/>
  <c r="AP363" i="15"/>
  <c r="BD362" i="15"/>
  <c r="AQ362" i="15" a="1"/>
  <c r="AQ362" i="15" s="1"/>
  <c r="AP362" i="15"/>
  <c r="BD361" i="15"/>
  <c r="AQ361" i="15" a="1"/>
  <c r="AQ361" i="15" s="1"/>
  <c r="AP361" i="15"/>
  <c r="BD360" i="15"/>
  <c r="AQ360" i="15" a="1"/>
  <c r="AQ360" i="15" s="1"/>
  <c r="AP360" i="15"/>
  <c r="BD359" i="15"/>
  <c r="AQ359" i="15" a="1"/>
  <c r="AQ359" i="15" s="1"/>
  <c r="AP359" i="15"/>
  <c r="BD358" i="15"/>
  <c r="AP358" i="15"/>
  <c r="BD357" i="15"/>
  <c r="AP357" i="15"/>
  <c r="BD356" i="15"/>
  <c r="AP356" i="15"/>
  <c r="BD355" i="15"/>
  <c r="AQ355" i="15" a="1"/>
  <c r="AQ355" i="15" s="1"/>
  <c r="AP355" i="15"/>
  <c r="BD354" i="15"/>
  <c r="AP354" i="15"/>
  <c r="BD353" i="15"/>
  <c r="AQ353" i="15" a="1"/>
  <c r="AQ353" i="15" s="1"/>
  <c r="AP353" i="15"/>
  <c r="BD352" i="15"/>
  <c r="AP352" i="15"/>
  <c r="BD351" i="15"/>
  <c r="AP351" i="15"/>
  <c r="BD350" i="15"/>
  <c r="AQ350" i="15" a="1"/>
  <c r="AQ350" i="15" s="1"/>
  <c r="AP350" i="15"/>
  <c r="BD349" i="15"/>
  <c r="AQ349" i="15" a="1"/>
  <c r="AQ349" i="15" s="1"/>
  <c r="AP349" i="15"/>
  <c r="BD348" i="15"/>
  <c r="AQ348" i="15" a="1"/>
  <c r="AQ348" i="15" s="1"/>
  <c r="AP348" i="15"/>
  <c r="BD347" i="15"/>
  <c r="AQ347" i="15" a="1"/>
  <c r="AQ347" i="15" s="1"/>
  <c r="AP347" i="15"/>
  <c r="BD346" i="15"/>
  <c r="AP346" i="15"/>
  <c r="BD345" i="15"/>
  <c r="AQ345" i="15" a="1"/>
  <c r="AQ345" i="15" s="1"/>
  <c r="AP345" i="15"/>
  <c r="BD344" i="15"/>
  <c r="AQ344" i="15" a="1"/>
  <c r="AQ344" i="15" s="1"/>
  <c r="AP344" i="15"/>
  <c r="BD343" i="15"/>
  <c r="AQ343" i="15" a="1"/>
  <c r="AQ343" i="15" s="1"/>
  <c r="AP343" i="15"/>
  <c r="BD342" i="15"/>
  <c r="AQ342" i="15" a="1"/>
  <c r="AQ342" i="15" s="1"/>
  <c r="AP342" i="15"/>
  <c r="BD341" i="15"/>
  <c r="AP341" i="15"/>
  <c r="BD340" i="15"/>
  <c r="AQ340" i="15" a="1"/>
  <c r="AQ340" i="15" s="1"/>
  <c r="AP340" i="15"/>
  <c r="BD339" i="15"/>
  <c r="AP339" i="15"/>
  <c r="BD338" i="15"/>
  <c r="AQ338" i="15" a="1"/>
  <c r="AQ338" i="15" s="1"/>
  <c r="AP338" i="15"/>
  <c r="BD337" i="15"/>
  <c r="AQ337" i="15" a="1"/>
  <c r="AQ337" i="15" s="1"/>
  <c r="AP337" i="15"/>
  <c r="BD336" i="15"/>
  <c r="AQ336" i="15" a="1"/>
  <c r="AQ336" i="15" s="1"/>
  <c r="AP336" i="15"/>
  <c r="BD335" i="15"/>
  <c r="AQ335" i="15" a="1"/>
  <c r="AQ335" i="15" s="1"/>
  <c r="AP335" i="15"/>
  <c r="BD334" i="15"/>
  <c r="AQ334" i="15" a="1"/>
  <c r="AQ334" i="15" s="1"/>
  <c r="AP334" i="15"/>
  <c r="BD333" i="15"/>
  <c r="AQ333" i="15" a="1"/>
  <c r="AQ333" i="15" s="1"/>
  <c r="AP333" i="15"/>
  <c r="BD332" i="15"/>
  <c r="AP332" i="15"/>
  <c r="BD331" i="15"/>
  <c r="AQ331" i="15" a="1"/>
  <c r="AQ331" i="15" s="1"/>
  <c r="AP331" i="15"/>
  <c r="BD330" i="15"/>
  <c r="AQ330" i="15" a="1"/>
  <c r="AQ330" i="15" s="1"/>
  <c r="AP330" i="15"/>
  <c r="BD329" i="15"/>
  <c r="AP329" i="15"/>
  <c r="BD328" i="15"/>
  <c r="AP328" i="15"/>
  <c r="BD327" i="15"/>
  <c r="AP327" i="15"/>
  <c r="BD326" i="15"/>
  <c r="AQ326" i="15" a="1"/>
  <c r="AQ326" i="15" s="1"/>
  <c r="AP326" i="15"/>
  <c r="BD325" i="15"/>
  <c r="AQ325" i="15" a="1"/>
  <c r="AQ325" i="15" s="1"/>
  <c r="AP325" i="15"/>
  <c r="BD324" i="15"/>
  <c r="AP324" i="15"/>
  <c r="BD323" i="15"/>
  <c r="AQ323" i="15" a="1"/>
  <c r="AQ323" i="15" s="1"/>
  <c r="AP323" i="15"/>
  <c r="BD322" i="15"/>
  <c r="AQ322" i="15" a="1"/>
  <c r="AQ322" i="15" s="1"/>
  <c r="AP322" i="15"/>
  <c r="BD321" i="15"/>
  <c r="AP321" i="15"/>
  <c r="BD320" i="15"/>
  <c r="AQ320" i="15" a="1"/>
  <c r="AQ320" i="15" s="1"/>
  <c r="AP320" i="15"/>
  <c r="BD319" i="15"/>
  <c r="AQ319" i="15" a="1"/>
  <c r="AQ319" i="15" s="1"/>
  <c r="AP319" i="15"/>
  <c r="BD318" i="15"/>
  <c r="AQ318" i="15" a="1"/>
  <c r="AQ318" i="15" s="1"/>
  <c r="AP318" i="15"/>
  <c r="BD317" i="15"/>
  <c r="AQ317" i="15" a="1"/>
  <c r="AQ317" i="15" s="1"/>
  <c r="AP317" i="15"/>
  <c r="BD316" i="15"/>
  <c r="AQ316" i="15" a="1"/>
  <c r="AQ316" i="15" s="1"/>
  <c r="AP316" i="15"/>
  <c r="BD315" i="15"/>
  <c r="AQ315" i="15" a="1"/>
  <c r="AQ315" i="15" s="1"/>
  <c r="AP315" i="15"/>
  <c r="BD314" i="15"/>
  <c r="AQ314" i="15" a="1"/>
  <c r="AQ314" i="15" s="1"/>
  <c r="AP314" i="15"/>
  <c r="BD313" i="15"/>
  <c r="AQ313" i="15" a="1"/>
  <c r="AQ313" i="15" s="1"/>
  <c r="AP313" i="15"/>
  <c r="BD312" i="15"/>
  <c r="AQ312" i="15" a="1"/>
  <c r="AQ312" i="15" s="1"/>
  <c r="AP312" i="15"/>
  <c r="BD311" i="15"/>
  <c r="AQ311" i="15" a="1"/>
  <c r="AQ311" i="15" s="1"/>
  <c r="AP311" i="15"/>
  <c r="BD310" i="15"/>
  <c r="AQ310" i="15" a="1"/>
  <c r="AQ310" i="15" s="1"/>
  <c r="AP310" i="15"/>
  <c r="BD309" i="15"/>
  <c r="AQ309" i="15" a="1"/>
  <c r="AQ309" i="15" s="1"/>
  <c r="AP309" i="15"/>
  <c r="BD308" i="15"/>
  <c r="AQ308" i="15" a="1"/>
  <c r="AQ308" i="15" s="1"/>
  <c r="AP308" i="15"/>
  <c r="BD307" i="15"/>
  <c r="AQ307" i="15" a="1"/>
  <c r="AQ307" i="15" s="1"/>
  <c r="AP307" i="15"/>
  <c r="BD306" i="15"/>
  <c r="AQ306" i="15" a="1"/>
  <c r="AQ306" i="15" s="1"/>
  <c r="AP306" i="15"/>
  <c r="BD305" i="15"/>
  <c r="AQ305" i="15" a="1"/>
  <c r="AQ305" i="15" s="1"/>
  <c r="AP305" i="15"/>
  <c r="BD304" i="15"/>
  <c r="AQ304" i="15" a="1"/>
  <c r="AQ304" i="15" s="1"/>
  <c r="AP304" i="15"/>
  <c r="BD303" i="15"/>
  <c r="AQ303" i="15" a="1"/>
  <c r="AQ303" i="15" s="1"/>
  <c r="AP303" i="15"/>
  <c r="BD302" i="15"/>
  <c r="AQ302" i="15" a="1"/>
  <c r="AQ302" i="15" s="1"/>
  <c r="AP302" i="15"/>
  <c r="BD301" i="15"/>
  <c r="AQ301" i="15" a="1"/>
  <c r="AQ301" i="15" s="1"/>
  <c r="AP301" i="15"/>
  <c r="BD300" i="15"/>
  <c r="AQ300" i="15" a="1"/>
  <c r="AQ300" i="15" s="1"/>
  <c r="AP300" i="15"/>
  <c r="BD299" i="15"/>
  <c r="AQ299" i="15" a="1"/>
  <c r="AQ299" i="15" s="1"/>
  <c r="AP299" i="15"/>
  <c r="BD298" i="15"/>
  <c r="AQ298" i="15" a="1"/>
  <c r="AQ298" i="15" s="1"/>
  <c r="AP298" i="15"/>
  <c r="BD297" i="15"/>
  <c r="AQ297" i="15" a="1"/>
  <c r="AQ297" i="15" s="1"/>
  <c r="AP297" i="15"/>
  <c r="BD296" i="15"/>
  <c r="AQ296" i="15" a="1"/>
  <c r="AQ296" i="15" s="1"/>
  <c r="AP296" i="15"/>
  <c r="BD295" i="15"/>
  <c r="AQ295" i="15" a="1"/>
  <c r="AQ295" i="15" s="1"/>
  <c r="AP295" i="15"/>
  <c r="BD294" i="15"/>
  <c r="AQ294" i="15" a="1"/>
  <c r="AQ294" i="15" s="1"/>
  <c r="AP294" i="15"/>
  <c r="BD293" i="15"/>
  <c r="AQ293" i="15" a="1"/>
  <c r="AQ293" i="15" s="1"/>
  <c r="AP293" i="15"/>
  <c r="BD292" i="15"/>
  <c r="AQ292" i="15" a="1"/>
  <c r="AQ292" i="15" s="1"/>
  <c r="AP292" i="15"/>
  <c r="BD291" i="15"/>
  <c r="AQ291" i="15" a="1"/>
  <c r="AQ291" i="15" s="1"/>
  <c r="AP291" i="15"/>
  <c r="BD290" i="15"/>
  <c r="AQ290" i="15" a="1"/>
  <c r="AQ290" i="15" s="1"/>
  <c r="AP290" i="15"/>
  <c r="BD289" i="15"/>
  <c r="AQ289" i="15" a="1"/>
  <c r="AQ289" i="15" s="1"/>
  <c r="AP289" i="15"/>
  <c r="BD288" i="15"/>
  <c r="AQ288" i="15" a="1"/>
  <c r="AQ288" i="15" s="1"/>
  <c r="AP288" i="15"/>
  <c r="BD287" i="15"/>
  <c r="AQ287" i="15" a="1"/>
  <c r="AQ287" i="15" s="1"/>
  <c r="AP287" i="15"/>
  <c r="BD286" i="15"/>
  <c r="AQ286" i="15" a="1"/>
  <c r="AQ286" i="15" s="1"/>
  <c r="AP286" i="15"/>
  <c r="BD285" i="15"/>
  <c r="AQ285" i="15" a="1"/>
  <c r="AQ285" i="15" s="1"/>
  <c r="AP285" i="15"/>
  <c r="BD284" i="15"/>
  <c r="AQ284" i="15" a="1"/>
  <c r="AQ284" i="15" s="1"/>
  <c r="AP284" i="15"/>
  <c r="BD283" i="15"/>
  <c r="AQ283" i="15" a="1"/>
  <c r="AQ283" i="15" s="1"/>
  <c r="AP283" i="15"/>
  <c r="BD282" i="15"/>
  <c r="AQ282" i="15" a="1"/>
  <c r="AQ282" i="15" s="1"/>
  <c r="AP282" i="15"/>
  <c r="BD281" i="15"/>
  <c r="AQ281" i="15" a="1"/>
  <c r="AQ281" i="15" s="1"/>
  <c r="AP281" i="15"/>
  <c r="BD280" i="15"/>
  <c r="AQ280" i="15" a="1"/>
  <c r="AQ280" i="15" s="1"/>
  <c r="AP280" i="15"/>
  <c r="BD279" i="15"/>
  <c r="AQ279" i="15" a="1"/>
  <c r="AQ279" i="15" s="1"/>
  <c r="AP279" i="15"/>
  <c r="BD278" i="15"/>
  <c r="AQ278" i="15" a="1"/>
  <c r="AQ278" i="15" s="1"/>
  <c r="AP278" i="15"/>
  <c r="BD277" i="15"/>
  <c r="AQ277" i="15" a="1"/>
  <c r="AQ277" i="15" s="1"/>
  <c r="AP277" i="15"/>
  <c r="BD276" i="15"/>
  <c r="AQ276" i="15" a="1"/>
  <c r="AQ276" i="15" s="1"/>
  <c r="AP276" i="15"/>
  <c r="BD275" i="15"/>
  <c r="AQ275" i="15" a="1"/>
  <c r="AQ275" i="15" s="1"/>
  <c r="AP275" i="15"/>
  <c r="BD274" i="15"/>
  <c r="AQ274" i="15" a="1"/>
  <c r="AQ274" i="15" s="1"/>
  <c r="AP274" i="15"/>
  <c r="BD273" i="15"/>
  <c r="AQ273" i="15" a="1"/>
  <c r="AQ273" i="15" s="1"/>
  <c r="AP273" i="15"/>
  <c r="BD272" i="15"/>
  <c r="AQ272" i="15" a="1"/>
  <c r="AQ272" i="15" s="1"/>
  <c r="AP272" i="15"/>
  <c r="BD271" i="15"/>
  <c r="AQ271" i="15" a="1"/>
  <c r="AQ271" i="15" s="1"/>
  <c r="AP271" i="15"/>
  <c r="BD270" i="15"/>
  <c r="AQ270" i="15" a="1"/>
  <c r="AQ270" i="15" s="1"/>
  <c r="AP270" i="15"/>
  <c r="BD269" i="15"/>
  <c r="AQ269" i="15" a="1"/>
  <c r="AQ269" i="15" s="1"/>
  <c r="AP269" i="15"/>
  <c r="BD268" i="15"/>
  <c r="AQ268" i="15" a="1"/>
  <c r="AQ268" i="15" s="1"/>
  <c r="AP268" i="15"/>
  <c r="BD267" i="15"/>
  <c r="AQ267" i="15" a="1"/>
  <c r="AQ267" i="15" s="1"/>
  <c r="AP267" i="15"/>
  <c r="BD266" i="15"/>
  <c r="AQ266" i="15" a="1"/>
  <c r="AQ266" i="15" s="1"/>
  <c r="AP266" i="15"/>
  <c r="BD265" i="15"/>
  <c r="AQ265" i="15" a="1"/>
  <c r="AQ265" i="15" s="1"/>
  <c r="AP265" i="15"/>
  <c r="BD264" i="15"/>
  <c r="AQ264" i="15" a="1"/>
  <c r="AQ264" i="15" s="1"/>
  <c r="AP264" i="15"/>
  <c r="BD263" i="15"/>
  <c r="AQ263" i="15" a="1"/>
  <c r="AQ263" i="15" s="1"/>
  <c r="AP263" i="15"/>
  <c r="BD262" i="15"/>
  <c r="AQ262" i="15" a="1"/>
  <c r="AQ262" i="15" s="1"/>
  <c r="AP262" i="15"/>
  <c r="BD261" i="15"/>
  <c r="AQ261" i="15" a="1"/>
  <c r="AQ261" i="15" s="1"/>
  <c r="AP261" i="15"/>
  <c r="BD260" i="15"/>
  <c r="AQ260" i="15" a="1"/>
  <c r="AQ260" i="15" s="1"/>
  <c r="AP260" i="15"/>
  <c r="BD259" i="15"/>
  <c r="AQ259" i="15" a="1"/>
  <c r="AQ259" i="15" s="1"/>
  <c r="AP259" i="15"/>
  <c r="BD258" i="15"/>
  <c r="AQ258" i="15" a="1"/>
  <c r="AQ258" i="15" s="1"/>
  <c r="AP258" i="15"/>
  <c r="BD257" i="15"/>
  <c r="AQ257" i="15" a="1"/>
  <c r="AQ257" i="15" s="1"/>
  <c r="AP257" i="15"/>
  <c r="BD256" i="15"/>
  <c r="AQ256" i="15" a="1"/>
  <c r="AQ256" i="15" s="1"/>
  <c r="AP256" i="15"/>
  <c r="BD255" i="15"/>
  <c r="AQ255" i="15" a="1"/>
  <c r="AQ255" i="15" s="1"/>
  <c r="AP255" i="15"/>
  <c r="BD254" i="15"/>
  <c r="AQ254" i="15" a="1"/>
  <c r="AQ254" i="15" s="1"/>
  <c r="AP254" i="15"/>
  <c r="BD253" i="15"/>
  <c r="AP253" i="15"/>
  <c r="BD252" i="15"/>
  <c r="AQ252" i="15" a="1"/>
  <c r="AQ252" i="15" s="1"/>
  <c r="AP252" i="15"/>
  <c r="BD251" i="15"/>
  <c r="AP251" i="15"/>
  <c r="BD250" i="15"/>
  <c r="AQ250" i="15" a="1"/>
  <c r="AQ250" i="15" s="1"/>
  <c r="AP250" i="15"/>
  <c r="BD249" i="15"/>
  <c r="AQ249" i="15" a="1"/>
  <c r="AQ249" i="15" s="1"/>
  <c r="AP249" i="15"/>
  <c r="BD248" i="15"/>
  <c r="AQ248" i="15" a="1"/>
  <c r="AQ248" i="15" s="1"/>
  <c r="AP248" i="15"/>
  <c r="BD247" i="15"/>
  <c r="AQ247" i="15" a="1"/>
  <c r="AQ247" i="15" s="1"/>
  <c r="AP247" i="15"/>
  <c r="BD246" i="15"/>
  <c r="AQ246" i="15" a="1"/>
  <c r="AQ246" i="15" s="1"/>
  <c r="AP246" i="15"/>
  <c r="BD245" i="15"/>
  <c r="AQ245" i="15" a="1"/>
  <c r="AQ245" i="15" s="1"/>
  <c r="AP245" i="15"/>
  <c r="BD244" i="15"/>
  <c r="AQ244" i="15" a="1"/>
  <c r="AQ244" i="15" s="1"/>
  <c r="AP244" i="15"/>
  <c r="BD243" i="15"/>
  <c r="AQ243" i="15" a="1"/>
  <c r="AQ243" i="15" s="1"/>
  <c r="AP243" i="15"/>
  <c r="BD242" i="15"/>
  <c r="AQ242" i="15" a="1"/>
  <c r="AQ242" i="15" s="1"/>
  <c r="AP242" i="15"/>
  <c r="BD241" i="15"/>
  <c r="AQ241" i="15" a="1"/>
  <c r="AQ241" i="15" s="1"/>
  <c r="AP241" i="15"/>
  <c r="BD240" i="15"/>
  <c r="AQ240" i="15" a="1"/>
  <c r="AQ240" i="15" s="1"/>
  <c r="AP240" i="15"/>
  <c r="BD239" i="15"/>
  <c r="AQ239" i="15" a="1"/>
  <c r="AQ239" i="15" s="1"/>
  <c r="AP239" i="15"/>
  <c r="BD238" i="15"/>
  <c r="AQ238" i="15" a="1"/>
  <c r="AQ238" i="15" s="1"/>
  <c r="AP238" i="15"/>
  <c r="BD237" i="15"/>
  <c r="AQ237" i="15" a="1"/>
  <c r="AQ237" i="15" s="1"/>
  <c r="AP237" i="15"/>
  <c r="BD236" i="15"/>
  <c r="AQ236" i="15" a="1"/>
  <c r="AQ236" i="15" s="1"/>
  <c r="AP236" i="15"/>
  <c r="BD235" i="15"/>
  <c r="AQ235" i="15" a="1"/>
  <c r="AQ235" i="15" s="1"/>
  <c r="AP235" i="15"/>
  <c r="BD234" i="15"/>
  <c r="AQ234" i="15" a="1"/>
  <c r="AQ234" i="15" s="1"/>
  <c r="AP234" i="15"/>
  <c r="BD233" i="15"/>
  <c r="AQ233" i="15" a="1"/>
  <c r="AQ233" i="15" s="1"/>
  <c r="AP233" i="15"/>
  <c r="BD232" i="15"/>
  <c r="AQ232" i="15" a="1"/>
  <c r="AQ232" i="15" s="1"/>
  <c r="AP232" i="15"/>
  <c r="BD231" i="15"/>
  <c r="AQ231" i="15" a="1"/>
  <c r="AQ231" i="15" s="1"/>
  <c r="AP231" i="15"/>
  <c r="BD230" i="15"/>
  <c r="AQ230" i="15" a="1"/>
  <c r="AQ230" i="15" s="1"/>
  <c r="AP230" i="15"/>
  <c r="BD229" i="15"/>
  <c r="AQ229" i="15" a="1"/>
  <c r="AQ229" i="15" s="1"/>
  <c r="AP229" i="15"/>
  <c r="BD228" i="15"/>
  <c r="AQ228" i="15" a="1"/>
  <c r="AQ228" i="15" s="1"/>
  <c r="AP228" i="15"/>
  <c r="BD227" i="15"/>
  <c r="AQ227" i="15" a="1"/>
  <c r="AQ227" i="15" s="1"/>
  <c r="AP227" i="15"/>
  <c r="BD226" i="15"/>
  <c r="AQ226" i="15" a="1"/>
  <c r="AQ226" i="15" s="1"/>
  <c r="AP226" i="15"/>
  <c r="BD225" i="15"/>
  <c r="AQ225" i="15" a="1"/>
  <c r="AQ225" i="15" s="1"/>
  <c r="AP225" i="15"/>
  <c r="BD224" i="15"/>
  <c r="AQ224" i="15" a="1"/>
  <c r="AQ224" i="15" s="1"/>
  <c r="AP224" i="15"/>
  <c r="BD223" i="15"/>
  <c r="AQ223" i="15" a="1"/>
  <c r="AQ223" i="15" s="1"/>
  <c r="AP223" i="15"/>
  <c r="BD222" i="15"/>
  <c r="AQ222" i="15" a="1"/>
  <c r="AQ222" i="15" s="1"/>
  <c r="AP222" i="15"/>
  <c r="BD221" i="15"/>
  <c r="AQ221" i="15" a="1"/>
  <c r="AQ221" i="15" s="1"/>
  <c r="AP221" i="15"/>
  <c r="BD220" i="15"/>
  <c r="AQ220" i="15" a="1"/>
  <c r="AQ220" i="15" s="1"/>
  <c r="AP220" i="15"/>
  <c r="BD219" i="15"/>
  <c r="AQ219" i="15" a="1"/>
  <c r="AQ219" i="15" s="1"/>
  <c r="AP219" i="15"/>
  <c r="BD218" i="15"/>
  <c r="AQ218" i="15" a="1"/>
  <c r="AQ218" i="15" s="1"/>
  <c r="AP218" i="15"/>
  <c r="BD217" i="15"/>
  <c r="AQ217" i="15" a="1"/>
  <c r="AQ217" i="15" s="1"/>
  <c r="AP217" i="15"/>
  <c r="BD216" i="15"/>
  <c r="AQ216" i="15" a="1"/>
  <c r="AQ216" i="15" s="1"/>
  <c r="AP216" i="15"/>
  <c r="BD215" i="15"/>
  <c r="AQ215" i="15" a="1"/>
  <c r="AQ215" i="15" s="1"/>
  <c r="AP215" i="15"/>
  <c r="BD214" i="15"/>
  <c r="AQ214" i="15" a="1"/>
  <c r="AQ214" i="15" s="1"/>
  <c r="AP214" i="15"/>
  <c r="BD213" i="15"/>
  <c r="AQ213" i="15" a="1"/>
  <c r="AQ213" i="15" s="1"/>
  <c r="AP213" i="15"/>
  <c r="BD212" i="15"/>
  <c r="AQ212" i="15" a="1"/>
  <c r="AQ212" i="15" s="1"/>
  <c r="AP212" i="15"/>
  <c r="BD211" i="15"/>
  <c r="AQ211" i="15" a="1"/>
  <c r="AQ211" i="15" s="1"/>
  <c r="AP211" i="15"/>
  <c r="BD210" i="15"/>
  <c r="AQ210" i="15" a="1"/>
  <c r="AQ210" i="15" s="1"/>
  <c r="AP210" i="15"/>
  <c r="BD209" i="15"/>
  <c r="AQ209" i="15" a="1"/>
  <c r="AQ209" i="15" s="1"/>
  <c r="AP209" i="15"/>
  <c r="BD208" i="15"/>
  <c r="AP208" i="15"/>
  <c r="BD207" i="15"/>
  <c r="AP207" i="15"/>
  <c r="BD206" i="15"/>
  <c r="AQ206" i="15" a="1"/>
  <c r="AQ206" i="15" s="1"/>
  <c r="AP206" i="15"/>
  <c r="BD205" i="15"/>
  <c r="AQ205" i="15" a="1"/>
  <c r="AQ205" i="15" s="1"/>
  <c r="AP205" i="15"/>
  <c r="BD204" i="15"/>
  <c r="AQ204" i="15" a="1"/>
  <c r="AQ204" i="15" s="1"/>
  <c r="AP204" i="15"/>
  <c r="BD203" i="15"/>
  <c r="AP203" i="15"/>
  <c r="BD202" i="15"/>
  <c r="AQ202" i="15" a="1"/>
  <c r="AQ202" i="15" s="1"/>
  <c r="AP202" i="15"/>
  <c r="BD201" i="15"/>
  <c r="AQ201" i="15" a="1"/>
  <c r="AQ201" i="15" s="1"/>
  <c r="AP201" i="15"/>
  <c r="BD200" i="15"/>
  <c r="AQ200" i="15" a="1"/>
  <c r="AQ200" i="15" s="1"/>
  <c r="AP200" i="15"/>
  <c r="BD199" i="15"/>
  <c r="AQ199" i="15" a="1"/>
  <c r="AQ199" i="15" s="1"/>
  <c r="AP199" i="15"/>
  <c r="BD198" i="15"/>
  <c r="AQ198" i="15" a="1"/>
  <c r="AQ198" i="15" s="1"/>
  <c r="AP198" i="15"/>
  <c r="BD197" i="15"/>
  <c r="AQ197" i="15" a="1"/>
  <c r="AQ197" i="15" s="1"/>
  <c r="AP197" i="15"/>
  <c r="BD196" i="15"/>
  <c r="AQ196" i="15" a="1"/>
  <c r="AQ196" i="15" s="1"/>
  <c r="AP196" i="15"/>
  <c r="BD195" i="15"/>
  <c r="AQ195" i="15" a="1"/>
  <c r="AQ195" i="15" s="1"/>
  <c r="AP195" i="15"/>
  <c r="BD194" i="15"/>
  <c r="AQ194" i="15" a="1"/>
  <c r="AQ194" i="15" s="1"/>
  <c r="AP194" i="15"/>
  <c r="BD193" i="15"/>
  <c r="AQ193" i="15" a="1"/>
  <c r="AQ193" i="15" s="1"/>
  <c r="AP193" i="15"/>
  <c r="BD192" i="15"/>
  <c r="AQ192" i="15" a="1"/>
  <c r="AQ192" i="15" s="1"/>
  <c r="AP192" i="15"/>
  <c r="BD191" i="15"/>
  <c r="AQ191" i="15" a="1"/>
  <c r="AQ191" i="15" s="1"/>
  <c r="AP191" i="15"/>
  <c r="BD190" i="15"/>
  <c r="AQ190" i="15" a="1"/>
  <c r="AQ190" i="15" s="1"/>
  <c r="AP190" i="15"/>
  <c r="BD189" i="15"/>
  <c r="AQ189" i="15" a="1"/>
  <c r="AQ189" i="15" s="1"/>
  <c r="AP189" i="15"/>
  <c r="BD188" i="15"/>
  <c r="AQ188" i="15" a="1"/>
  <c r="AQ188" i="15" s="1"/>
  <c r="AP188" i="15"/>
  <c r="BD187" i="15"/>
  <c r="AQ187" i="15" a="1"/>
  <c r="AQ187" i="15" s="1"/>
  <c r="AP187" i="15"/>
  <c r="BD186" i="15"/>
  <c r="AQ186" i="15" a="1"/>
  <c r="AQ186" i="15" s="1"/>
  <c r="AP186" i="15"/>
  <c r="BD185" i="15"/>
  <c r="AQ185" i="15" a="1"/>
  <c r="AQ185" i="15" s="1"/>
  <c r="AP185" i="15"/>
  <c r="BD184" i="15"/>
  <c r="AQ184" i="15" a="1"/>
  <c r="AQ184" i="15" s="1"/>
  <c r="AP184" i="15"/>
  <c r="BD183" i="15"/>
  <c r="AQ183" i="15" a="1"/>
  <c r="AQ183" i="15" s="1"/>
  <c r="AP183" i="15"/>
  <c r="BD182" i="15"/>
  <c r="AQ182" i="15" a="1"/>
  <c r="AQ182" i="15" s="1"/>
  <c r="AP182" i="15"/>
  <c r="BD181" i="15"/>
  <c r="AQ181" i="15" a="1"/>
  <c r="AQ181" i="15" s="1"/>
  <c r="AP181" i="15"/>
  <c r="BD180" i="15"/>
  <c r="AQ180" i="15" a="1"/>
  <c r="AQ180" i="15" s="1"/>
  <c r="AP180" i="15"/>
  <c r="BD179" i="15"/>
  <c r="AQ179" i="15" a="1"/>
  <c r="AQ179" i="15" s="1"/>
  <c r="AP179" i="15"/>
  <c r="BD178" i="15"/>
  <c r="AQ178" i="15" a="1"/>
  <c r="AQ178" i="15" s="1"/>
  <c r="AP178" i="15"/>
  <c r="BD177" i="15"/>
  <c r="AQ177" i="15" a="1"/>
  <c r="AQ177" i="15" s="1"/>
  <c r="AP177" i="15"/>
  <c r="BD176" i="15"/>
  <c r="AQ176" i="15" a="1"/>
  <c r="AQ176" i="15" s="1"/>
  <c r="AP176" i="15"/>
  <c r="BD175" i="15"/>
  <c r="AQ175" i="15" a="1"/>
  <c r="AQ175" i="15" s="1"/>
  <c r="AP175" i="15"/>
  <c r="BD174" i="15"/>
  <c r="AQ174" i="15" a="1"/>
  <c r="AQ174" i="15" s="1"/>
  <c r="AP174" i="15"/>
  <c r="BD173" i="15"/>
  <c r="AQ173" i="15" a="1"/>
  <c r="AQ173" i="15" s="1"/>
  <c r="AP173" i="15"/>
  <c r="BD172" i="15"/>
  <c r="AQ172" i="15" a="1"/>
  <c r="AQ172" i="15" s="1"/>
  <c r="AP172" i="15"/>
  <c r="BD171" i="15"/>
  <c r="AQ171" i="15" a="1"/>
  <c r="AQ171" i="15" s="1"/>
  <c r="AP171" i="15"/>
  <c r="BD170" i="15"/>
  <c r="AQ170" i="15" a="1"/>
  <c r="AQ170" i="15" s="1"/>
  <c r="AP170" i="15"/>
  <c r="BD169" i="15"/>
  <c r="AQ169" i="15" a="1"/>
  <c r="AQ169" i="15" s="1"/>
  <c r="AP169" i="15"/>
  <c r="BD168" i="15"/>
  <c r="AQ168" i="15" a="1"/>
  <c r="AQ168" i="15" s="1"/>
  <c r="AP168" i="15"/>
  <c r="BD167" i="15"/>
  <c r="AQ167" i="15" a="1"/>
  <c r="AQ167" i="15" s="1"/>
  <c r="AP167" i="15"/>
  <c r="BD166" i="15"/>
  <c r="AQ166" i="15" a="1"/>
  <c r="AQ166" i="15" s="1"/>
  <c r="AP166" i="15"/>
  <c r="BD165" i="15"/>
  <c r="AQ165" i="15" a="1"/>
  <c r="AQ165" i="15" s="1"/>
  <c r="AP165" i="15"/>
  <c r="BD164" i="15"/>
  <c r="AQ164" i="15" a="1"/>
  <c r="AQ164" i="15" s="1"/>
  <c r="AP164" i="15"/>
  <c r="BD163" i="15"/>
  <c r="AQ163" i="15" a="1"/>
  <c r="AQ163" i="15" s="1"/>
  <c r="AP163" i="15"/>
  <c r="BD162" i="15"/>
  <c r="AQ162" i="15" a="1"/>
  <c r="AQ162" i="15" s="1"/>
  <c r="AP162" i="15"/>
  <c r="BD161" i="15"/>
  <c r="AQ161" i="15" a="1"/>
  <c r="AQ161" i="15" s="1"/>
  <c r="AP161" i="15"/>
  <c r="BD160" i="15"/>
  <c r="AQ160" i="15" a="1"/>
  <c r="AQ160" i="15" s="1"/>
  <c r="AP160" i="15"/>
  <c r="BD159" i="15"/>
  <c r="AQ159" i="15" a="1"/>
  <c r="AQ159" i="15" s="1"/>
  <c r="AP159" i="15"/>
  <c r="BD158" i="15"/>
  <c r="AQ158" i="15" a="1"/>
  <c r="AQ158" i="15" s="1"/>
  <c r="AP158" i="15"/>
  <c r="BD157" i="15"/>
  <c r="AQ157" i="15" a="1"/>
  <c r="AQ157" i="15" s="1"/>
  <c r="AP157" i="15"/>
  <c r="BD156" i="15"/>
  <c r="AQ156" i="15" a="1"/>
  <c r="AQ156" i="15" s="1"/>
  <c r="AP156" i="15"/>
  <c r="BD155" i="15"/>
  <c r="AQ155" i="15" a="1"/>
  <c r="AQ155" i="15" s="1"/>
  <c r="AP155" i="15"/>
  <c r="BD154" i="15"/>
  <c r="AQ154" i="15" a="1"/>
  <c r="AQ154" i="15" s="1"/>
  <c r="AP154" i="15"/>
  <c r="BD153" i="15"/>
  <c r="AQ153" i="15" a="1"/>
  <c r="AQ153" i="15" s="1"/>
  <c r="AP153" i="15"/>
  <c r="BD152" i="15"/>
  <c r="AQ152" i="15" a="1"/>
  <c r="AQ152" i="15" s="1"/>
  <c r="AP152" i="15"/>
  <c r="BD151" i="15"/>
  <c r="AQ151" i="15" a="1"/>
  <c r="AQ151" i="15" s="1"/>
  <c r="AP151" i="15"/>
  <c r="BD150" i="15"/>
  <c r="AQ150" i="15" a="1"/>
  <c r="AQ150" i="15" s="1"/>
  <c r="AP150" i="15"/>
  <c r="BD149" i="15"/>
  <c r="AQ149" i="15" a="1"/>
  <c r="AQ149" i="15" s="1"/>
  <c r="AP149" i="15"/>
  <c r="BD148" i="15"/>
  <c r="AQ148" i="15" a="1"/>
  <c r="AQ148" i="15" s="1"/>
  <c r="AP148" i="15"/>
  <c r="BD147" i="15"/>
  <c r="AQ147" i="15" a="1"/>
  <c r="AQ147" i="15" s="1"/>
  <c r="AP147" i="15"/>
  <c r="BD146" i="15"/>
  <c r="AQ146" i="15" a="1"/>
  <c r="AQ146" i="15" s="1"/>
  <c r="AP146" i="15"/>
  <c r="BD145" i="15"/>
  <c r="AQ145" i="15" a="1"/>
  <c r="AQ145" i="15" s="1"/>
  <c r="AP145" i="15"/>
  <c r="BD144" i="15"/>
  <c r="AQ144" i="15" a="1"/>
  <c r="AQ144" i="15" s="1"/>
  <c r="AP144" i="15"/>
  <c r="BD143" i="15"/>
  <c r="AQ143" i="15" a="1"/>
  <c r="AQ143" i="15" s="1"/>
  <c r="AP143" i="15"/>
  <c r="BD142" i="15"/>
  <c r="AQ142" i="15" a="1"/>
  <c r="AQ142" i="15" s="1"/>
  <c r="AP142" i="15"/>
  <c r="BD141" i="15"/>
  <c r="AQ141" i="15" a="1"/>
  <c r="AQ141" i="15" s="1"/>
  <c r="AP141" i="15"/>
  <c r="BD140" i="15"/>
  <c r="AQ140" i="15" a="1"/>
  <c r="AQ140" i="15" s="1"/>
  <c r="AP140" i="15"/>
  <c r="BD139" i="15"/>
  <c r="AQ139" i="15" a="1"/>
  <c r="AQ139" i="15" s="1"/>
  <c r="AP139" i="15"/>
  <c r="BD138" i="15"/>
  <c r="AQ138" i="15" a="1"/>
  <c r="AQ138" i="15" s="1"/>
  <c r="AP138" i="15"/>
  <c r="BD137" i="15"/>
  <c r="AQ137" i="15" a="1"/>
  <c r="AQ137" i="15" s="1"/>
  <c r="AP137" i="15"/>
  <c r="BD136" i="15"/>
  <c r="AQ136" i="15" a="1"/>
  <c r="AQ136" i="15" s="1"/>
  <c r="AP136" i="15"/>
  <c r="BD135" i="15"/>
  <c r="AQ135" i="15" a="1"/>
  <c r="AQ135" i="15" s="1"/>
  <c r="AP135" i="15"/>
  <c r="BD134" i="15"/>
  <c r="AQ134" i="15" a="1"/>
  <c r="AQ134" i="15" s="1"/>
  <c r="AP134" i="15"/>
  <c r="BD133" i="15"/>
  <c r="AQ133" i="15" a="1"/>
  <c r="AQ133" i="15" s="1"/>
  <c r="AP133" i="15"/>
  <c r="BD132" i="15"/>
  <c r="AQ132" i="15" a="1"/>
  <c r="AQ132" i="15" s="1"/>
  <c r="AP132" i="15"/>
  <c r="BD131" i="15"/>
  <c r="AQ131" i="15" a="1"/>
  <c r="AQ131" i="15" s="1"/>
  <c r="AP131" i="15"/>
  <c r="BD130" i="15"/>
  <c r="AQ130" i="15" a="1"/>
  <c r="AQ130" i="15" s="1"/>
  <c r="AP130" i="15"/>
  <c r="BD129" i="15"/>
  <c r="AP129" i="15"/>
  <c r="BD128" i="15"/>
  <c r="AQ128" i="15" a="1"/>
  <c r="AQ128" i="15" s="1"/>
  <c r="AP128" i="15"/>
  <c r="BD127" i="15"/>
  <c r="AQ127" i="15" a="1"/>
  <c r="AQ127" i="15" s="1"/>
  <c r="AP127" i="15"/>
  <c r="BD126" i="15"/>
  <c r="AQ126" i="15" a="1"/>
  <c r="AQ126" i="15" s="1"/>
  <c r="AP126" i="15"/>
  <c r="BD125" i="15"/>
  <c r="AP125" i="15"/>
  <c r="BD124" i="15"/>
  <c r="AQ124" i="15" a="1"/>
  <c r="AQ124" i="15" s="1"/>
  <c r="AP124" i="15"/>
  <c r="BD123" i="15"/>
  <c r="AQ123" i="15" a="1"/>
  <c r="AQ123" i="15" s="1"/>
  <c r="AP123" i="15"/>
  <c r="BD122" i="15"/>
  <c r="AQ122" i="15" a="1"/>
  <c r="AQ122" i="15" s="1"/>
  <c r="AP122" i="15"/>
  <c r="BD121" i="15"/>
  <c r="AQ121" i="15" a="1"/>
  <c r="AQ121" i="15" s="1"/>
  <c r="AP121" i="15"/>
  <c r="BD120" i="15"/>
  <c r="AQ120" i="15" a="1"/>
  <c r="AQ120" i="15" s="1"/>
  <c r="AP120" i="15"/>
  <c r="BD119" i="15"/>
  <c r="AQ119" i="15" a="1"/>
  <c r="AQ119" i="15" s="1"/>
  <c r="AP119" i="15"/>
  <c r="BD118" i="15"/>
  <c r="AQ118" i="15" a="1"/>
  <c r="AQ118" i="15" s="1"/>
  <c r="AP118" i="15"/>
  <c r="BD117" i="15"/>
  <c r="AQ117" i="15" a="1"/>
  <c r="AQ117" i="15" s="1"/>
  <c r="AP117" i="15"/>
  <c r="BD116" i="15"/>
  <c r="AQ116" i="15" a="1"/>
  <c r="AQ116" i="15" s="1"/>
  <c r="AP116" i="15"/>
  <c r="BD115" i="15"/>
  <c r="AQ115" i="15" a="1"/>
  <c r="AQ115" i="15" s="1"/>
  <c r="AP115" i="15"/>
  <c r="BD114" i="15"/>
  <c r="AQ114" i="15" a="1"/>
  <c r="AQ114" i="15" s="1"/>
  <c r="AP114" i="15"/>
  <c r="BD113" i="15"/>
  <c r="AQ113" i="15" a="1"/>
  <c r="AQ113" i="15" s="1"/>
  <c r="AP113" i="15"/>
  <c r="BD112" i="15"/>
  <c r="AQ112" i="15" a="1"/>
  <c r="AQ112" i="15" s="1"/>
  <c r="AP112" i="15"/>
  <c r="BD111" i="15"/>
  <c r="AQ111" i="15" a="1"/>
  <c r="AQ111" i="15" s="1"/>
  <c r="AP111" i="15"/>
  <c r="BD110" i="15"/>
  <c r="AQ110" i="15" a="1"/>
  <c r="AQ110" i="15" s="1"/>
  <c r="AP110" i="15"/>
  <c r="BD109" i="15"/>
  <c r="AQ109" i="15" a="1"/>
  <c r="AQ109" i="15" s="1"/>
  <c r="AP109" i="15"/>
  <c r="BD108" i="15"/>
  <c r="AQ108" i="15" a="1"/>
  <c r="AQ108" i="15" s="1"/>
  <c r="AP108" i="15"/>
  <c r="BD107" i="15"/>
  <c r="AQ107" i="15" a="1"/>
  <c r="AQ107" i="15" s="1"/>
  <c r="AP107" i="15"/>
  <c r="BD106" i="15"/>
  <c r="AQ106" i="15" a="1"/>
  <c r="AQ106" i="15" s="1"/>
  <c r="AP106" i="15"/>
  <c r="BD105" i="15"/>
  <c r="AQ105" i="15" a="1"/>
  <c r="AQ105" i="15" s="1"/>
  <c r="AP105" i="15"/>
  <c r="BD104" i="15"/>
  <c r="AQ104" i="15" a="1"/>
  <c r="AQ104" i="15" s="1"/>
  <c r="AP104" i="15"/>
  <c r="BD103" i="15"/>
  <c r="AQ103" i="15" a="1"/>
  <c r="AQ103" i="15" s="1"/>
  <c r="AP103" i="15"/>
  <c r="BD102" i="15"/>
  <c r="AQ102" i="15" a="1"/>
  <c r="AQ102" i="15" s="1"/>
  <c r="AP102" i="15"/>
  <c r="BD101" i="15"/>
  <c r="AQ101" i="15" a="1"/>
  <c r="AQ101" i="15" s="1"/>
  <c r="AP101" i="15"/>
  <c r="BD100" i="15"/>
  <c r="AP100" i="15"/>
  <c r="BD99" i="15"/>
  <c r="AQ99" i="15" a="1"/>
  <c r="AQ99" i="15" s="1"/>
  <c r="AP99" i="15"/>
  <c r="BD98" i="15"/>
  <c r="AQ98" i="15" a="1"/>
  <c r="AQ98" i="15" s="1"/>
  <c r="AP98" i="15"/>
  <c r="BD97" i="15"/>
  <c r="AQ97" i="15" a="1"/>
  <c r="AQ97" i="15" s="1"/>
  <c r="AP97" i="15"/>
  <c r="BD96" i="15"/>
  <c r="AP96" i="15"/>
  <c r="BD95" i="15"/>
  <c r="AP95" i="15"/>
  <c r="BD94" i="15"/>
  <c r="AP94" i="15"/>
  <c r="BD93" i="15"/>
  <c r="AQ93" i="15" a="1"/>
  <c r="AQ93" i="15" s="1"/>
  <c r="AP93" i="15"/>
  <c r="BD92" i="15"/>
  <c r="AQ92" i="15" a="1"/>
  <c r="AQ92" i="15" s="1"/>
  <c r="AP92" i="15"/>
  <c r="BD91" i="15"/>
  <c r="AQ91" i="15" a="1"/>
  <c r="AQ91" i="15" s="1"/>
  <c r="AP91" i="15"/>
  <c r="BD90" i="15"/>
  <c r="AQ90" i="15" a="1"/>
  <c r="AQ90" i="15" s="1"/>
  <c r="AP90" i="15"/>
  <c r="BD89" i="15"/>
  <c r="AQ89" i="15" a="1"/>
  <c r="AQ89" i="15" s="1"/>
  <c r="AP89" i="15"/>
  <c r="BD88" i="15"/>
  <c r="AQ88" i="15" a="1"/>
  <c r="AQ88" i="15" s="1"/>
  <c r="AP88" i="15"/>
  <c r="BD87" i="15"/>
  <c r="AQ87" i="15" a="1"/>
  <c r="AQ87" i="15" s="1"/>
  <c r="AP87" i="15"/>
  <c r="BD86" i="15"/>
  <c r="AQ86" i="15" a="1"/>
  <c r="AQ86" i="15" s="1"/>
  <c r="AP86" i="15"/>
  <c r="BD85" i="15"/>
  <c r="AQ85" i="15" a="1"/>
  <c r="AQ85" i="15" s="1"/>
  <c r="AP85" i="15"/>
  <c r="BD84" i="15"/>
  <c r="AQ84" i="15" a="1"/>
  <c r="AQ84" i="15" s="1"/>
  <c r="AP84" i="15"/>
  <c r="BD83" i="15"/>
  <c r="AQ83" i="15" a="1"/>
  <c r="AQ83" i="15" s="1"/>
  <c r="AP83" i="15"/>
  <c r="BD82" i="15"/>
  <c r="AQ82" i="15" a="1"/>
  <c r="AQ82" i="15" s="1"/>
  <c r="AP82" i="15"/>
  <c r="BD81" i="15"/>
  <c r="AQ81" i="15" a="1"/>
  <c r="AQ81" i="15" s="1"/>
  <c r="AP81" i="15"/>
  <c r="BD80" i="15"/>
  <c r="AQ80" i="15" a="1"/>
  <c r="AQ80" i="15" s="1"/>
  <c r="AP80" i="15"/>
  <c r="BD79" i="15"/>
  <c r="AQ79" i="15" a="1"/>
  <c r="AQ79" i="15" s="1"/>
  <c r="AP79" i="15"/>
  <c r="BD78" i="15"/>
  <c r="AQ78" i="15" a="1"/>
  <c r="AQ78" i="15" s="1"/>
  <c r="AP78" i="15"/>
  <c r="BD77" i="15"/>
  <c r="AQ77" i="15" a="1"/>
  <c r="AQ77" i="15" s="1"/>
  <c r="AP77" i="15"/>
  <c r="BD76" i="15"/>
  <c r="AQ76" i="15" a="1"/>
  <c r="AQ76" i="15" s="1"/>
  <c r="AP76" i="15"/>
  <c r="BD75" i="15"/>
  <c r="AP75" i="15"/>
  <c r="BD74" i="15"/>
  <c r="AP74" i="15"/>
  <c r="BD73" i="15"/>
  <c r="AQ73" i="15" a="1"/>
  <c r="AQ73" i="15" s="1"/>
  <c r="AP73" i="15"/>
  <c r="BD72" i="15"/>
  <c r="AQ72" i="15" a="1"/>
  <c r="AQ72" i="15" s="1"/>
  <c r="AP72" i="15"/>
  <c r="BD71" i="15"/>
  <c r="AQ71" i="15" a="1"/>
  <c r="AQ71" i="15" s="1"/>
  <c r="AP71" i="15"/>
  <c r="BD70" i="15"/>
  <c r="AP70" i="15"/>
  <c r="BD69" i="15"/>
  <c r="AQ69" i="15" a="1"/>
  <c r="AQ69" i="15" s="1"/>
  <c r="AP69" i="15"/>
  <c r="BD68" i="15"/>
  <c r="AQ68" i="15" a="1"/>
  <c r="AQ68" i="15" s="1"/>
  <c r="AP68" i="15"/>
  <c r="BD67" i="15"/>
  <c r="AQ67" i="15" a="1"/>
  <c r="AQ67" i="15" s="1"/>
  <c r="AP67" i="15"/>
  <c r="BD66" i="15"/>
  <c r="AQ66" i="15" a="1"/>
  <c r="AQ66" i="15" s="1"/>
  <c r="AP66" i="15"/>
  <c r="BD65" i="15"/>
  <c r="AQ65" i="15" a="1"/>
  <c r="AQ65" i="15" s="1"/>
  <c r="AP65" i="15"/>
  <c r="BD64" i="15"/>
  <c r="AQ64" i="15" a="1"/>
  <c r="AQ64" i="15" s="1"/>
  <c r="AP64" i="15"/>
  <c r="BD63" i="15"/>
  <c r="AQ63" i="15" a="1"/>
  <c r="AQ63" i="15" s="1"/>
  <c r="AP63" i="15"/>
  <c r="BD62" i="15"/>
  <c r="AQ62" i="15" a="1"/>
  <c r="AQ62" i="15" s="1"/>
  <c r="AP62" i="15"/>
  <c r="BD61" i="15"/>
  <c r="AQ61" i="15" a="1"/>
  <c r="AQ61" i="15" s="1"/>
  <c r="AP61" i="15"/>
  <c r="BD60" i="15"/>
  <c r="AQ60" i="15" a="1"/>
  <c r="AQ60" i="15" s="1"/>
  <c r="AP60" i="15"/>
  <c r="BD59" i="15"/>
  <c r="AQ59" i="15" a="1"/>
  <c r="AQ59" i="15" s="1"/>
  <c r="AP59" i="15"/>
  <c r="BD58" i="15"/>
  <c r="AQ58" i="15" a="1"/>
  <c r="AQ58" i="15" s="1"/>
  <c r="AP58" i="15"/>
  <c r="BD57" i="15"/>
  <c r="AQ57" i="15" a="1"/>
  <c r="AQ57" i="15" s="1"/>
  <c r="AP57" i="15"/>
  <c r="AQ56" i="15" a="1"/>
  <c r="AQ56" i="15" s="1"/>
  <c r="AP56" i="15"/>
  <c r="AQ55" i="15" a="1"/>
  <c r="AQ55" i="15" s="1"/>
  <c r="AP55" i="15"/>
  <c r="AQ54" i="15" a="1"/>
  <c r="AQ54" i="15" s="1"/>
  <c r="AP54" i="15"/>
  <c r="BD53" i="15"/>
  <c r="AQ53" i="15" a="1"/>
  <c r="AQ53" i="15" s="1"/>
  <c r="AP53" i="15"/>
  <c r="BD52" i="15"/>
  <c r="AQ52" i="15" a="1"/>
  <c r="AQ52" i="15" s="1"/>
  <c r="AP52" i="15"/>
  <c r="BD51" i="15"/>
  <c r="AQ51" i="15" a="1"/>
  <c r="AQ51" i="15" s="1"/>
  <c r="AP51" i="15"/>
  <c r="BD50" i="15"/>
  <c r="AP50" i="15"/>
  <c r="BD49" i="15"/>
  <c r="AQ49" i="15" a="1"/>
  <c r="AQ49" i="15" s="1"/>
  <c r="AP49" i="15"/>
  <c r="BD48" i="15"/>
  <c r="AQ48" i="15" a="1"/>
  <c r="AQ48" i="15" s="1"/>
  <c r="AP48" i="15"/>
  <c r="BD47" i="15"/>
  <c r="AP47" i="15"/>
  <c r="BD46" i="15"/>
  <c r="AP46" i="15"/>
  <c r="BD45" i="15"/>
  <c r="AQ45" i="15" a="1"/>
  <c r="AQ45" i="15" s="1"/>
  <c r="AP45" i="15"/>
  <c r="BD44" i="15"/>
  <c r="AQ44" i="15" a="1"/>
  <c r="AQ44" i="15" s="1"/>
  <c r="AP44" i="15"/>
  <c r="BD43" i="15"/>
  <c r="AQ43" i="15" a="1"/>
  <c r="AQ43" i="15" s="1"/>
  <c r="AP43" i="15"/>
  <c r="BD42" i="15"/>
  <c r="AQ42" i="15" a="1"/>
  <c r="AQ42" i="15" s="1"/>
  <c r="AP42" i="15"/>
  <c r="BD41" i="15"/>
  <c r="AQ41" i="15" a="1"/>
  <c r="AQ41" i="15" s="1"/>
  <c r="AP41" i="15"/>
  <c r="BD40" i="15"/>
  <c r="AQ40" i="15" a="1"/>
  <c r="AQ40" i="15" s="1"/>
  <c r="AP40" i="15"/>
  <c r="BD39" i="15"/>
  <c r="AQ39" i="15" a="1"/>
  <c r="AQ39" i="15" s="1"/>
  <c r="AP39" i="15"/>
  <c r="BD38" i="15"/>
  <c r="AQ38" i="15" a="1"/>
  <c r="AQ38" i="15" s="1"/>
  <c r="AP38" i="15"/>
  <c r="BD37" i="15"/>
  <c r="AQ37" i="15" a="1"/>
  <c r="AQ37" i="15" s="1"/>
  <c r="AP37" i="15"/>
  <c r="BD36" i="15"/>
  <c r="AQ36" i="15" a="1"/>
  <c r="AQ36" i="15" s="1"/>
  <c r="AP36" i="15"/>
  <c r="BD35" i="15"/>
  <c r="AQ35" i="15" a="1"/>
  <c r="AQ35" i="15" s="1"/>
  <c r="AP35" i="15"/>
  <c r="BD34" i="15"/>
  <c r="AQ34" i="15" a="1"/>
  <c r="AQ34" i="15" s="1"/>
  <c r="AP34" i="15"/>
  <c r="BD33" i="15"/>
  <c r="AQ33" i="15" a="1"/>
  <c r="AQ33" i="15" s="1"/>
  <c r="AP33" i="15"/>
  <c r="BD32" i="15"/>
  <c r="AQ32" i="15" a="1"/>
  <c r="AQ32" i="15" s="1"/>
  <c r="AP32" i="15"/>
  <c r="BD31" i="15"/>
  <c r="AQ31" i="15" a="1"/>
  <c r="AQ31" i="15" s="1"/>
  <c r="AP31" i="15"/>
  <c r="BD30" i="15"/>
  <c r="AQ30" i="15" a="1"/>
  <c r="AQ30" i="15" s="1"/>
  <c r="AP30" i="15"/>
  <c r="BD29" i="15"/>
  <c r="AQ29" i="15" a="1"/>
  <c r="AQ29" i="15" s="1"/>
  <c r="AP29" i="15"/>
  <c r="BD28" i="15"/>
  <c r="AQ28" i="15" a="1"/>
  <c r="AQ28" i="15" s="1"/>
  <c r="AP28" i="15"/>
  <c r="BD27" i="15"/>
  <c r="AQ27" i="15" a="1"/>
  <c r="AQ27" i="15" s="1"/>
  <c r="AP27" i="15"/>
  <c r="BD26" i="15"/>
  <c r="AQ26" i="15" a="1"/>
  <c r="AQ26" i="15" s="1"/>
  <c r="AP26" i="15"/>
  <c r="BD25" i="15"/>
  <c r="AP25" i="15"/>
  <c r="BD24" i="15"/>
  <c r="AQ24" i="15" a="1"/>
  <c r="AQ24" i="15" s="1"/>
  <c r="AP24" i="15"/>
  <c r="BD23" i="15"/>
  <c r="AQ23" i="15" a="1"/>
  <c r="AQ23" i="15" s="1"/>
  <c r="AP23" i="15"/>
  <c r="BD22" i="15"/>
  <c r="AQ22" i="15" a="1"/>
  <c r="AQ22" i="15" s="1"/>
  <c r="AP22" i="15"/>
  <c r="BD21" i="15"/>
  <c r="AQ21" i="15" a="1"/>
  <c r="AQ21" i="15" s="1"/>
  <c r="AP21" i="15"/>
  <c r="BD20" i="15"/>
  <c r="AQ20" i="15" a="1"/>
  <c r="AQ20" i="15" s="1"/>
  <c r="AP20" i="15"/>
  <c r="BD19" i="15"/>
  <c r="AQ19" i="15" a="1"/>
  <c r="AQ19" i="15" s="1"/>
  <c r="AP19" i="15"/>
  <c r="BD18" i="15"/>
  <c r="AQ18" i="15" a="1"/>
  <c r="AQ18" i="15" s="1"/>
  <c r="AP18" i="15"/>
  <c r="BD17" i="15"/>
  <c r="AQ17" i="15" a="1"/>
  <c r="AQ17" i="15" s="1"/>
  <c r="AP17" i="15"/>
  <c r="BD16" i="15"/>
  <c r="AQ16" i="15" a="1"/>
  <c r="AQ16" i="15" s="1"/>
  <c r="AP16" i="15"/>
  <c r="BD15" i="15"/>
  <c r="AQ15" i="15" a="1"/>
  <c r="AQ15" i="15" s="1"/>
  <c r="AP15" i="15"/>
  <c r="BD14" i="15"/>
  <c r="AQ14" i="15" a="1"/>
  <c r="AQ14" i="15" s="1"/>
  <c r="AP14" i="15"/>
  <c r="BD13" i="15"/>
  <c r="AQ13" i="15" a="1"/>
  <c r="AQ13" i="15" s="1"/>
  <c r="AP13" i="15"/>
  <c r="BD12" i="15"/>
  <c r="AQ12" i="15" a="1"/>
  <c r="AQ12" i="15" s="1"/>
  <c r="AP12" i="15"/>
  <c r="BD11" i="15"/>
  <c r="AQ11" i="15" a="1"/>
  <c r="AQ11" i="15" s="1"/>
  <c r="AP11" i="15"/>
  <c r="BD10" i="15"/>
  <c r="AQ10" i="15" a="1"/>
  <c r="AQ10" i="15" s="1"/>
  <c r="AP10" i="15"/>
  <c r="BD9" i="15"/>
  <c r="AQ9" i="15" a="1"/>
  <c r="AQ9" i="15" s="1"/>
  <c r="AP9" i="15"/>
  <c r="BD8" i="15"/>
  <c r="AQ8" i="15" a="1"/>
  <c r="AQ8" i="15" s="1"/>
  <c r="AP8" i="15"/>
  <c r="BD7" i="15"/>
  <c r="AQ7" i="15" a="1"/>
  <c r="AQ7" i="15" s="1"/>
  <c r="AP7" i="15"/>
  <c r="BD6" i="15"/>
  <c r="AQ6" i="15" a="1"/>
  <c r="AQ6" i="15" s="1"/>
  <c r="AP6" i="15"/>
  <c r="BD5" i="15"/>
  <c r="AQ5" i="15" a="1"/>
  <c r="AQ5" i="15" s="1"/>
  <c r="AP5" i="15"/>
  <c r="BD4" i="15"/>
  <c r="AQ4" i="15" a="1"/>
  <c r="AQ4" i="15" s="1"/>
  <c r="AP4" i="15"/>
  <c r="AC1" i="15" l="1"/>
  <c r="AQ1" i="15"/>
  <c r="AP1" i="15"/>
  <c r="T1" i="15"/>
  <c r="S1" i="15"/>
  <c r="R1" i="15"/>
  <c r="BD1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Eden Medina</author>
  </authors>
  <commentList>
    <comment ref="N19" authorId="0" shapeId="0" xr:uid="{5E2DC4CE-E3C3-4AA5-BFB1-4D55A3248F97}">
      <text>
        <r>
          <rPr>
            <sz val="11"/>
            <color theme="1"/>
            <rFont val="Aptos Narrow"/>
            <family val="2"/>
            <scheme val="minor"/>
          </rPr>
          <t xml:space="preserve">Eden Medina:
</t>
        </r>
      </text>
    </comment>
    <comment ref="X56" authorId="0" shapeId="0" xr:uid="{E1FDE2C3-A392-4CA3-8A6C-FA60FF2837B4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57" authorId="0" shapeId="0" xr:uid="{BB4917B6-6FDE-41EC-96DC-49987518FA1B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AU74" authorId="0" shapeId="0" xr:uid="{6CB14129-A2DE-4FEB-B042-0B73574F2038}">
      <text>
        <r>
          <rPr>
            <sz val="11"/>
            <color theme="1"/>
            <rFont val="Aptos Narrow"/>
            <family val="2"/>
            <scheme val="minor"/>
          </rPr>
          <t>Eden Medina:
CSEMSCORP</t>
        </r>
      </text>
    </comment>
    <comment ref="X79" authorId="0" shapeId="0" xr:uid="{748DEDD4-BC84-4468-95F8-5C67B72D2FD6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
advance RTB</t>
        </r>
      </text>
    </comment>
    <comment ref="X82" authorId="0" shapeId="0" xr:uid="{5651F97A-5758-44DF-A0DC-BACD8A0A4716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88" authorId="0" shapeId="0" xr:uid="{D98ACF1B-739E-4ECC-AFC5-E8F80EF7B707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AG99" authorId="0" shapeId="0" xr:uid="{9308E76A-8382-43E8-9CC4-768503768389}">
      <text>
        <r>
          <rPr>
            <sz val="11"/>
            <color theme="1"/>
            <rFont val="Aptos Narrow"/>
            <family val="2"/>
            <scheme val="minor"/>
          </rPr>
          <t>Eden Medina:
1st PQ Oct.10</t>
        </r>
      </text>
    </comment>
    <comment ref="AH99" authorId="0" shapeId="0" xr:uid="{0E2BA4DD-1492-4B22-9758-A509EC2A49AA}">
      <text>
        <r>
          <rPr>
            <sz val="11"/>
            <color theme="1"/>
            <rFont val="Aptos Narrow"/>
            <family val="2"/>
            <scheme val="minor"/>
          </rPr>
          <t>Eden Medina:
1st PQ under GPA -FTAPPQ0013067</t>
        </r>
      </text>
    </comment>
    <comment ref="AI99" authorId="0" shapeId="0" xr:uid="{D274744A-6215-4499-8926-3794667A9774}">
      <text>
        <r>
          <rPr>
            <sz val="11"/>
            <color theme="1"/>
            <rFont val="Aptos Narrow"/>
            <family val="2"/>
            <scheme val="minor"/>
          </rPr>
          <t>Eden Medina:
1st PO - Oct.14</t>
        </r>
      </text>
    </comment>
    <comment ref="AJ99" authorId="0" shapeId="0" xr:uid="{2B2B2C96-C307-4BC7-95BF-2BD04B903B55}">
      <text>
        <r>
          <rPr>
            <sz val="11"/>
            <color theme="1"/>
            <rFont val="Aptos Narrow"/>
            <family val="2"/>
            <scheme val="minor"/>
          </rPr>
          <t>Eden Medina:
1st PO under GPA - FTAPPO0012192</t>
        </r>
      </text>
    </comment>
    <comment ref="X101" authorId="0" shapeId="0" xr:uid="{E6E480BA-32BD-458D-ABA7-A53A43BD6857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102" authorId="0" shapeId="0" xr:uid="{F46F4500-EB86-43F8-BD9F-4F65A18C910F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AE102" authorId="0" shapeId="0" xr:uid="{E6040A61-2514-42EB-9950-B24F7E373C64}">
      <text>
        <r>
          <rPr>
            <sz val="11"/>
            <color theme="1"/>
            <rFont val="Aptos Narrow"/>
            <family val="2"/>
            <scheme val="minor"/>
          </rPr>
          <t>Eden Medina:
from TEC to ALS</t>
        </r>
      </text>
    </comment>
    <comment ref="AG102" authorId="0" shapeId="0" xr:uid="{57696398-FCC9-43C3-84AD-E613003F62D1}">
      <text>
        <r>
          <rPr>
            <sz val="11"/>
            <color theme="1"/>
            <rFont val="Aptos Narrow"/>
            <family val="2"/>
            <scheme val="minor"/>
          </rPr>
          <t>Eden Medina:
Oct.22 - under TEC</t>
        </r>
      </text>
    </comment>
    <comment ref="AH102" authorId="0" shapeId="0" xr:uid="{0511EDB5-77AF-464D-97AA-DE5A2BACD195}">
      <text>
        <r>
          <rPr>
            <sz val="11"/>
            <color theme="1"/>
            <rFont val="Aptos Narrow"/>
            <family val="2"/>
            <scheme val="minor"/>
          </rPr>
          <t>Eden Medina:
from FTAPPQ0013280(TEC) to FTAPPQ0014035 (ALS)</t>
        </r>
      </text>
    </comment>
    <comment ref="AI102" authorId="0" shapeId="0" xr:uid="{ABEBDC68-CD61-43F1-A318-FC86C4E482C9}">
      <text>
        <r>
          <rPr>
            <sz val="11"/>
            <color theme="1"/>
            <rFont val="Aptos Narrow"/>
            <family val="2"/>
            <scheme val="minor"/>
          </rPr>
          <t>Eden Medina:
Oct.28 under TEC</t>
        </r>
      </text>
    </comment>
    <comment ref="AJ102" authorId="0" shapeId="0" xr:uid="{F994480D-293F-4E82-A4FF-393961EC43CE}">
      <text>
        <r>
          <rPr>
            <sz val="11"/>
            <color theme="1"/>
            <rFont val="Aptos Narrow"/>
            <family val="2"/>
            <scheme val="minor"/>
          </rPr>
          <t>Eden Medina:
from FTAPPO0012397(TEC) to</t>
        </r>
      </text>
    </comment>
    <comment ref="X128" authorId="0" shapeId="0" xr:uid="{D4F37D88-9A8D-4559-8A20-0704AD89F45B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151" authorId="0" shapeId="0" xr:uid="{D8724E82-5018-4546-B811-27F8540F491E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AU209" authorId="0" shapeId="0" xr:uid="{E4463825-52CE-41DA-9B0F-8D1C869111F1}">
      <text>
        <r>
          <rPr>
            <sz val="11"/>
            <color theme="1"/>
            <rFont val="Aptos Narrow"/>
            <family val="2"/>
            <scheme val="minor"/>
          </rPr>
          <t>Eden Medina:
Oct.16</t>
        </r>
      </text>
    </comment>
    <comment ref="X248" authorId="0" shapeId="0" xr:uid="{1F024C20-E21F-4FA0-A541-89AF791C655C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256" authorId="0" shapeId="0" xr:uid="{2C40E04D-6DD2-4DB2-9E7E-3F90FEC28C46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258" authorId="0" shapeId="0" xr:uid="{2379D886-CC90-4692-8637-DE7176A0C589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Y331" authorId="0" shapeId="0" xr:uid="{950ADE0E-D405-4BC3-8EDE-8E25B4EF2557}">
      <text>
        <r>
          <rPr>
            <sz val="11"/>
            <color theme="1"/>
            <rFont val="Aptos Narrow"/>
            <family val="2"/>
            <scheme val="minor"/>
          </rPr>
          <t>Eden Medina:
Nov.25 - issue date
Nov.26 - uploaded in ST</t>
        </r>
      </text>
    </comment>
    <comment ref="X340" authorId="0" shapeId="0" xr:uid="{42E353B6-F959-4E80-B026-4D831A757E68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
advance RTB</t>
        </r>
      </text>
    </comment>
    <comment ref="X347" authorId="0" shapeId="0" xr:uid="{C68B7F92-C0D5-4535-A214-02641419B059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
advance RTB</t>
        </r>
      </text>
    </comment>
    <comment ref="Y377" authorId="0" shapeId="0" xr:uid="{7027F754-0665-4654-AAC0-14B8982B9F96}">
      <text>
        <r>
          <rPr>
            <sz val="11"/>
            <color theme="1"/>
            <rFont val="Aptos Narrow"/>
            <family val="2"/>
            <scheme val="minor"/>
          </rPr>
          <t>Eden Medina:
Nov.21 - date issued
Nov.26 - uploaded to ST</t>
        </r>
      </text>
    </comment>
    <comment ref="X378" authorId="0" shapeId="0" xr:uid="{D0583399-A954-44D5-A2A1-56735C246CAE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  <comment ref="X431" authorId="0" shapeId="0" xr:uid="{9B9DE1BC-FF6A-477F-A132-20ABBB20EE4D}">
      <text>
        <r>
          <rPr>
            <sz val="11"/>
            <color theme="1"/>
            <rFont val="Aptos Narrow"/>
            <family val="2"/>
            <scheme val="minor"/>
          </rPr>
          <t>Eden Medina:
email ref. from Abigael (Dec.12)</t>
        </r>
      </text>
    </comment>
    <comment ref="X450" authorId="0" shapeId="0" xr:uid="{3A86F4D6-7164-4B69-A2FB-404E9CE1E577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
advance RTB</t>
        </r>
      </text>
    </comment>
    <comment ref="X474" authorId="0" shapeId="0" xr:uid="{B5334ACF-64D4-4B59-AAB8-F6CA35A4D1B3}">
      <text>
        <r>
          <rPr>
            <sz val="11"/>
            <color theme="1"/>
            <rFont val="Aptos Narrow"/>
            <family val="2"/>
            <scheme val="minor"/>
          </rPr>
          <t>Eden Medina:
email received from Abigael - Oct.23</t>
        </r>
      </text>
    </comment>
    <comment ref="Y475" authorId="0" shapeId="0" xr:uid="{E2B8726B-7C52-40EE-9542-1A9F0B8796CA}">
      <text>
        <r>
          <rPr>
            <sz val="11"/>
            <color theme="1"/>
            <rFont val="Aptos Narrow"/>
            <family val="2"/>
            <scheme val="minor"/>
          </rPr>
          <t>Eden Medina:
Nov.5 - date issued
Nov.19 - date uploaded to ST</t>
        </r>
      </text>
    </comment>
    <comment ref="Y502" authorId="0" shapeId="0" xr:uid="{D1F5F596-8638-4270-AADB-92EB6914628A}">
      <text>
        <r>
          <rPr>
            <sz val="11"/>
            <color theme="1"/>
            <rFont val="Aptos Narrow"/>
            <family val="2"/>
            <scheme val="minor"/>
          </rPr>
          <t>Eden Medina:
Apr.10 - issue date
Apr.11 - uploaded to ST</t>
        </r>
      </text>
    </comment>
    <comment ref="AU700" authorId="0" shapeId="0" xr:uid="{3A10C5A1-BE3A-4D0E-B972-3E6FEADE4703}">
      <text>
        <r>
          <rPr>
            <sz val="11"/>
            <color theme="1"/>
            <rFont val="Aptos Narrow"/>
            <family val="2"/>
            <scheme val="minor"/>
          </rPr>
          <t xml:space="preserve">Eden Medina:
Sep.30 - 1st approval for BOQ revision&amp; no staking sheet yet
</t>
        </r>
      </text>
    </comment>
    <comment ref="AY736" authorId="0" shapeId="0" xr:uid="{712967C5-438E-47D2-9A99-C03C5EF75969}">
      <text>
        <r>
          <rPr>
            <sz val="11"/>
            <color theme="1"/>
            <rFont val="Aptos Narrow"/>
            <family val="2"/>
            <scheme val="minor"/>
          </rPr>
          <t>Eden Medina:
to cancel PH030888 from FTAPPO0012994
will create new PO with 50kVa requirement</t>
        </r>
      </text>
    </comment>
    <comment ref="Y745" authorId="0" shapeId="0" xr:uid="{F1B6152D-BD64-4EBA-9F60-6214659239C3}">
      <text>
        <r>
          <rPr>
            <sz val="11"/>
            <color theme="1"/>
            <rFont val="Aptos Narrow"/>
            <family val="2"/>
            <scheme val="minor"/>
          </rPr>
          <t>Eden Medina:
Nov.18 - date issued and uploaded to ST</t>
        </r>
      </text>
    </comment>
    <comment ref="X752" authorId="0" shapeId="0" xr:uid="{67B36468-02DB-4D8D-BB7C-CD403FDC24CD}">
      <text>
        <r>
          <rPr>
            <sz val="11"/>
            <color theme="1"/>
            <rFont val="Aptos Narrow"/>
            <family val="2"/>
            <scheme val="minor"/>
          </rPr>
          <t>Eden Medina:
per Sir Raphael's email - Nov.12,2025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<sst xmlns="http://schemas.openxmlformats.org/spreadsheetml/2006/main" count="15942" uniqueCount="4009">
  <si>
    <t>Project</t>
  </si>
  <si>
    <t>BTS 8</t>
  </si>
  <si>
    <t>Remarks</t>
  </si>
  <si>
    <t>Arjay</t>
  </si>
  <si>
    <t>CJ</t>
  </si>
  <si>
    <t>Marilyn</t>
  </si>
  <si>
    <t>Ralph</t>
  </si>
  <si>
    <t>BP secured</t>
  </si>
  <si>
    <t>Construction Started</t>
  </si>
  <si>
    <t>Construction Completed</t>
  </si>
  <si>
    <t>Post Con Secured</t>
  </si>
  <si>
    <t>Marlone</t>
  </si>
  <si>
    <t>Tap to lessor</t>
  </si>
  <si>
    <t>Tempo Permit Released</t>
  </si>
  <si>
    <t>COOP Surveyed</t>
  </si>
  <si>
    <t>Tempo Energized</t>
  </si>
  <si>
    <t>Permanent</t>
  </si>
  <si>
    <t>Line Construction Started</t>
  </si>
  <si>
    <t>Grid Vendor</t>
  </si>
  <si>
    <t>Line Construction Completed</t>
  </si>
  <si>
    <t>Bill deposit Paid</t>
  </si>
  <si>
    <t>Tempo</t>
  </si>
  <si>
    <t>Cancelled Tempo</t>
  </si>
  <si>
    <t>Advance Build</t>
  </si>
  <si>
    <t>POC</t>
  </si>
  <si>
    <t>Yes</t>
  </si>
  <si>
    <t>PMO</t>
  </si>
  <si>
    <t>from TCO tracker as of Jan.8,2026</t>
  </si>
  <si>
    <t>D</t>
  </si>
  <si>
    <t>FTAP SITE ID</t>
  </si>
  <si>
    <t>MNO Site ID</t>
  </si>
  <si>
    <t>Search Ring</t>
  </si>
  <si>
    <t>COOP ABBR.</t>
  </si>
  <si>
    <t>Territory</t>
  </si>
  <si>
    <t>Island Group</t>
  </si>
  <si>
    <t>Region</t>
  </si>
  <si>
    <t>Province</t>
  </si>
  <si>
    <t>Municipality</t>
  </si>
  <si>
    <t>Address</t>
  </si>
  <si>
    <t>Lat</t>
  </si>
  <si>
    <t>Long</t>
  </si>
  <si>
    <t>PMO Milestone</t>
  </si>
  <si>
    <t>CME Milestone</t>
  </si>
  <si>
    <t>GRID Category</t>
  </si>
  <si>
    <t>Project Status</t>
  </si>
  <si>
    <t>Approved TSSR</t>
  </si>
  <si>
    <t>Approved TSSR update</t>
  </si>
  <si>
    <t>BP secured date</t>
  </si>
  <si>
    <t>Post Con on ST</t>
  </si>
  <si>
    <t>Vendor Allocated Date</t>
  </si>
  <si>
    <t>Tempo PQ Raised</t>
  </si>
  <si>
    <t>PQ Number</t>
  </si>
  <si>
    <t>Tempo PO Issued</t>
  </si>
  <si>
    <t>PO Number</t>
  </si>
  <si>
    <t>Milestone</t>
  </si>
  <si>
    <t>Aging Days</t>
  </si>
  <si>
    <t>Issues</t>
  </si>
  <si>
    <t>Permanent BoQ Submitted</t>
  </si>
  <si>
    <t>Permanent BoQ approved</t>
  </si>
  <si>
    <t xml:space="preserve">Permanent
PQ Raised </t>
  </si>
  <si>
    <t>Permanent
PO Issued</t>
  </si>
  <si>
    <t>Permanent Energized</t>
  </si>
  <si>
    <t>Delay Issues</t>
  </si>
  <si>
    <t>PH140222</t>
  </si>
  <si>
    <t>CO-A-BM-37</t>
  </si>
  <si>
    <t>BrgyBialong_ShariffAguak_Maguindanao</t>
  </si>
  <si>
    <t>MAGELCO</t>
  </si>
  <si>
    <t>T7</t>
  </si>
  <si>
    <t>MIN</t>
  </si>
  <si>
    <t>Autonomous Region In Muslim Mindanao (ARMM)</t>
  </si>
  <si>
    <t>Maguindanao</t>
  </si>
  <si>
    <t>Shariff Aguak (Capital)</t>
  </si>
  <si>
    <t>z.1  Returned site</t>
  </si>
  <si>
    <t>L - Under pre-construction</t>
  </si>
  <si>
    <t>z.1 Returned site</t>
  </si>
  <si>
    <t xml:space="preserve"> </t>
  </si>
  <si>
    <t>PH110560</t>
  </si>
  <si>
    <t>NS-BIZ18-D02</t>
  </si>
  <si>
    <t>Brgy.Mandug02_DavaoCity_DavaoDelSur</t>
  </si>
  <si>
    <t>DASURECO</t>
  </si>
  <si>
    <t>Region XI (Davao Region)</t>
  </si>
  <si>
    <t>Davao del Sur</t>
  </si>
  <si>
    <t>n. Ongoing brgy permitting</t>
  </si>
  <si>
    <t>Ongoing Brgy. Permitting</t>
  </si>
  <si>
    <t>PH110548</t>
  </si>
  <si>
    <t>NS-BIZ18-D04</t>
  </si>
  <si>
    <t>Brgy.Bucana02_DavaoCity_DavaoDelSur</t>
  </si>
  <si>
    <t>t. BP secured</t>
  </si>
  <si>
    <t>r. BP applied</t>
  </si>
  <si>
    <t>For BP release</t>
  </si>
  <si>
    <t>PH110582</t>
  </si>
  <si>
    <t>NS-BIZ18-D08</t>
  </si>
  <si>
    <t>Baluarte_TDCProperty_BrgyPanacan_DavaoCity_DavaoDelSur</t>
  </si>
  <si>
    <t>City of Davao</t>
  </si>
  <si>
    <t>a.10 For Justi submission to GT</t>
  </si>
  <si>
    <t>a.3. for Final dispo</t>
  </si>
  <si>
    <t>PH110558</t>
  </si>
  <si>
    <t>NS-BIZ18-D10</t>
  </si>
  <si>
    <t>Brgy.Waan02_DavaoCity_DavaoDelSur</t>
  </si>
  <si>
    <t>PH110553</t>
  </si>
  <si>
    <t>NS-BIZ18-D21</t>
  </si>
  <si>
    <t>Brgy.Buhangin(Pob.)01_DavaoCity_DavaoDelSur</t>
  </si>
  <si>
    <t>p.2 LGU Applied- Advance build</t>
  </si>
  <si>
    <t>ADV. RTB</t>
  </si>
  <si>
    <t>PH110547</t>
  </si>
  <si>
    <t>NS-BIZ18-D31</t>
  </si>
  <si>
    <t>Brgy.Pampanga_DavaoCity_DavaoDelSur</t>
  </si>
  <si>
    <t>PH070479</t>
  </si>
  <si>
    <t>NS-BIZ18-D55</t>
  </si>
  <si>
    <t>Baluarte_TempleofLeah_BrgyBusay_CebuCity_Cebu</t>
  </si>
  <si>
    <t>VECO</t>
  </si>
  <si>
    <t>T6</t>
  </si>
  <si>
    <t>VIS</t>
  </si>
  <si>
    <t>Region VII (Central Visayas)</t>
  </si>
  <si>
    <t>Cebu</t>
  </si>
  <si>
    <t>City of Cebu (Capital)</t>
  </si>
  <si>
    <t>a.7. Problematic sites/Potential return sites</t>
  </si>
  <si>
    <t>PH031093</t>
  </si>
  <si>
    <t>NS-BIZ18-D88</t>
  </si>
  <si>
    <t>BrgyBatasanBata_SanMiguel_Bulacan</t>
  </si>
  <si>
    <t>T2</t>
  </si>
  <si>
    <t>LUZ</t>
  </si>
  <si>
    <t>Region III (Central Luzon)</t>
  </si>
  <si>
    <t>Bulacan</t>
  </si>
  <si>
    <t>San Miguel</t>
  </si>
  <si>
    <t>c. Ongoing candidate pre-approval</t>
  </si>
  <si>
    <t>PH080348</t>
  </si>
  <si>
    <t>NS-BIZ18-E69</t>
  </si>
  <si>
    <t>Roxas_st_corner_Bonifacio_st_Catarman_NorthernSamar</t>
  </si>
  <si>
    <t>NORSAMELCO</t>
  </si>
  <si>
    <t>Region VIII (Eastern Visayas)</t>
  </si>
  <si>
    <t>Northern Samar</t>
  </si>
  <si>
    <t>Catarman (Capital)</t>
  </si>
  <si>
    <t>o. with Brgy clearance</t>
  </si>
  <si>
    <t>For Zone Application</t>
  </si>
  <si>
    <t>PH010320</t>
  </si>
  <si>
    <t>NS-BIZ19-A09</t>
  </si>
  <si>
    <t>BRGYLINGSAT_SANTAMARIA_ILOCOSSUR</t>
  </si>
  <si>
    <t>ISECO</t>
  </si>
  <si>
    <t>T1</t>
  </si>
  <si>
    <t>NLZ</t>
  </si>
  <si>
    <t>Region I (Ilocos Region)</t>
  </si>
  <si>
    <t>Ilocos Sur</t>
  </si>
  <si>
    <t>J - Pending SKOM</t>
  </si>
  <si>
    <t>RTB</t>
  </si>
  <si>
    <t>BK Engineering Services</t>
  </si>
  <si>
    <t>FTAPPQ0013009</t>
  </si>
  <si>
    <t>FTAPPO0012158</t>
  </si>
  <si>
    <t>FTAPPQ0014814</t>
  </si>
  <si>
    <t>BK ENGINEERING</t>
  </si>
  <si>
    <t>PH070386</t>
  </si>
  <si>
    <t>NS-BIZ19-A37</t>
  </si>
  <si>
    <t>BrgyDamolog_Sogod_Cebu</t>
  </si>
  <si>
    <t>BTS 7</t>
  </si>
  <si>
    <t>Optisolv Electrical Construction Corp.</t>
  </si>
  <si>
    <t>TBC</t>
  </si>
  <si>
    <t>PH080355</t>
  </si>
  <si>
    <t>NS-BIZ19-A63</t>
  </si>
  <si>
    <t>BrgySanIsidro_Maasin_Leyte</t>
  </si>
  <si>
    <t>Southern Leyte</t>
  </si>
  <si>
    <t>u. RTB</t>
  </si>
  <si>
    <t>PH140242</t>
  </si>
  <si>
    <t>NS-BIZ19-A99</t>
  </si>
  <si>
    <t>Brgy.Nalil_Bongao(Capital)_Tawi-Tawi</t>
  </si>
  <si>
    <t>TAWELCO</t>
  </si>
  <si>
    <t>T8</t>
  </si>
  <si>
    <t>Tawi-Tawi</t>
  </si>
  <si>
    <t>Bongao (Capital)</t>
  </si>
  <si>
    <t>p. LGU Applied</t>
  </si>
  <si>
    <t>PH100349</t>
  </si>
  <si>
    <t>NS-BIZ19-B36</t>
  </si>
  <si>
    <t>Brgy.Magting01_Mambajao(Capital)_Camiguin</t>
  </si>
  <si>
    <t>CAMELCO</t>
  </si>
  <si>
    <t>Region X (Northern Mindanao)</t>
  </si>
  <si>
    <t>Camiguin</t>
  </si>
  <si>
    <t>Mambajao (Capital)</t>
  </si>
  <si>
    <t>For BP Application</t>
  </si>
  <si>
    <t>PH090083</t>
  </si>
  <si>
    <t>NS-BIZ19-B69</t>
  </si>
  <si>
    <t>Brgy.Ayala01_ZamboangaCity_ZamboangaDelSur</t>
  </si>
  <si>
    <t>ZAMCELCO</t>
  </si>
  <si>
    <t>Region IX (Zamboanga Peninsula)</t>
  </si>
  <si>
    <t>Zamboanga del Sur</t>
  </si>
  <si>
    <t>City of Zamboanga</t>
  </si>
  <si>
    <t>A - Energized</t>
  </si>
  <si>
    <t>x. OP Applied</t>
  </si>
  <si>
    <t>PH080356</t>
  </si>
  <si>
    <t>NS-BIZ19-B99</t>
  </si>
  <si>
    <t>Brgy93Bagacay_TaclobanCity_Leyte</t>
  </si>
  <si>
    <t>Leyte</t>
  </si>
  <si>
    <t>Renagmec Power Corporation</t>
  </si>
  <si>
    <t>FTAPPQ0013327</t>
  </si>
  <si>
    <t>FTAPPO0012433</t>
  </si>
  <si>
    <t>PH110606</t>
  </si>
  <si>
    <t>NS-BIZ19-C19</t>
  </si>
  <si>
    <t>Brgy.Poblacion_Malita(Capital)_DavaoOccidental</t>
  </si>
  <si>
    <t>Davao Occidental</t>
  </si>
  <si>
    <t>Malita (Capital)</t>
  </si>
  <si>
    <t>D - Pending Site Development Completion</t>
  </si>
  <si>
    <t>PH070521</t>
  </si>
  <si>
    <t>NS-BIZ19-C56</t>
  </si>
  <si>
    <t>BrgyCogon_Tagbilaran_Bohol</t>
  </si>
  <si>
    <t>Bohol</t>
  </si>
  <si>
    <t>City of Tagbilaran (Capital)</t>
  </si>
  <si>
    <t>h. Pending GT TSSR Approval</t>
  </si>
  <si>
    <t>PH150158</t>
  </si>
  <si>
    <t>NS-BIZ19-C94</t>
  </si>
  <si>
    <t>BrgyGobgob_TabukCity_Kalinga</t>
  </si>
  <si>
    <t>KAELCO</t>
  </si>
  <si>
    <t>Cordillera Administrative Region (CAR)</t>
  </si>
  <si>
    <t>Kalinga</t>
  </si>
  <si>
    <t>City of Tabuk (Capital)</t>
  </si>
  <si>
    <t>Carlson Electrical Supply and Services</t>
  </si>
  <si>
    <t>PH140219</t>
  </si>
  <si>
    <t>NS-BIZ19-D61</t>
  </si>
  <si>
    <t>Brgy.Lebbuh_LamitanCity(Capital)_Basilan</t>
  </si>
  <si>
    <t>BASELCO</t>
  </si>
  <si>
    <t>Basilan</t>
  </si>
  <si>
    <t>City of Lamitan (Capital)</t>
  </si>
  <si>
    <t>E - Pending Tower Erection Completion</t>
  </si>
  <si>
    <t>PH020194</t>
  </si>
  <si>
    <t>NS-BIZ19-E27</t>
  </si>
  <si>
    <t>BrgyAguiguican_Gattaran_Cagayan</t>
  </si>
  <si>
    <t>CAGELCO II</t>
  </si>
  <si>
    <t>Region II (Cagayan Valley)</t>
  </si>
  <si>
    <t>Cagayan</t>
  </si>
  <si>
    <t>Gattaran</t>
  </si>
  <si>
    <t>G - Pending Foundation Completion</t>
  </si>
  <si>
    <t>Bangayan Electrical Services</t>
  </si>
  <si>
    <t>FTAPPQ0012901</t>
  </si>
  <si>
    <t>FTAPPO0012036</t>
  </si>
  <si>
    <t>10/6/25: Waiting for TTC energization; Transformer Testing 10/15/25
10/5/25: PQ raised, takeover from Northflash</t>
  </si>
  <si>
    <t>FTAPPQ0013136</t>
  </si>
  <si>
    <t>FTAPPO0012305</t>
  </si>
  <si>
    <t>10/6/26: Waiting Signed Staking sheet release/ Waiver for permanent construction</t>
  </si>
  <si>
    <t>PH130150</t>
  </si>
  <si>
    <t>NS-BIZ19-F71</t>
  </si>
  <si>
    <t>TouristRoad_BrgyPoblacionVGenLuna_SDN</t>
  </si>
  <si>
    <t>SIARELCO</t>
  </si>
  <si>
    <t>Region XIII (Caraga)</t>
  </si>
  <si>
    <t>Surigao del Norte</t>
  </si>
  <si>
    <t>General Luna</t>
  </si>
  <si>
    <t>PH030880</t>
  </si>
  <si>
    <t>NS-BIZ20-A20</t>
  </si>
  <si>
    <t>MtSamatShrine_BrgyDiwa_Pilar_Bataan_LGU</t>
  </si>
  <si>
    <t>PENELCO</t>
  </si>
  <si>
    <t>Bataan</t>
  </si>
  <si>
    <t>Pilar</t>
  </si>
  <si>
    <t>e.1. Pending JTSS Actual</t>
  </si>
  <si>
    <t>a.2. Long lead time</t>
  </si>
  <si>
    <t>PH130011</t>
  </si>
  <si>
    <t>NS-BIZ20-A96</t>
  </si>
  <si>
    <t>Brgy.Cortes_Basilisa(Rizal)_DinagatIslands</t>
  </si>
  <si>
    <t>DIELCO</t>
  </si>
  <si>
    <t>Dinagat Islands</t>
  </si>
  <si>
    <t>Basilisa</t>
  </si>
  <si>
    <t>PH070512</t>
  </si>
  <si>
    <t>NS-BIZ20-B27</t>
  </si>
  <si>
    <t>BrgySanta Cruz_SAN FRANCISCO_CEBU</t>
  </si>
  <si>
    <t>PH030865</t>
  </si>
  <si>
    <t>NS-BIZ20-C97</t>
  </si>
  <si>
    <t>BrgyDiome_MariaAurora_Aurora</t>
  </si>
  <si>
    <t>AURELCO</t>
  </si>
  <si>
    <t>Aurora</t>
  </si>
  <si>
    <t>Maria Aurora</t>
  </si>
  <si>
    <t>C - Pending Post-Con Permit Approval</t>
  </si>
  <si>
    <t>y. OP secured</t>
  </si>
  <si>
    <t>20/08/2025</t>
  </si>
  <si>
    <t>FTAPPQ0013085</t>
  </si>
  <si>
    <t>FTAPPO0012250</t>
  </si>
  <si>
    <t xml:space="preserve">Original BP, EP needed. Requested to SAQ team. </t>
  </si>
  <si>
    <t xml:space="preserve">10/20/2025: Applied TTC. JTSS done, LC done, for energization once restoration in the area is done due to typhoon. 
10/12/2025: Applied TTC, for temperament solution </t>
  </si>
  <si>
    <t>FTAPPQ0012845</t>
  </si>
  <si>
    <t>FTAPPO0011986</t>
  </si>
  <si>
    <t>10/20/2025: Postcon permits needed. For transformer testing.
10/6/2025: Waiting for NTP release for Construction</t>
  </si>
  <si>
    <t>CFEI, OP</t>
  </si>
  <si>
    <t>PH010343</t>
  </si>
  <si>
    <t>NS-BIZ20-D02</t>
  </si>
  <si>
    <t>BrgyNapu_Badoc_IlocosNorte</t>
  </si>
  <si>
    <t>INEC</t>
  </si>
  <si>
    <t>Ilocos Norte</t>
  </si>
  <si>
    <t>Badoc</t>
  </si>
  <si>
    <t>29/09/2025</t>
  </si>
  <si>
    <t>FTAPPQ0013159</t>
  </si>
  <si>
    <t>FTAPPO0012292</t>
  </si>
  <si>
    <t>FTAPPQ0013022</t>
  </si>
  <si>
    <t>FTAPPO0012152</t>
  </si>
  <si>
    <t>10/17/25: RoW ongoing 
10/7/25: Waiting BoQ Approval</t>
  </si>
  <si>
    <t>PH010364</t>
  </si>
  <si>
    <t>NS-BIZ20-D26</t>
  </si>
  <si>
    <t>BrgySarmingan_Narvacan_IlocosSur</t>
  </si>
  <si>
    <t>Narvacan</t>
  </si>
  <si>
    <t>PH030789</t>
  </si>
  <si>
    <t>NS-BIZ20-E55</t>
  </si>
  <si>
    <t>BrgyDuale_Limay_Bataan</t>
  </si>
  <si>
    <t>Larc Telecoms, Inc.</t>
  </si>
  <si>
    <t>Permanent power energized</t>
  </si>
  <si>
    <t>FTAPPQ0013390</t>
  </si>
  <si>
    <t>FTAPPO0012506</t>
  </si>
  <si>
    <t>PH100353</t>
  </si>
  <si>
    <t>NS-BIZ20-F83</t>
  </si>
  <si>
    <t>Brgy.ApoMacote_MalaybalayCity(Capital)_Bukidnon</t>
  </si>
  <si>
    <t>BUSECO</t>
  </si>
  <si>
    <t>Bukidnon</t>
  </si>
  <si>
    <t>City of Malaybalay (Capital)</t>
  </si>
  <si>
    <t>Purok 6</t>
  </si>
  <si>
    <t>20/07/2025</t>
  </si>
  <si>
    <t>Diomon Electrical Services</t>
  </si>
  <si>
    <t>PH100351</t>
  </si>
  <si>
    <t>NS-BIZ20-G10</t>
  </si>
  <si>
    <t>Brgy.SaintPeter_MalaybalayCity(Capital)_Bukidnon</t>
  </si>
  <si>
    <t>PH140255</t>
  </si>
  <si>
    <t>NS-BIZ20-G54</t>
  </si>
  <si>
    <t>Brgy.Makir_DatuOdinSinsuat(Dinaig)_Maguindanao</t>
  </si>
  <si>
    <t>H - Pending Excavation Completion</t>
  </si>
  <si>
    <t>PH140268</t>
  </si>
  <si>
    <t>NS-BIZ20-G55</t>
  </si>
  <si>
    <t>Brgy.Kusiong01_DatuOdinSinsuat(Dinaig)_Maguindanao</t>
  </si>
  <si>
    <t>a.8. PSH done- For re-hunting</t>
  </si>
  <si>
    <t>PH140258</t>
  </si>
  <si>
    <t>NS-BIZ20-G74</t>
  </si>
  <si>
    <t>Brgy.Magsaysay_Parang_Maguindanao</t>
  </si>
  <si>
    <t>PH110279</t>
  </si>
  <si>
    <t>NS-BIZ20-G76</t>
  </si>
  <si>
    <t>Brgy.Subasta03_DavaoCity_DavaoDelSur</t>
  </si>
  <si>
    <t>Balingaeng</t>
  </si>
  <si>
    <t>PH120083</t>
  </si>
  <si>
    <t>NS-BIZ20-H16</t>
  </si>
  <si>
    <t>Baymax2020_BrgyPoblacion7_Midsayap_NCOT</t>
  </si>
  <si>
    <t>COTELCO – PPALMA</t>
  </si>
  <si>
    <t>Region XII (SOCCSKSARGEN)</t>
  </si>
  <si>
    <t>Cotabato</t>
  </si>
  <si>
    <t>Midsayap</t>
  </si>
  <si>
    <t>Purok 2</t>
  </si>
  <si>
    <t>PH120087</t>
  </si>
  <si>
    <t>NS-BIZ20-H43</t>
  </si>
  <si>
    <t>Brgy.Siguel01_GeneralSantosCity_SouthCotabato</t>
  </si>
  <si>
    <t>SOCOTECO II</t>
  </si>
  <si>
    <t>South Cotabato</t>
  </si>
  <si>
    <t>City of General Santos</t>
  </si>
  <si>
    <t>PH060453</t>
  </si>
  <si>
    <t>NS-BIZ20-H89</t>
  </si>
  <si>
    <t>BrgyJibao-an_Pavia_Iloilo(2)</t>
  </si>
  <si>
    <t>ILECO I</t>
  </si>
  <si>
    <t>Region VI (Western Visayas)</t>
  </si>
  <si>
    <t>Iloilo</t>
  </si>
  <si>
    <t>Pavia</t>
  </si>
  <si>
    <t>19/05/2025</t>
  </si>
  <si>
    <t>PH110235</t>
  </si>
  <si>
    <t>NS-BIZ20-H95</t>
  </si>
  <si>
    <t>Brgy.Kidalapong_Malita(Capital)_DavaoOccidental</t>
  </si>
  <si>
    <t>v. Site Dev Complete Awaiting ABP</t>
  </si>
  <si>
    <t>PH140257</t>
  </si>
  <si>
    <t>NS-BIZ21-A28</t>
  </si>
  <si>
    <t>Brgy.Pura01_DatuBlahT.Sinsuat_Maguindanao</t>
  </si>
  <si>
    <t>PH030827</t>
  </si>
  <si>
    <t>NS-BIZ22-A05</t>
  </si>
  <si>
    <t>BrgyVentenilla_Paniqui_Tarlac</t>
  </si>
  <si>
    <t>TARELCO I</t>
  </si>
  <si>
    <t>Tarlac</t>
  </si>
  <si>
    <t>Paniqui</t>
  </si>
  <si>
    <t>C.S ENRIQUEZ (CSEMSCORP Contractors, Fabricators) Inc.</t>
  </si>
  <si>
    <t>direct to Permanent</t>
  </si>
  <si>
    <t>FTAPPQ0013528</t>
  </si>
  <si>
    <t>FTAPPO0012650</t>
  </si>
  <si>
    <t>10/20/2025: BOM submitted. For BOM review. 10/5/2025: Awaiting coop SOA.</t>
  </si>
  <si>
    <t>PH010396</t>
  </si>
  <si>
    <t>NS-BIZ22-A07</t>
  </si>
  <si>
    <t>BrgyPalacpalac_Pozorrubio_Pangasinan</t>
  </si>
  <si>
    <t>PANELCO III</t>
  </si>
  <si>
    <t>Pangasinan</t>
  </si>
  <si>
    <t>Pozorrubio</t>
  </si>
  <si>
    <t>Nama Road</t>
  </si>
  <si>
    <t>FTAPPQ0012310</t>
  </si>
  <si>
    <t>FTAPPO0011520</t>
  </si>
  <si>
    <t>With neighbor Issue</t>
  </si>
  <si>
    <t>10/13: With neighbor concent /complaint 
10/9/25: Waiting energization schedule
10/5/25: COOP applied; waiting COOP Assessment</t>
  </si>
  <si>
    <t xml:space="preserve">FTAPPQ0012947 </t>
  </si>
  <si>
    <t>FTAPPO0012099</t>
  </si>
  <si>
    <t>PH010395</t>
  </si>
  <si>
    <t>NS-BIZ22-A09</t>
  </si>
  <si>
    <t>BrgyAngatel_Urbiztondo_Pangasinan</t>
  </si>
  <si>
    <t>CENPELCO</t>
  </si>
  <si>
    <t>w. For OP application</t>
  </si>
  <si>
    <t>10/13 waiting for energization schedule 
10/9/25; Waiting Tempo Energization</t>
  </si>
  <si>
    <t>PH010392</t>
  </si>
  <si>
    <t>NS-BIZ22-A10</t>
  </si>
  <si>
    <t>BrgyBuenlag2nd_Bayambang_Pangasinan</t>
  </si>
  <si>
    <t>Bayambang</t>
  </si>
  <si>
    <t>LARC</t>
  </si>
  <si>
    <t>PH010397</t>
  </si>
  <si>
    <t>NS-BIZ22-A14</t>
  </si>
  <si>
    <t>BrgyLareg-lareg_Malasiqui_Pangasinan</t>
  </si>
  <si>
    <t>Malasiqui</t>
  </si>
  <si>
    <t>PH010326</t>
  </si>
  <si>
    <t>NS-BIZ22-A16</t>
  </si>
  <si>
    <t>BrgySagayaden_Cabugao_IlocosSur</t>
  </si>
  <si>
    <t>Cabugao</t>
  </si>
  <si>
    <t>FTAPPQ0012304</t>
  </si>
  <si>
    <t>FTAPPO0011516</t>
  </si>
  <si>
    <t>10/6/25: Installed SEP; Waiting LGU Inspection
10/5/25: for installation SEP; Waiting LGU inspection</t>
  </si>
  <si>
    <t>FTAPPQ0013740</t>
  </si>
  <si>
    <t>FTAPPO0012891</t>
  </si>
  <si>
    <t>PH010349</t>
  </si>
  <si>
    <t>NS-BIZ22-A37</t>
  </si>
  <si>
    <t>BrgyBorobor_Galimuyod_IlocosSur</t>
  </si>
  <si>
    <t>Galimuyod</t>
  </si>
  <si>
    <t>d. Site re-hunting</t>
  </si>
  <si>
    <t>PH070510</t>
  </si>
  <si>
    <t>NS-BIZ22-A39</t>
  </si>
  <si>
    <t>BrgyMasulog_CanlaonCity_NegrosOriental_MACRO_COV2021</t>
  </si>
  <si>
    <t>Negros Oriental</t>
  </si>
  <si>
    <t>PH070513</t>
  </si>
  <si>
    <t>NS-BIZ22-A53</t>
  </si>
  <si>
    <t>BrgyMinolos_Barili_Cebu_MACRO_COV2021</t>
  </si>
  <si>
    <t>PH050300</t>
  </si>
  <si>
    <t>NS-BIZ22-B13</t>
  </si>
  <si>
    <t>NearBrgyLuklukanSurBoundary_BrgySantaRosaNorte_JosePanganiban_CamarinesNorte</t>
  </si>
  <si>
    <t>CANORECO</t>
  </si>
  <si>
    <t>T5</t>
  </si>
  <si>
    <t>North Flash Power And Builds Inc.</t>
  </si>
  <si>
    <t>PERMANENT Power energized</t>
  </si>
  <si>
    <t>FTAPPQ0010592</t>
  </si>
  <si>
    <t>FTAPPO0009859</t>
  </si>
  <si>
    <t>ENERGIZED</t>
  </si>
  <si>
    <t>PH050294</t>
  </si>
  <si>
    <t>NS-BIZ22-B14</t>
  </si>
  <si>
    <t>NearGovFelixAFuentebellaNtlHwy_BrgySanSebastian_Lagonoy_CamarinesSur</t>
  </si>
  <si>
    <t>CASURECO IV</t>
  </si>
  <si>
    <t>PH050298</t>
  </si>
  <si>
    <t>NS-BIZ22-B19</t>
  </si>
  <si>
    <t>NearLarapRd_BrgyLarap_JosePanganiban_CamarinesNorte</t>
  </si>
  <si>
    <t>FTAPPO0011402</t>
  </si>
  <si>
    <t>Waiting for COOP SOA and CFIA approval from NEA prior energization</t>
  </si>
  <si>
    <t>PH401049</t>
  </si>
  <si>
    <t>NS-BIZ22-B31</t>
  </si>
  <si>
    <t>BrgySaguing_Mabini_Batangas</t>
  </si>
  <si>
    <t>BATELEC II</t>
  </si>
  <si>
    <t>Golden Design Konstrukt and Trading</t>
  </si>
  <si>
    <t xml:space="preserve">Waiting for BP and EP permits need for application </t>
  </si>
  <si>
    <t>Waiting for EP, EPPLan and CFEI</t>
  </si>
  <si>
    <t>PH120362</t>
  </si>
  <si>
    <t>NS-BIZ22-B57</t>
  </si>
  <si>
    <t>Brgy.PatadonWest_Matalam_NorthCotabato</t>
  </si>
  <si>
    <t>PH120369</t>
  </si>
  <si>
    <t>NS-BIZ22-B60</t>
  </si>
  <si>
    <t>Brgy.Pigcawaran_Alamada_NorthCotabato</t>
  </si>
  <si>
    <t>PH130183</t>
  </si>
  <si>
    <t>NS-BIZ22-B72</t>
  </si>
  <si>
    <t>Brgy.Maygatasan_BayuganCity_AgusanDelSur</t>
  </si>
  <si>
    <t>ASELCO</t>
  </si>
  <si>
    <t>Agusan del Sur</t>
  </si>
  <si>
    <t>City of Bayugan</t>
  </si>
  <si>
    <t>PH110579</t>
  </si>
  <si>
    <t>NS-BIZ22-B90</t>
  </si>
  <si>
    <t>Brgy.Elizalde(Somil)_Maco_DavaoDeOro</t>
  </si>
  <si>
    <t>NORDECO</t>
  </si>
  <si>
    <t>Davao de Oro</t>
  </si>
  <si>
    <t>Maco</t>
  </si>
  <si>
    <t>Purok 2-A</t>
  </si>
  <si>
    <t>C-8 Construction Services</t>
  </si>
  <si>
    <t>PH140224</t>
  </si>
  <si>
    <t>NS-BIZ22-B94</t>
  </si>
  <si>
    <t>Brgy.KabatuhanTiis_Talipao_Sulu</t>
  </si>
  <si>
    <t>SULECO</t>
  </si>
  <si>
    <t>Sulu</t>
  </si>
  <si>
    <t>Talipao</t>
  </si>
  <si>
    <t>PH100327</t>
  </si>
  <si>
    <t>NS-BIZ22-C03</t>
  </si>
  <si>
    <t>Brgy.Bugcaon_Lantapan_Bukidnon</t>
  </si>
  <si>
    <t>Lantapan</t>
  </si>
  <si>
    <t>Zone 1</t>
  </si>
  <si>
    <t>BC Ubarco Engineering Consultancy</t>
  </si>
  <si>
    <t>PH120345</t>
  </si>
  <si>
    <t>NS-BIZ22-C04</t>
  </si>
  <si>
    <t>BrgyMalinao_Banisilan_Cotabato (North Cotabato)</t>
  </si>
  <si>
    <t>Banisilan</t>
  </si>
  <si>
    <t>PH120352</t>
  </si>
  <si>
    <t>NS-BIZ22-C05</t>
  </si>
  <si>
    <t>BrgyMinapan_Tulunan_Cotabato (North Cotabato)</t>
  </si>
  <si>
    <t>COTELCO</t>
  </si>
  <si>
    <t>Tulunan</t>
  </si>
  <si>
    <t>a.9. PSH Done- For GT final disposition</t>
  </si>
  <si>
    <t>PH120367</t>
  </si>
  <si>
    <t>NS-BIZ22-C12</t>
  </si>
  <si>
    <t>Brgy.Simsiman_Pigkawayan_NorthCotabato</t>
  </si>
  <si>
    <t>Pigkawayan</t>
  </si>
  <si>
    <t>PH120351</t>
  </si>
  <si>
    <t>NS-BIZ22-C14</t>
  </si>
  <si>
    <t>BrgyDoroluman_Arakan_Cotabato (North Cotabato)</t>
  </si>
  <si>
    <t>e.2. TSSR endorsed to CM, awaiting Site Inspection Checklist</t>
  </si>
  <si>
    <t>PH120343</t>
  </si>
  <si>
    <t>NS-BIZ22-C17</t>
  </si>
  <si>
    <t>Brgy.Alegria01_Alabel(Capital)_Sarangani</t>
  </si>
  <si>
    <t>Sarangani</t>
  </si>
  <si>
    <t>Alabel (Capital)</t>
  </si>
  <si>
    <t>17/07/2025</t>
  </si>
  <si>
    <t>Jolo Engineering Services</t>
  </si>
  <si>
    <t>PH120356</t>
  </si>
  <si>
    <t>NS-BIZ22-C23</t>
  </si>
  <si>
    <t>Brgy.Baliango_Palimbang_SultanKudarat</t>
  </si>
  <si>
    <t>Sultan Kudarat</t>
  </si>
  <si>
    <t>PH150179</t>
  </si>
  <si>
    <t>NS-BIZ22-C51</t>
  </si>
  <si>
    <t>LGU-VIP_BrgyIli_Conner_Apayao</t>
  </si>
  <si>
    <t>Apayao</t>
  </si>
  <si>
    <t>Conner</t>
  </si>
  <si>
    <t>FTAPPQ0012306</t>
  </si>
  <si>
    <t>FTAPPO0011517</t>
  </si>
  <si>
    <t>10/14  target until next wk energization</t>
  </si>
  <si>
    <t>10/13 Application applied waiting COOP SOA and staking sheet prior Submission of BOQ</t>
  </si>
  <si>
    <t>PH130141</t>
  </si>
  <si>
    <t>NS-BIZ22-C59</t>
  </si>
  <si>
    <t>Brgy.Carromata_SanMiguel_SurigaoDelSur</t>
  </si>
  <si>
    <t>SURSECO II</t>
  </si>
  <si>
    <t>Surigao del Sur</t>
  </si>
  <si>
    <t>PH130143</t>
  </si>
  <si>
    <t>NS-BIZ22-C60</t>
  </si>
  <si>
    <t>Brgy.Bolhoon_SanMiguel_SurigaoDelSur</t>
  </si>
  <si>
    <t>Purok 3</t>
  </si>
  <si>
    <t>26/04/2025</t>
  </si>
  <si>
    <t>PH030825</t>
  </si>
  <si>
    <t>NS-BIZ23-A12</t>
  </si>
  <si>
    <t>BrgyBrillante_Paniqui_Tarlac</t>
  </si>
  <si>
    <t>FTAPPQ0013496</t>
  </si>
  <si>
    <t>FTAPPO0012623</t>
  </si>
  <si>
    <t xml:space="preserve">10/20/2025: For submission of vendor BOM.10/12/2025: Awaiting coop BOM. </t>
  </si>
  <si>
    <t>PH030826</t>
  </si>
  <si>
    <t>NS-BIZ23-A13</t>
  </si>
  <si>
    <t>BrgyColibangbang_Paniqui_Tarlac</t>
  </si>
  <si>
    <t>JRJA Builders Supply and Services Co.</t>
  </si>
  <si>
    <t>FTAPPQ0012308</t>
  </si>
  <si>
    <t>FTAPPO0011519</t>
  </si>
  <si>
    <t>9/23/2025: Temporary power applied. JTSS done. For line construction once weather is ok.</t>
  </si>
  <si>
    <t xml:space="preserve">10/20/2026: Awaiting coop BOM. </t>
  </si>
  <si>
    <t>PH030802</t>
  </si>
  <si>
    <t>NS-BIZ23-A14</t>
  </si>
  <si>
    <t>BrgyCut-cutII_TarlacCity_Tarlac</t>
  </si>
  <si>
    <t>TEI</t>
  </si>
  <si>
    <t>City of Tarlac (Capital)</t>
  </si>
  <si>
    <t>Larc Telecoms Inc.</t>
  </si>
  <si>
    <t>CME on hold</t>
  </si>
  <si>
    <t>10/12/2025: CME has not yet started, with DDD issue 10/5/25: Waiting for Tempo Permit release
10/3/2025: For JTSS sched</t>
  </si>
  <si>
    <t>PH030819</t>
  </si>
  <si>
    <t>NS-BIZ23-A15</t>
  </si>
  <si>
    <t>BrgyQuezon_Gerona_Tarlac</t>
  </si>
  <si>
    <t>Gerona</t>
  </si>
  <si>
    <t>MCEES CONSTRUCTION AND GENERAL MERCHANDISE</t>
  </si>
  <si>
    <t>FTAPPQ0014218</t>
  </si>
  <si>
    <t>FTAPPO0013321</t>
  </si>
  <si>
    <t>PH120358</t>
  </si>
  <si>
    <t>NS-BIZ23-A18</t>
  </si>
  <si>
    <t>Brgy.Badiangon_Palimbang_SultanKudarat</t>
  </si>
  <si>
    <t>PH070514</t>
  </si>
  <si>
    <t>NS-BIZ23-A25</t>
  </si>
  <si>
    <t>BIZMobile2023_BrgySulangan_Bantayan_Cebu_MACRO_COV2023</t>
  </si>
  <si>
    <t>PH010352</t>
  </si>
  <si>
    <t>NS-BIZ23-A40</t>
  </si>
  <si>
    <t>LGU_BrgyManueva_Santa_Ilocos Sur</t>
  </si>
  <si>
    <t>Santa</t>
  </si>
  <si>
    <t>r.2. BP applied-Advance Build</t>
  </si>
  <si>
    <t>No BP in ST</t>
  </si>
  <si>
    <t>PH150170</t>
  </si>
  <si>
    <t>NS-BIZ23-A42</t>
  </si>
  <si>
    <t>BrgyButigue_Paracelis_ Mountain Province_LGU</t>
  </si>
  <si>
    <t>MOPRECO</t>
  </si>
  <si>
    <t>Mountain Province</t>
  </si>
  <si>
    <t>Paracelis</t>
  </si>
  <si>
    <t>f. TSSR submitted to DNE &amp; PMO</t>
  </si>
  <si>
    <t>PH120368</t>
  </si>
  <si>
    <t>NS-NTG18-A76</t>
  </si>
  <si>
    <t>Brgy.PoblacionI_Pigkawayan_NorthCotabato</t>
  </si>
  <si>
    <t>PH401053</t>
  </si>
  <si>
    <t>NS-NTG18-F92</t>
  </si>
  <si>
    <t>BrgySanVicente_SanPedro_Laguna</t>
  </si>
  <si>
    <t>MERALCO</t>
  </si>
  <si>
    <t>FTAPPQ0013161</t>
  </si>
  <si>
    <t>FTAPPO0012289</t>
  </si>
  <si>
    <t>For JTSS</t>
  </si>
  <si>
    <t>PH070482</t>
  </si>
  <si>
    <t>NS-NTG18-G18</t>
  </si>
  <si>
    <t>Brgy_Lorega_San_Miguel_Cebu</t>
  </si>
  <si>
    <t>Jodan Electrical Services</t>
  </si>
  <si>
    <t>FTAPPQ0013324</t>
  </si>
  <si>
    <t>FTAPPO0012432</t>
  </si>
  <si>
    <t>PH110554</t>
  </si>
  <si>
    <t>NS-NTG18-G79</t>
  </si>
  <si>
    <t>Brgy.Cabantian01_DavaoCity_DavaoDelSur</t>
  </si>
  <si>
    <t>PH100317</t>
  </si>
  <si>
    <t>NS-NTG18-G90</t>
  </si>
  <si>
    <t>Brgy.Patag_CagayanDeOroCity(Capital)_MisamisOriental</t>
  </si>
  <si>
    <t>MORESCO I</t>
  </si>
  <si>
    <t>Misamis Oriental</t>
  </si>
  <si>
    <t>City of Cagayan De Oro (Capital)</t>
  </si>
  <si>
    <t>PH130134</t>
  </si>
  <si>
    <t>NS-NTG18-H14</t>
  </si>
  <si>
    <t>Brgy.Bonbon_ButuanCity(Capital)_AgusanDelNorte</t>
  </si>
  <si>
    <t>ANECO</t>
  </si>
  <si>
    <t>Agusan del Norte</t>
  </si>
  <si>
    <t>City of Butuan (Capital)</t>
  </si>
  <si>
    <t>PH100279</t>
  </si>
  <si>
    <t>NS-NTG18-P80</t>
  </si>
  <si>
    <t>Brgy.Indahag04_CagayanDeOroCity(Capital)_MisamisOriental</t>
  </si>
  <si>
    <t>PH401048</t>
  </si>
  <si>
    <t>NS-NTG18-P85</t>
  </si>
  <si>
    <t>BrgyKumintangIbaba_BatangasCity_Batangas</t>
  </si>
  <si>
    <t>For PP application waiting for MERALCO construction and energization</t>
  </si>
  <si>
    <t>FTAPPQ0009350</t>
  </si>
  <si>
    <t>FTAPPO0008590</t>
  </si>
  <si>
    <t>Waiting for implementation and installation of MERALCO</t>
  </si>
  <si>
    <t>PH110563</t>
  </si>
  <si>
    <t>NS-NTG18-P91</t>
  </si>
  <si>
    <t>Brgy.Tigatto01_DavaoCity_DavaoDelSur</t>
  </si>
  <si>
    <t>PH031091</t>
  </si>
  <si>
    <t>NS-NTG18-R35</t>
  </si>
  <si>
    <t>BRGYPARULAN_PULILAN_BULACAN</t>
  </si>
  <si>
    <t>Plaridel</t>
  </si>
  <si>
    <t>PH060478</t>
  </si>
  <si>
    <t>NS-NTG19-AA62</t>
  </si>
  <si>
    <t>Brgy8_Kabankalan_NegOcc</t>
  </si>
  <si>
    <t>Negros Occidental</t>
  </si>
  <si>
    <t>Tripower Elecrical Services</t>
  </si>
  <si>
    <t>FTAPPQ0013328</t>
  </si>
  <si>
    <t>FTAPPO0012434</t>
  </si>
  <si>
    <t>PH070437</t>
  </si>
  <si>
    <t>NS-NTG19-AB05</t>
  </si>
  <si>
    <t>BrgyLahug2_CebuCity_Cebu</t>
  </si>
  <si>
    <t>PH070371</t>
  </si>
  <si>
    <t>NS-NTG19-AB15</t>
  </si>
  <si>
    <t>BrgyBulacao_Talisay_Cebu</t>
  </si>
  <si>
    <t>PH010344</t>
  </si>
  <si>
    <t>NS-NTG19-AC09</t>
  </si>
  <si>
    <t>OrenceRd_BrgyOrence_Narvacan_IlocosSur</t>
  </si>
  <si>
    <t>PH030851</t>
  </si>
  <si>
    <t>NS-NTG19-AC72</t>
  </si>
  <si>
    <t>Purok1_BrgySanIsidro_CabanatuanCity_NuevaEcija</t>
  </si>
  <si>
    <t>CELCOR</t>
  </si>
  <si>
    <t>Nueva Ecija</t>
  </si>
  <si>
    <t>City of Cabanatuan</t>
  </si>
  <si>
    <t>Purok 4</t>
  </si>
  <si>
    <t>30/09/2025</t>
  </si>
  <si>
    <t>FTAPPQ0012307</t>
  </si>
  <si>
    <t>FTAPPO0011518</t>
  </si>
  <si>
    <t>11/4/2025: Energized. 10/20/2026: Permanent LC done, for final inspection of coop. 
10/12/2025: Permanent line construction on going. For survey again of coop once done with the LC.  10/5/25: For Line Construction
9/23/2025: Temporary power applied. For coop JTSS schedule once weather is okay.</t>
  </si>
  <si>
    <t>FTAPPQ0013619</t>
  </si>
  <si>
    <t>FTAPPO0012764</t>
  </si>
  <si>
    <t>10/20/2025: Permanent line construction done. For final inspection of coop. 
10/12/2025: LC ongoing for termperament solution.</t>
  </si>
  <si>
    <t>PH010406</t>
  </si>
  <si>
    <t>NS-NTG19-AC76</t>
  </si>
  <si>
    <t>BrgyLabitProper_UrdanetaCity_Pangasinan</t>
  </si>
  <si>
    <t>City of Urdaneta</t>
  </si>
  <si>
    <t>10/9/25: Waiting energization schedule
10/5/25: COOP applied; waiting COOP Assessment</t>
  </si>
  <si>
    <t>PH010449</t>
  </si>
  <si>
    <t>NS-NTG19-AC92</t>
  </si>
  <si>
    <t>BRGYNANCAYASAN_URDANETACITY_PANGASINAN</t>
  </si>
  <si>
    <t>b. Candidate Secured</t>
  </si>
  <si>
    <t>a.4. RE-SH</t>
  </si>
  <si>
    <t>PH010450</t>
  </si>
  <si>
    <t>NS-NTG19-AC93</t>
  </si>
  <si>
    <t>NEARBINALONANAIRPORT_BRGYCANARVACANAN_BINALONAN_PANGASINAN</t>
  </si>
  <si>
    <t>PH030869</t>
  </si>
  <si>
    <t>NS-NTG19-AD70</t>
  </si>
  <si>
    <t>BRGYTIBAG_TARLACCITY_TARLAC</t>
  </si>
  <si>
    <t>FTAPPQ0013674</t>
  </si>
  <si>
    <t>FTAPPO0012813</t>
  </si>
  <si>
    <t>Interlink Power</t>
  </si>
  <si>
    <t>PH030868</t>
  </si>
  <si>
    <t>NS-NTG19-AD72</t>
  </si>
  <si>
    <t>BRGYDOLORES_TARLACCITY_TARLAC</t>
  </si>
  <si>
    <t>Lacking PreCon Permits</t>
  </si>
  <si>
    <t>9/23/2025:Advanced build. Awaiting precon permits from SAQ.</t>
  </si>
  <si>
    <t>PH050297</t>
  </si>
  <si>
    <t>NS-NTG19-AE97</t>
  </si>
  <si>
    <t>BrgyMotherlode_JOSE_PANGANIBAN_CAMARINES_NORTE</t>
  </si>
  <si>
    <t>FTAPPQ0012194</t>
  </si>
  <si>
    <t>PH401065</t>
  </si>
  <si>
    <t>NS-NTG19-AF16</t>
  </si>
  <si>
    <t>BrgyManguisian_Lopez_Quezon</t>
  </si>
  <si>
    <t>QUEZELCO I</t>
  </si>
  <si>
    <t>ALS</t>
  </si>
  <si>
    <t>FTAPPQ0014035</t>
  </si>
  <si>
    <t>FTAPPO0013120</t>
  </si>
  <si>
    <t>Waiting for PO issuance C done</t>
  </si>
  <si>
    <t>FTAPPQ0014193</t>
  </si>
  <si>
    <t>FTAPPO0013306</t>
  </si>
  <si>
    <t>TEC</t>
  </si>
  <si>
    <t>PH120350</t>
  </si>
  <si>
    <t>NS-NTG19-AF87</t>
  </si>
  <si>
    <t>Brgy.Calumpang_GeneralSantosCity_SouthCotabato</t>
  </si>
  <si>
    <t>PH110561</t>
  </si>
  <si>
    <t>NS-NTG19-AF99</t>
  </si>
  <si>
    <t>Brgy.VisayanVillage02_TagumCity(Capital)_DavaoDelNorte</t>
  </si>
  <si>
    <t>Davao del Norte</t>
  </si>
  <si>
    <t>PH090080</t>
  </si>
  <si>
    <t>NS-NTG19-AG49</t>
  </si>
  <si>
    <t>Brgy.Gulayon_DipologCity(Capital)_ZamboangaDelNorte</t>
  </si>
  <si>
    <t>ZANECO</t>
  </si>
  <si>
    <t>Zamboanga del Norte</t>
  </si>
  <si>
    <t>City of Dipolog (Capital)</t>
  </si>
  <si>
    <t>PH140191</t>
  </si>
  <si>
    <t>NS-NTG19-AG51</t>
  </si>
  <si>
    <t>Brgy.Kalanganan02_CotabatoCity_Maguindanao</t>
  </si>
  <si>
    <t>e. Approved candidates-Awaiting JTSS schedule</t>
  </si>
  <si>
    <t>PH100277</t>
  </si>
  <si>
    <t>NS-NTG19-AH28</t>
  </si>
  <si>
    <t>Brgy.Kauswagan02_CagayanDeOroCity(Capital)_MisamisOriental</t>
  </si>
  <si>
    <t>PH100320</t>
  </si>
  <si>
    <t>NS-NTG19-AH33</t>
  </si>
  <si>
    <t>Brgy.Carangan_OzamizCity_MisamisOccidental</t>
  </si>
  <si>
    <t>MOELCI II</t>
  </si>
  <si>
    <t>Misamis Occidental</t>
  </si>
  <si>
    <t>City of Ozamiz</t>
  </si>
  <si>
    <t>Brgy. Carangan, Ozamiz City, Misamis Occidental</t>
  </si>
  <si>
    <t>PH100049</t>
  </si>
  <si>
    <t>NS-NTG19-AH34</t>
  </si>
  <si>
    <t>Brgy.DoñaConsuelo_OzamizCity_MisamisOccidental</t>
  </si>
  <si>
    <t>PH070520</t>
  </si>
  <si>
    <t>NS-NTG19-AI98</t>
  </si>
  <si>
    <t>Tinaan_Naga_Cebu</t>
  </si>
  <si>
    <t>PH030886</t>
  </si>
  <si>
    <t>NS-NTG19-AM04</t>
  </si>
  <si>
    <t>Clark_Donggwangtemp_Permanent</t>
  </si>
  <si>
    <t>CEDC</t>
  </si>
  <si>
    <t>Pampanga</t>
  </si>
  <si>
    <t>City of Angeles</t>
  </si>
  <si>
    <t>PH070475</t>
  </si>
  <si>
    <t>NS-NTG19-C20</t>
  </si>
  <si>
    <t>BrgyPuntaPrincesa_CebuCity_Cebu</t>
  </si>
  <si>
    <t>PH070458</t>
  </si>
  <si>
    <t>NS-NTG19-C22</t>
  </si>
  <si>
    <t>BrgyTisa_CebuCity_Cebu</t>
  </si>
  <si>
    <t>a.1. For PSH</t>
  </si>
  <si>
    <t>PH070449</t>
  </si>
  <si>
    <t>NS-NTG19-C23</t>
  </si>
  <si>
    <t>BrgyPuntaPrincesa3_CebuCity_Cebu</t>
  </si>
  <si>
    <t>PH110357</t>
  </si>
  <si>
    <t>NS-NTG19-C74</t>
  </si>
  <si>
    <t>Brgy.BagoOshiro01_DavaoCity_DavaoDelSur</t>
  </si>
  <si>
    <t>PH110208</t>
  </si>
  <si>
    <t>NS-NTG19-C75</t>
  </si>
  <si>
    <t>2019CapSite_BrgyDaliao_DAVAO CITY_DAVAO DEL SUR</t>
  </si>
  <si>
    <t>St. Jude Village</t>
  </si>
  <si>
    <t>PH110577</t>
  </si>
  <si>
    <t>NS-NTG19-C77</t>
  </si>
  <si>
    <t>Brgy.SantoNiño_DavaoCity_DavaoDelSur</t>
  </si>
  <si>
    <t>Purok Makogihon 3, Katipunan</t>
  </si>
  <si>
    <t>PH110216</t>
  </si>
  <si>
    <t>NS-NTG19-C87</t>
  </si>
  <si>
    <t>Brgy.Talomo(Pob.)03_DavaoCity_DavaoDelSur</t>
  </si>
  <si>
    <t>PH110206</t>
  </si>
  <si>
    <t>NS-NTG19-C91</t>
  </si>
  <si>
    <t>Brgy.BagoGallera02_DavaoCity_DavaoDelSur</t>
  </si>
  <si>
    <t>Purok 16, Sitio Durian</t>
  </si>
  <si>
    <t>PH030864</t>
  </si>
  <si>
    <t>NS-NTG19-I41</t>
  </si>
  <si>
    <t>NearBakeroES_BrgyBakero_CabanatuanCity_NuevaEcija</t>
  </si>
  <si>
    <t>15/09/2025</t>
  </si>
  <si>
    <t xml:space="preserve">10/20/2025: Need CFEI prior to proceeding with the PP application </t>
  </si>
  <si>
    <t>POSTCON PERMITS NEEDED</t>
  </si>
  <si>
    <t>PH100281</t>
  </si>
  <si>
    <t>NS-NTG19-J79</t>
  </si>
  <si>
    <t>Brgy.Bulua_CagayanDeOroCity(Capital)_MisamisOriental</t>
  </si>
  <si>
    <t>PH100318</t>
  </si>
  <si>
    <t>NS-NTG19-J81</t>
  </si>
  <si>
    <t>Brgy.Kauswagan03_CagayanDeOroCity(Capital)_MisamisOriental</t>
  </si>
  <si>
    <t>PH060452</t>
  </si>
  <si>
    <t>NS-NTG19-K22</t>
  </si>
  <si>
    <t>BrgyTangub_BacolodCity_NegrosOccidental</t>
  </si>
  <si>
    <t>NEPC</t>
  </si>
  <si>
    <t>City of Bacolod (Capital)</t>
  </si>
  <si>
    <t>Tripower Electrical Services</t>
  </si>
  <si>
    <t>PH060449</t>
  </si>
  <si>
    <t>NS-NTG19-O74</t>
  </si>
  <si>
    <t>Puregold_San Juan St., corner BS Aquino Drive Sto. Nino Bacolod City</t>
  </si>
  <si>
    <t>PH030882</t>
  </si>
  <si>
    <t>NS-NTG19-O75</t>
  </si>
  <si>
    <t>Puregold_BrgyReformista_Limay_Bataan</t>
  </si>
  <si>
    <t>Limay</t>
  </si>
  <si>
    <t>direct to permanent</t>
  </si>
  <si>
    <t>Survey Schedule</t>
  </si>
  <si>
    <t>10/03/2025: Applied permanent power, awaiting JTSS sched. 9/23/2025: LGU did not allow us to apply for temporary power since site is already done. Applied for permanent power.</t>
  </si>
  <si>
    <t>FTAPPQ0013028</t>
  </si>
  <si>
    <t>FTAPPO0012151</t>
  </si>
  <si>
    <t xml:space="preserve">10/20/2025: Coop SOA released. BD requested. 10/12/2025: Awaiting completion of CME. </t>
  </si>
  <si>
    <t xml:space="preserve">CME Service entrance </t>
  </si>
  <si>
    <t>PH031092</t>
  </si>
  <si>
    <t>NS-NTG19-O77</t>
  </si>
  <si>
    <t>PUREGOLD_BRGYBUNSURANI_PANDI_BULACAN</t>
  </si>
  <si>
    <t>Pandi</t>
  </si>
  <si>
    <t>g. JTSS Done- Pending TSSR submission</t>
  </si>
  <si>
    <t>PH030904</t>
  </si>
  <si>
    <t>NS-NTG19-R69</t>
  </si>
  <si>
    <t>Alfamart_CDeJesusSt_BrgyParada_SantaMaria_Bulacan</t>
  </si>
  <si>
    <t>Santa Maria</t>
  </si>
  <si>
    <t>PH150129</t>
  </si>
  <si>
    <t>NS-NTG19-S36</t>
  </si>
  <si>
    <t>Shell_Ilocos-AbraRd_BrgyZone5_Bangued_Abra</t>
  </si>
  <si>
    <t>ABRECO</t>
  </si>
  <si>
    <t>FTAPPQ0013121</t>
  </si>
  <si>
    <t>FTAPPO0012247</t>
  </si>
  <si>
    <t>FTAPPQ0014151</t>
  </si>
  <si>
    <t>FTAPPO0013266</t>
  </si>
  <si>
    <t>No permit doe BOQ submission</t>
  </si>
  <si>
    <t>PH010339</t>
  </si>
  <si>
    <t>NS-NTG19-S50</t>
  </si>
  <si>
    <t>UnitedNeon_ManilaNorthRd_BrgyCabaroan_Bantay_IlocosNorte</t>
  </si>
  <si>
    <t>Bantay</t>
  </si>
  <si>
    <t>FTAPPQ0012674</t>
  </si>
  <si>
    <t>FTAPPO0011939</t>
  </si>
  <si>
    <t>10/9/2025: Construction 10/13/25</t>
  </si>
  <si>
    <t>PH010359</t>
  </si>
  <si>
    <t>NS-NTG19-S85</t>
  </si>
  <si>
    <t>UnitedNeon_BrgyCaranglaan_DagupanCity_Pangasinan</t>
  </si>
  <si>
    <t>DECORP</t>
  </si>
  <si>
    <t>City of Dagupan</t>
  </si>
  <si>
    <t>FTAPPQ0013286</t>
  </si>
  <si>
    <t>FTAPPO0012398</t>
  </si>
  <si>
    <t>PH120341</t>
  </si>
  <si>
    <t>NS-NTG19-T31</t>
  </si>
  <si>
    <t>Brgy.Apopong03_GeneralSantosCity_SouthCotabato</t>
  </si>
  <si>
    <t>PH100294</t>
  </si>
  <si>
    <t>NS-NTG19-T40</t>
  </si>
  <si>
    <t>Brgy.Bolobolo01_ElSalvadorCity_MisamisOriental</t>
  </si>
  <si>
    <t>City of El Salvador</t>
  </si>
  <si>
    <t>a. Ongoing site hunting</t>
  </si>
  <si>
    <t>PH120382</t>
  </si>
  <si>
    <t>NS-NTG19-T56</t>
  </si>
  <si>
    <t>Brgy.Buenaflor_TacurongCity_SultanKudarat</t>
  </si>
  <si>
    <t>City of Tacurong</t>
  </si>
  <si>
    <t>PH030892</t>
  </si>
  <si>
    <t>NS-NTG19-U09</t>
  </si>
  <si>
    <t>SMC_L0066_BrgyPanducot_Calumpit_Bulacan</t>
  </si>
  <si>
    <t>Calumpit</t>
  </si>
  <si>
    <t>PH010451</t>
  </si>
  <si>
    <t>NS-NTG19-X31</t>
  </si>
  <si>
    <t>BryArnedo_Bolinao_Pangasinan</t>
  </si>
  <si>
    <t>Bolinao</t>
  </si>
  <si>
    <t>PH110581</t>
  </si>
  <si>
    <t>NS-NTG19-X48</t>
  </si>
  <si>
    <t>Brgy.Apokon01_TagumCity(Capital)_DavaoDelNorte</t>
  </si>
  <si>
    <t>City of Tagum (Capital)</t>
  </si>
  <si>
    <t>PH110556</t>
  </si>
  <si>
    <t>NS-NTG19-X54</t>
  </si>
  <si>
    <t>Brgy.MagugpoSouth_TagumCity(Capital)_DavaoDelNorte</t>
  </si>
  <si>
    <t>PH110572</t>
  </si>
  <si>
    <t>NS-NTG20-AA26</t>
  </si>
  <si>
    <t>2023Capsite_GaisanoMall_Brgy13B_DavaoCity_DDS</t>
  </si>
  <si>
    <t>PH100377</t>
  </si>
  <si>
    <t>NS-NTG20-AA33</t>
  </si>
  <si>
    <t>Brgy.Barangay24-A(Pob.)_GingoogCity_MisamisOriental</t>
  </si>
  <si>
    <t>MORESCO II</t>
  </si>
  <si>
    <t>City of Gingoog</t>
  </si>
  <si>
    <t>PH070515</t>
  </si>
  <si>
    <t>NS-NTG20-AB86</t>
  </si>
  <si>
    <t>BrgyNaalad_NagaCity_Cebu</t>
  </si>
  <si>
    <t>PH070516</t>
  </si>
  <si>
    <t>NS-NTG20-AB99</t>
  </si>
  <si>
    <t>BrgyCasili_Consolacion_Cebu_2</t>
  </si>
  <si>
    <t>PH130139</t>
  </si>
  <si>
    <t>NS-NTG20-AG01</t>
  </si>
  <si>
    <t>Brgy.Poblacion(Bahbah)_Prosperidad(Capital)_AgusanDelSur</t>
  </si>
  <si>
    <t>Prosperidad (Capital)</t>
  </si>
  <si>
    <t>PH130170</t>
  </si>
  <si>
    <t>NS-NTG20-AG03</t>
  </si>
  <si>
    <t>Brgy.SanNicolas(Pob.)_Talacogon_AgusanDelSur</t>
  </si>
  <si>
    <t>Talacogon</t>
  </si>
  <si>
    <t>PH090069</t>
  </si>
  <si>
    <t>NS-NTG20-AK59</t>
  </si>
  <si>
    <t>Brgy.LowerIpilHeights_Ipil(Capital)_ZamboangaSibugay</t>
  </si>
  <si>
    <t>ZAMSURECO II</t>
  </si>
  <si>
    <t>Zamboanga Sibugay</t>
  </si>
  <si>
    <t>Ipil (Capital)</t>
  </si>
  <si>
    <t>PH140243</t>
  </si>
  <si>
    <t>NS-NTG20-AK62</t>
  </si>
  <si>
    <t>Brgy.SanRaymundo_Jolo(Capital)_Sulu</t>
  </si>
  <si>
    <t>Jolo (Capital)</t>
  </si>
  <si>
    <t>PH130148</t>
  </si>
  <si>
    <t>NS-NTG20-AK84</t>
  </si>
  <si>
    <t>Brgy.SantaCruz_Rosario_AgusanDelSur</t>
  </si>
  <si>
    <t>Rosario</t>
  </si>
  <si>
    <t>PH130157</t>
  </si>
  <si>
    <t>NS-NTG20-AK85</t>
  </si>
  <si>
    <t>Brgy.Poblacion_Trento_AgusanDelSur</t>
  </si>
  <si>
    <t>Trento</t>
  </si>
  <si>
    <t>30/06/2025</t>
  </si>
  <si>
    <t>PH100346</t>
  </si>
  <si>
    <t>NS-NTG20-AK97</t>
  </si>
  <si>
    <t>Brgy.LuzBanzon03_Jasaan_MisamisOriental</t>
  </si>
  <si>
    <t>Jasaan</t>
  </si>
  <si>
    <t>PH110303</t>
  </si>
  <si>
    <t>NS-NTG20-AQ84</t>
  </si>
  <si>
    <t>2020Capsite_BrgyTibanban01_GOVGEN_DVOR</t>
  </si>
  <si>
    <t>DORECO</t>
  </si>
  <si>
    <t>Davao Oriental</t>
  </si>
  <si>
    <t>Governor Generoso</t>
  </si>
  <si>
    <t>SG Dynamics Construction</t>
  </si>
  <si>
    <t>PH140244</t>
  </si>
  <si>
    <t>NS-NTG20-AT52</t>
  </si>
  <si>
    <t>2020CapSite_BrgyGang_SULTANKUDARAT(NULING)_MGDN</t>
  </si>
  <si>
    <t>PH010311</t>
  </si>
  <si>
    <t>NS-NTG20-AU15</t>
  </si>
  <si>
    <t>BrgyQuilingSur_Batac_IlocosNorte</t>
  </si>
  <si>
    <t>FTAPPQ0010498</t>
  </si>
  <si>
    <t>FTAPPO0009745</t>
  </si>
  <si>
    <t>10/17/25: RoW Issue;Waitiing NTP from COOP for line con</t>
  </si>
  <si>
    <t>PH030894</t>
  </si>
  <si>
    <t>NS-NTG20-E19</t>
  </si>
  <si>
    <t>NearProvenceCamellaHomes_BrgyLook1st_Malolos_Bulacan</t>
  </si>
  <si>
    <t>City of Malolos (Capital)</t>
  </si>
  <si>
    <t>PH020207</t>
  </si>
  <si>
    <t>NS-NTG20-E64</t>
  </si>
  <si>
    <t>BrgyImeldaBlissVillage_IlaganCity_Isabela</t>
  </si>
  <si>
    <t>ISELCO II</t>
  </si>
  <si>
    <t>Isabela</t>
  </si>
  <si>
    <t>City of Ilagan (Capital)</t>
  </si>
  <si>
    <t>FTAPPQ0013086</t>
  </si>
  <si>
    <t>FTAPPO0012249</t>
  </si>
  <si>
    <t>For TTC PO issuance</t>
  </si>
  <si>
    <t>11/21 For primary  line construction of  COOP waiting for COOP
1017 Secured Tempo CFEI for line con next week
10/13 Ongoing securing tempo CFEI 
10/10 Survey done, LOI submitted to COOP  to proceed TTC, For TTC tempo PO</t>
  </si>
  <si>
    <t>10/28 Wairting NTP for line con 
10/17 For BOQ submission nextweek tuesday waiting for COOP SOA</t>
  </si>
  <si>
    <t>PH020206</t>
  </si>
  <si>
    <t>NS-NTG20-E70</t>
  </si>
  <si>
    <t>BrgyCabeseria9and11_IlaganCity_Isabela</t>
  </si>
  <si>
    <t>23/08/2025</t>
  </si>
  <si>
    <t>FTAPPQ0013093</t>
  </si>
  <si>
    <t>FTAPPO0012248</t>
  </si>
  <si>
    <t xml:space="preserve">11/21 For primary  line construction of  COOP
10/13 Ongoing securing tempo CFEI 
10/10 LOI submitted to COOP </t>
  </si>
  <si>
    <t>FTAPPQ0013230</t>
  </si>
  <si>
    <t>FTAPPO0012353</t>
  </si>
  <si>
    <t>10/28 waiting for NTP for Line con
10/7/25: Vendor to review counter offer procurement</t>
  </si>
  <si>
    <t>PH150150</t>
  </si>
  <si>
    <t>NS-NTG20-E89</t>
  </si>
  <si>
    <t>BrgyBulo_TabukCity_Kalinga</t>
  </si>
  <si>
    <t>FTAPPQ0011976</t>
  </si>
  <si>
    <t>FTAPPO0011198</t>
  </si>
  <si>
    <t>PH150151</t>
  </si>
  <si>
    <t>NS-NTG20-E92</t>
  </si>
  <si>
    <t>BrgyMagsaysay_TabukCity_Kalinga</t>
  </si>
  <si>
    <t>21/06/2025</t>
  </si>
  <si>
    <t>FTAPPQ0012000</t>
  </si>
  <si>
    <t>FTAPPO0011234</t>
  </si>
  <si>
    <t>PH030848</t>
  </si>
  <si>
    <t>NS-NTG20-F40</t>
  </si>
  <si>
    <t>Clark_NearSolarField_BrgyBalibago_AngelesCity_Pampanga</t>
  </si>
  <si>
    <t>a.6. Long lead time lessor</t>
  </si>
  <si>
    <t>PH030839</t>
  </si>
  <si>
    <t>NS-NTG20-F43</t>
  </si>
  <si>
    <t>Clark_PAF1stAirDivision_BrgyBalibago_AngelesCity_Pampanga</t>
  </si>
  <si>
    <t>PH010460</t>
  </si>
  <si>
    <t>NS-NTG20-F94</t>
  </si>
  <si>
    <t>BrgyPangdel_Bayambang_Pangasinan</t>
  </si>
  <si>
    <t>PH010362</t>
  </si>
  <si>
    <t>NS-NTG20-G02</t>
  </si>
  <si>
    <t>BrgyBatangcawa_Bayambang_Pangasinan</t>
  </si>
  <si>
    <t>FTAPPQ0013162</t>
  </si>
  <si>
    <t>FTAPPO0012293</t>
  </si>
  <si>
    <t>10/13 ongoing securing tempo CFEI permits</t>
  </si>
  <si>
    <t>FTAPPQ0014069</t>
  </si>
  <si>
    <t>FTAPPO0013167</t>
  </si>
  <si>
    <t>PH060465</t>
  </si>
  <si>
    <t>NS-NTG20-N99</t>
  </si>
  <si>
    <t>BrgyYapak_Malay_Aklan(2)</t>
  </si>
  <si>
    <t>AKELCO</t>
  </si>
  <si>
    <t>Aklan</t>
  </si>
  <si>
    <t>Malay</t>
  </si>
  <si>
    <t>Brgy. Yapak, Malay, Aklan</t>
  </si>
  <si>
    <t>ALT Electrical Engineering Services</t>
  </si>
  <si>
    <t>FTAPPQ0013329</t>
  </si>
  <si>
    <t>FTAPPO0012435</t>
  </si>
  <si>
    <t>PH120138</t>
  </si>
  <si>
    <t>NS-NTG20-O13</t>
  </si>
  <si>
    <t>Brgy.Singao02_KidapawanCity(Capital)_NorthCotabato</t>
  </si>
  <si>
    <t>City of Kidapawan (Capital)</t>
  </si>
  <si>
    <t>Purok Durian</t>
  </si>
  <si>
    <t>PH120365</t>
  </si>
  <si>
    <t>NS-NTG20-O16</t>
  </si>
  <si>
    <t>Brgy.Kiwanan_Midsayap_NorthCotabato</t>
  </si>
  <si>
    <t>Purok Daisy</t>
  </si>
  <si>
    <t>Angkat Construction And Supply</t>
  </si>
  <si>
    <t>PH120381</t>
  </si>
  <si>
    <t>NS-NTG20-O18</t>
  </si>
  <si>
    <t>Brgy.Agriculture_Midsayap_NorthCotabato</t>
  </si>
  <si>
    <t>PH140192</t>
  </si>
  <si>
    <t>NS-NTG20-O90</t>
  </si>
  <si>
    <t>Brgy.Sumagdang01_IsabelaCity_Basilan</t>
  </si>
  <si>
    <t>City of Isabela</t>
  </si>
  <si>
    <t>20/09/2025</t>
  </si>
  <si>
    <t>PH120151</t>
  </si>
  <si>
    <t>NS-NTG20-Q55</t>
  </si>
  <si>
    <t>Brgy.Kayaga_Kabacan_NorthCotabato</t>
  </si>
  <si>
    <t>PH130135</t>
  </si>
  <si>
    <t>NS-NTG20-R23</t>
  </si>
  <si>
    <t>RobinsonsPlace_ButuanCity_ADN</t>
  </si>
  <si>
    <t>PH030843</t>
  </si>
  <si>
    <t>NS-NTG20-Y80</t>
  </si>
  <si>
    <t>STOTSENBERG_OutdoorColoc</t>
  </si>
  <si>
    <t>PH100280</t>
  </si>
  <si>
    <t>NS-NTG21-A34</t>
  </si>
  <si>
    <t>Brgy.Macasandig_CagayanDeOroCity(Capital)_MisamisOriental</t>
  </si>
  <si>
    <t>PH100390</t>
  </si>
  <si>
    <t>NS-NTG21-A71</t>
  </si>
  <si>
    <t>Brgy.Tankulan(Pob.)_ManoloFortich_Bukidnon</t>
  </si>
  <si>
    <t>Manolo Fortich</t>
  </si>
  <si>
    <t>Purok Kihare</t>
  </si>
  <si>
    <t>21/08/2025</t>
  </si>
  <si>
    <t>PH010361</t>
  </si>
  <si>
    <t>NS-NTG21-C86</t>
  </si>
  <si>
    <t>AlongPerezBlvd_BrgyHerrero_DagupanCity_Pangasinan</t>
  </si>
  <si>
    <t>PH070518</t>
  </si>
  <si>
    <t>NS-NTG21-D41</t>
  </si>
  <si>
    <t>BrgyPuntaEngano_LapuLapuCity_Cebu_MACRO</t>
  </si>
  <si>
    <t>PH070478</t>
  </si>
  <si>
    <t>NS-NTG21-D43</t>
  </si>
  <si>
    <t>BrgyMactan_LapuLapuCity_Cebu_HBM_1</t>
  </si>
  <si>
    <t>MECO</t>
  </si>
  <si>
    <t>City of Lapu-Lapu</t>
  </si>
  <si>
    <t>PH070470</t>
  </si>
  <si>
    <t>NS-NTG21-D53</t>
  </si>
  <si>
    <t>BrgyPajac_LapuLapuCity_Cebu_MACRO_1</t>
  </si>
  <si>
    <t>PH070456</t>
  </si>
  <si>
    <t>NS-NTG21-D57</t>
  </si>
  <si>
    <t>BasakMarigondonRd_BrgyBasak_LapuLapuCity_Cebu_HBM</t>
  </si>
  <si>
    <t>PH060464</t>
  </si>
  <si>
    <t>NS-NTG21-E45</t>
  </si>
  <si>
    <t>BrgyManoc-Manoc_Malay_Aklan_HBM</t>
  </si>
  <si>
    <t>Brgy. Manoc-Manoc, Malay, Aklan</t>
  </si>
  <si>
    <t>PH070460</t>
  </si>
  <si>
    <t>NS-NTG21-E48</t>
  </si>
  <si>
    <t>BrgyCentro(Pob.)_MandaueCity_Cebu_HBM_1</t>
  </si>
  <si>
    <t>City of Mandaue</t>
  </si>
  <si>
    <t>PH070450</t>
  </si>
  <si>
    <t>NS-NTG21-E50</t>
  </si>
  <si>
    <t>BrgyCentro(Pob.)_MandaueCity_Cebu_HBM_2</t>
  </si>
  <si>
    <t>PH070519</t>
  </si>
  <si>
    <t>NS-NTG21-E55</t>
  </si>
  <si>
    <t>BrgyMactan_LapuLapuCity_Cebu_HBM_2</t>
  </si>
  <si>
    <t>PH070462</t>
  </si>
  <si>
    <t>NS-NTG21-E57</t>
  </si>
  <si>
    <t>BrgyYati_Liloan_Cebu_MACRO</t>
  </si>
  <si>
    <t>Liloan</t>
  </si>
  <si>
    <t>PH070453</t>
  </si>
  <si>
    <t>NS-NTG21-E60</t>
  </si>
  <si>
    <t>BrgyUmapad_MandaueCity_Cebu_HBM_2</t>
  </si>
  <si>
    <t>PH070432</t>
  </si>
  <si>
    <t>NS-NTG21-E61</t>
  </si>
  <si>
    <t>BrgyCasuntingan_MandaueCity_Cebu_HBM_2</t>
  </si>
  <si>
    <t xml:space="preserve">PH060488 
</t>
  </si>
  <si>
    <t>NS-NTG21-E75</t>
  </si>
  <si>
    <t>PookSeaPort_BrgyPook_Kalibo_Aklan_MACRO</t>
  </si>
  <si>
    <t>PH060487</t>
  </si>
  <si>
    <t>NS-NTG21-F08</t>
  </si>
  <si>
    <t>BrgyPoblacion_Caluya_Antique_HBM</t>
  </si>
  <si>
    <t>Antique</t>
  </si>
  <si>
    <t>Caluya</t>
  </si>
  <si>
    <t>PH070427</t>
  </si>
  <si>
    <t>NS-NTG21-F70</t>
  </si>
  <si>
    <t>BrgyIbabaoEstancia_MandaueCity_Cebu_HBM_2</t>
  </si>
  <si>
    <t>PH060460</t>
  </si>
  <si>
    <t>NS-NTG21-F80</t>
  </si>
  <si>
    <t>BrgyBuhangTaftNorth_IloiloCity_Iloilo_HBM</t>
  </si>
  <si>
    <t>MEPC</t>
  </si>
  <si>
    <t>City of Iloilo (Capital)</t>
  </si>
  <si>
    <t>PH070455</t>
  </si>
  <si>
    <t>NS-NTG21-G28</t>
  </si>
  <si>
    <t>BrgyGuadalupe_CebuCity_Cebu_HBM_1</t>
  </si>
  <si>
    <t>PH070445</t>
  </si>
  <si>
    <t>NS-NTG21-G47</t>
  </si>
  <si>
    <t>BrgyPardo(Pob.)_CebuCity_Cebu_HBM_2</t>
  </si>
  <si>
    <t>PH070467</t>
  </si>
  <si>
    <t>NS-NTG21-G54</t>
  </si>
  <si>
    <t>BrgyTisa_CebuCity_Cebu_HBM_2</t>
  </si>
  <si>
    <t>PH070451</t>
  </si>
  <si>
    <t>NS-NTG21-G55</t>
  </si>
  <si>
    <t>BrgyTalamban_CebuCity_Cebu_HBM_3</t>
  </si>
  <si>
    <t>PH140225</t>
  </si>
  <si>
    <t>NS-NTG21-L16</t>
  </si>
  <si>
    <t>Brgy.Paiksa_PanglimaEstino(NewPanamao)_Sulu</t>
  </si>
  <si>
    <t>Panglima Estino</t>
  </si>
  <si>
    <t>PH140206</t>
  </si>
  <si>
    <t>NS-NTG21-L17</t>
  </si>
  <si>
    <t>Brgy.Kalang(Pob.)_Tapul_Sulu</t>
  </si>
  <si>
    <t>Tapul</t>
  </si>
  <si>
    <t>PH030844</t>
  </si>
  <si>
    <t>NS-NTG21-L56</t>
  </si>
  <si>
    <t>LazadaWH_BrgyIba_Meycauayan_Bulacan</t>
  </si>
  <si>
    <t>City of Meycauayan</t>
  </si>
  <si>
    <t>PH110612</t>
  </si>
  <si>
    <t>NS-NTG21-L59</t>
  </si>
  <si>
    <t>Brgy.LosAmigos01_DavaoCity_DavaoDelSur</t>
  </si>
  <si>
    <t>PH060481</t>
  </si>
  <si>
    <t>NS-NTG22-D47</t>
  </si>
  <si>
    <t>MTF_BrgyRizal_SanCarlosCity_NegrosOccidental_MACRO_CAP2022</t>
  </si>
  <si>
    <t>PH110565</t>
  </si>
  <si>
    <t>NS-NTG22-D50</t>
  </si>
  <si>
    <t>Brgy.Cogon02_DigosCity(Capital)_DavaoDelSur</t>
  </si>
  <si>
    <t>PH110574</t>
  </si>
  <si>
    <t>NS-NTG22-D99</t>
  </si>
  <si>
    <t>2023Capsite_BrgyMa-a_DavaoCity_DDS</t>
  </si>
  <si>
    <t>PH100288</t>
  </si>
  <si>
    <t>NS-NTG22-E01</t>
  </si>
  <si>
    <t>JMCHouse_BrgyAgusanCanyon_ManoloFortich_BUK</t>
  </si>
  <si>
    <t>PH140223</t>
  </si>
  <si>
    <t>NS-NTG22-E08</t>
  </si>
  <si>
    <t>Brgy.Masantong_Bongao(Capital)_Tawi-Tawi</t>
  </si>
  <si>
    <t>PH140221</t>
  </si>
  <si>
    <t>NS-NTG22-E09</t>
  </si>
  <si>
    <t>Brgy.Bakong_Languyan_Tawi-Tawi</t>
  </si>
  <si>
    <t>Languyan</t>
  </si>
  <si>
    <t>PH010350</t>
  </si>
  <si>
    <t>NS-NTG22-F62</t>
  </si>
  <si>
    <t>BrgyBigbiga_Santiago_IlocosSur</t>
  </si>
  <si>
    <t>Santiago</t>
  </si>
  <si>
    <t>PH140201</t>
  </si>
  <si>
    <t>NS-NTG22-F94</t>
  </si>
  <si>
    <t>Brgy.Lanote_IsabelaCity_Basilan</t>
  </si>
  <si>
    <t>PH030811</t>
  </si>
  <si>
    <t>NS-NTG22-G03</t>
  </si>
  <si>
    <t>BrgyLaungcupang_LaPaz_Tarlac</t>
  </si>
  <si>
    <t>TARELCO II</t>
  </si>
  <si>
    <t>La Paz</t>
  </si>
  <si>
    <t>Sitio Maranak</t>
  </si>
  <si>
    <t>28/09/2025</t>
  </si>
  <si>
    <t>10/12/2025: For PP application awaiting postcon permits. 10/2/2025: Energized
9/23/2025: Temporary power applied. JTSS done. For LC once weather is ok.</t>
  </si>
  <si>
    <t>FTAPPQ0013379</t>
  </si>
  <si>
    <t>FTAPPO0012504</t>
  </si>
  <si>
    <t>10/20/2025: Awaiting postcon permits</t>
  </si>
  <si>
    <t>PH010398</t>
  </si>
  <si>
    <t>NS-NTG22-G39</t>
  </si>
  <si>
    <t>BrgyBonuanBoquig_DagupanCity_Pangasinan_MM</t>
  </si>
  <si>
    <t>PH030840</t>
  </si>
  <si>
    <t>NS-NTG22-G40</t>
  </si>
  <si>
    <t>VOAHousing_BrgyBalibago_AngelesCity_Pampanga_MM</t>
  </si>
  <si>
    <t>PH030849</t>
  </si>
  <si>
    <t>NS-NTG22-G41</t>
  </si>
  <si>
    <t>SantaMariaSubd_BrgySanFrancisco_MabalacatCity_Pampanga_MM</t>
  </si>
  <si>
    <t>AEC</t>
  </si>
  <si>
    <t>Mabalacat City</t>
  </si>
  <si>
    <t>PH150157</t>
  </si>
  <si>
    <t>NS-NTG22-G43</t>
  </si>
  <si>
    <t>AteneoDeMapaway_BrgyBulanaoNorte_TabukCity_Kalinga_MM</t>
  </si>
  <si>
    <t>FTAPPQ0014563</t>
  </si>
  <si>
    <t>FTAPPO0013683</t>
  </si>
  <si>
    <t>PH010378</t>
  </si>
  <si>
    <t>NS-NTG22-G92</t>
  </si>
  <si>
    <t>BrgyMagnuang_Batac_IlocosNorte</t>
  </si>
  <si>
    <t>City of Batac</t>
  </si>
  <si>
    <t>PH010373</t>
  </si>
  <si>
    <t>NS-NTG22-G94</t>
  </si>
  <si>
    <t>BrgyMaglaoiSur_Currimao_IlocosNOrte</t>
  </si>
  <si>
    <t>Currimao</t>
  </si>
  <si>
    <t>FTAPPQ0013381</t>
  </si>
  <si>
    <t>FTAPPO0012505</t>
  </si>
  <si>
    <t>10/7/25: Waiting BoQ Approval</t>
  </si>
  <si>
    <t>PH150215</t>
  </si>
  <si>
    <t>NS-NTG23-B55</t>
  </si>
  <si>
    <t>BrgyChupac_Barlig_MountainProvince_RURALSTAR_POC</t>
  </si>
  <si>
    <t>Barlig</t>
  </si>
  <si>
    <t>a.4. LOI to possible lessor</t>
  </si>
  <si>
    <t>PH090239</t>
  </si>
  <si>
    <t>NS-NTG23-D20</t>
  </si>
  <si>
    <t>Brgy.Lingasad01_Polanco_ZamboangaDelNorte</t>
  </si>
  <si>
    <t>Polanco</t>
  </si>
  <si>
    <t>PH100305</t>
  </si>
  <si>
    <t>NS-NTG23-D21</t>
  </si>
  <si>
    <t>Brgy.Kisolon_Sumilao_Bukidnon</t>
  </si>
  <si>
    <t>Sumilao</t>
  </si>
  <si>
    <t>Purok 1</t>
  </si>
  <si>
    <t>21/07/2025</t>
  </si>
  <si>
    <t>PH090213</t>
  </si>
  <si>
    <t>NS-NTG23-D23</t>
  </si>
  <si>
    <t>Brgy.Punta_DipologCity(Capital)_ZamboangaDelNorte</t>
  </si>
  <si>
    <t>PH100409</t>
  </si>
  <si>
    <t>NS-NTG23-D34</t>
  </si>
  <si>
    <t>Highway_laFortuna_Impasug-ong_bukidnon</t>
  </si>
  <si>
    <t>PH130140</t>
  </si>
  <si>
    <t>NS-NTG23-D40</t>
  </si>
  <si>
    <t>Brgy.Manat_Trento_AgusanDelSur</t>
  </si>
  <si>
    <t>29/06/2025</t>
  </si>
  <si>
    <t>Angkat Construction and Supplies</t>
  </si>
  <si>
    <t>PH110559</t>
  </si>
  <si>
    <t>NS-NTG23-D49</t>
  </si>
  <si>
    <t>Brgy.Langub01_DavaoCity_DDS</t>
  </si>
  <si>
    <t>PH120342</t>
  </si>
  <si>
    <t>NS-NTG23-D51</t>
  </si>
  <si>
    <t>Brgy.Sinawal04_GeneralSantosCity_SouthCotabato</t>
  </si>
  <si>
    <t>PH120378</t>
  </si>
  <si>
    <t>NS-NTG23-D52</t>
  </si>
  <si>
    <t>Brgy.Sadsalan_Lambayong(MarianoMarcos)_SultanKudarat</t>
  </si>
  <si>
    <t>PH110613</t>
  </si>
  <si>
    <t>NS-NTG23-D82</t>
  </si>
  <si>
    <t>Brgy.BiaoEscuela_DavaoCity_DavaoDelSur</t>
  </si>
  <si>
    <t>PH140266</t>
  </si>
  <si>
    <t>NS-NTG23-D83</t>
  </si>
  <si>
    <t>Brgy.Kapinpilan_Ampatuan_Maguindanao</t>
  </si>
  <si>
    <t>PH100313</t>
  </si>
  <si>
    <t>NS-NTG23-D90</t>
  </si>
  <si>
    <t>Brgy.Sankanan_ManoloFortich_Bukidnon</t>
  </si>
  <si>
    <t>PH090231</t>
  </si>
  <si>
    <t>NS-NTG23-D98</t>
  </si>
  <si>
    <t>Brgy.Victoria02_ZamboangaCity_ZamboangaDelSur</t>
  </si>
  <si>
    <t>PH140249</t>
  </si>
  <si>
    <t>NS-NTG23-E05</t>
  </si>
  <si>
    <t>Brgy.Tukanalipao_Mamasapano_Maguindanao</t>
  </si>
  <si>
    <t>PH090228</t>
  </si>
  <si>
    <t>NS-NTG23-E08</t>
  </si>
  <si>
    <t>Brgy.Buenavista01_ZamboangaCity_ZamboangaDelSur</t>
  </si>
  <si>
    <t>PH110610</t>
  </si>
  <si>
    <t>NS-NTG23-E11</t>
  </si>
  <si>
    <t>Brgy.Mulig02_DavaoCity_DavaoDelSur</t>
  </si>
  <si>
    <t>PH120340</t>
  </si>
  <si>
    <t>NS-NTG23-E26</t>
  </si>
  <si>
    <t>Brgy.Katangawan01_GeneralSantosCity_SouthCotabato</t>
  </si>
  <si>
    <t>PH110616</t>
  </si>
  <si>
    <t>NS-NTG23-E48</t>
  </si>
  <si>
    <t>Brgy.SanIsidro(Licanan)_DavaoCity_DavaoDelSur</t>
  </si>
  <si>
    <t>PH120349</t>
  </si>
  <si>
    <t>NS-NTG23-E62</t>
  </si>
  <si>
    <t>Brgy.Fatima02_GeneralSantosCity_SouthCotabato</t>
  </si>
  <si>
    <t>PH090209</t>
  </si>
  <si>
    <t>NS-NTG23-E72</t>
  </si>
  <si>
    <t>Brgy.Ilaya_DapitanCity_ZamboangaDelNorte</t>
  </si>
  <si>
    <t>City of Dapitan</t>
  </si>
  <si>
    <t>SGDynamics Construction OPC</t>
  </si>
  <si>
    <t>PH100303</t>
  </si>
  <si>
    <t>NS-NTG23-E96</t>
  </si>
  <si>
    <t>Brgy.Alae_ManoloFortich_BUKIDNON</t>
  </si>
  <si>
    <t>PH100336</t>
  </si>
  <si>
    <t>NS-NTG23-E97</t>
  </si>
  <si>
    <t>Brgy.Cabangahan_MalaybalayCity(Capital)_Bukidnon</t>
  </si>
  <si>
    <t>PH100360</t>
  </si>
  <si>
    <t>NS-NTG23-F04</t>
  </si>
  <si>
    <t>Brgy.Robocon_Linamon_LanaoDelNorte</t>
  </si>
  <si>
    <t>LANECO</t>
  </si>
  <si>
    <t>Lanao del Norte</t>
  </si>
  <si>
    <t>Linamon</t>
  </si>
  <si>
    <t>Brgy. Taytay, Ditucalan, Iligan City</t>
  </si>
  <si>
    <t>PH130179</t>
  </si>
  <si>
    <t>NS-NTG23-F06</t>
  </si>
  <si>
    <t>Brgy.Garcia_SantaMonica(Sapao)_SurigaoDelNorte</t>
  </si>
  <si>
    <t>Santa Monica</t>
  </si>
  <si>
    <t>PH100315</t>
  </si>
  <si>
    <t>NS-NTG23-F10</t>
  </si>
  <si>
    <t>TcoColoc_Brgy.Magoong_Linamon_LanaoDelNorte</t>
  </si>
  <si>
    <t>PH100376</t>
  </si>
  <si>
    <t>NS-NTG23-F23</t>
  </si>
  <si>
    <t>Brgy.Poblacion_Impasug-ong_Bukidnon</t>
  </si>
  <si>
    <t>Impasug-ong</t>
  </si>
  <si>
    <t>Sitio CMK</t>
  </si>
  <si>
    <t>PH140234</t>
  </si>
  <si>
    <t>NS-NTG23-F24</t>
  </si>
  <si>
    <t>Brgy.Tanum_Patikul_Sulu</t>
  </si>
  <si>
    <t>Patikul</t>
  </si>
  <si>
    <t>PH090216</t>
  </si>
  <si>
    <t>NS-NTG23-F25</t>
  </si>
  <si>
    <t>Brgy.Sulangon_DapitanCity_ZamboangaDelNorte</t>
  </si>
  <si>
    <t>Purok Molave</t>
  </si>
  <si>
    <t>16/09/2025</t>
  </si>
  <si>
    <t>PH090225</t>
  </si>
  <si>
    <t>NS-NTG23-F28</t>
  </si>
  <si>
    <t>Brgy.Lantian_Labangan_ZamboangaDelSur</t>
  </si>
  <si>
    <t>ZAMSURECO I</t>
  </si>
  <si>
    <t>Labangan</t>
  </si>
  <si>
    <t>PH100275</t>
  </si>
  <si>
    <t>NS-NTG23-F53</t>
  </si>
  <si>
    <t>Brgy.Lapasan03_CagayanDeOroCity(Capital)_MisamisOriental</t>
  </si>
  <si>
    <t>PH100326</t>
  </si>
  <si>
    <t>NS-NTG23-F85</t>
  </si>
  <si>
    <t>Brgy.Bacusanon_Pangantucan_Bukidnon</t>
  </si>
  <si>
    <t>FIBECO</t>
  </si>
  <si>
    <t>Pangantucan</t>
  </si>
  <si>
    <t>PH130180</t>
  </si>
  <si>
    <t>NS-NTG23-G24</t>
  </si>
  <si>
    <t>Brgy.SantaFe_GeneralLuna_SurigaoDelNorte</t>
  </si>
  <si>
    <t xml:space="preserve">PH070523 
</t>
  </si>
  <si>
    <t>NS-NTG23-H06</t>
  </si>
  <si>
    <t>T6BU_BrgySabang_LARENA_SIQUIJOR</t>
  </si>
  <si>
    <t>PH060456</t>
  </si>
  <si>
    <t>NS-NTG23-H45</t>
  </si>
  <si>
    <t>T6BU_BrgyBarangay5(Pob.)_SanJose_Antique_MACRO_CAPCOV2023</t>
  </si>
  <si>
    <t>ANTECO</t>
  </si>
  <si>
    <t>San Jose (Capital)</t>
  </si>
  <si>
    <t>PH100389</t>
  </si>
  <si>
    <t>NS-NTG23-J12</t>
  </si>
  <si>
    <t>Brgy.Dahilayan_ManoloFortich_Bukidnon</t>
  </si>
  <si>
    <t>PH070438</t>
  </si>
  <si>
    <t>NS-NTG23-J35</t>
  </si>
  <si>
    <t>T6BU_BrgyCabulihan_TUBIGON_BOHOL_MACRO_COV2023</t>
  </si>
  <si>
    <t>BOHECO I</t>
  </si>
  <si>
    <t>Tubigon</t>
  </si>
  <si>
    <t>Abba Electricware Corp.</t>
  </si>
  <si>
    <t>PH140265</t>
  </si>
  <si>
    <t>NS-NTG23-J86</t>
  </si>
  <si>
    <t>Brgy.Katil_DatuPaglas_Maguindanao</t>
  </si>
  <si>
    <t>PH110617</t>
  </si>
  <si>
    <t>NS-NTG23-K03</t>
  </si>
  <si>
    <t>MarilogDistrictHostpital_BrgyMarilog_DavaoCity_DDS</t>
  </si>
  <si>
    <t>PH050295</t>
  </si>
  <si>
    <t>NS-NTG23-K63</t>
  </si>
  <si>
    <t>2023CapSite_BrgyPanaytayan_Ragay_CamarinesSur</t>
  </si>
  <si>
    <t>CASURECO I</t>
  </si>
  <si>
    <t>Waiting for ROW nego to INC</t>
  </si>
  <si>
    <t>PH110564</t>
  </si>
  <si>
    <t>NS-NTG23-K65</t>
  </si>
  <si>
    <t>Brgy.Langub02_DavaoCity_DDS</t>
  </si>
  <si>
    <t>PH130146</t>
  </si>
  <si>
    <t>NS-NTG23-O16</t>
  </si>
  <si>
    <t>Brgy.Bretania_SanAgustin_SurigaoDelSur</t>
  </si>
  <si>
    <t>San Agustin</t>
  </si>
  <si>
    <t>Purok 5</t>
  </si>
  <si>
    <t>PH030845</t>
  </si>
  <si>
    <t>NS-NTG23-O43</t>
  </si>
  <si>
    <t>BrgyDuhat_Bocaue_Bulacan_PhArena</t>
  </si>
  <si>
    <t>Bocaue</t>
  </si>
  <si>
    <t>FTAPPQ0012925</t>
  </si>
  <si>
    <t>FTAPPO0012058</t>
  </si>
  <si>
    <t>10/20/2025: Awaiting survey design from Meralco.</t>
  </si>
  <si>
    <t>PH030828</t>
  </si>
  <si>
    <t>NS-NTG23-P03</t>
  </si>
  <si>
    <t>BrgyBawa_Gerona_Tarlac_T2</t>
  </si>
  <si>
    <t>TSSR Approved by D&amp;E/PMO</t>
  </si>
  <si>
    <t>PH010401</t>
  </si>
  <si>
    <t>NS-NTG23-P13</t>
  </si>
  <si>
    <t>BrgyLasip_Lingayen (Capital)_Pangasinan_T2</t>
  </si>
  <si>
    <t>Lingayen (Capital)</t>
  </si>
  <si>
    <t>Billing Arrears</t>
  </si>
  <si>
    <t>10/20 waiting for energization schedule for TTC  
10/13 waiting for energization schedule 
10/9/25; Waiting Tempo Energization</t>
  </si>
  <si>
    <t>10/13 for transformer testing and materials and final  inspection, follow up postcon permits</t>
  </si>
  <si>
    <t>PH010461</t>
  </si>
  <si>
    <t>NS-NTG23-P14</t>
  </si>
  <si>
    <t>BrgyLucao_DagupanCity_Pangasinan_BangusFest</t>
  </si>
  <si>
    <t>PH030807</t>
  </si>
  <si>
    <t>NS-NTG23-P29</t>
  </si>
  <si>
    <t>BrgySanJose_TarlacCity_Tarlac_Shout</t>
  </si>
  <si>
    <t>PH150125</t>
  </si>
  <si>
    <t>NS-NTG23-P37</t>
  </si>
  <si>
    <t>TCO_BrgyTinoc_Ifugao_Benguet</t>
  </si>
  <si>
    <t>IFELCO</t>
  </si>
  <si>
    <t>For Permanent power</t>
  </si>
  <si>
    <t>FTAPPQ0011572</t>
  </si>
  <si>
    <t>FTAPPO0010801</t>
  </si>
  <si>
    <t xml:space="preserve">10/6/25: Waiting for COOP inspection prior to energizationon schedule and approval of NEA.
</t>
  </si>
  <si>
    <t>PH010337</t>
  </si>
  <si>
    <t>NS-NTG23-P98</t>
  </si>
  <si>
    <t>BrgyNavotasSouth_LaoagCIty_IlocosNorte_SandDunes</t>
  </si>
  <si>
    <t>City of Laoag (Capital)</t>
  </si>
  <si>
    <t>PH010305</t>
  </si>
  <si>
    <t>NS-NTG23-Q01</t>
  </si>
  <si>
    <t>BrgyPoblacion2_Pasuquin_IlocosNorte</t>
  </si>
  <si>
    <t>FTAPPQ0011524</t>
  </si>
  <si>
    <t>FTAPPO0010746</t>
  </si>
  <si>
    <t>PH030842</t>
  </si>
  <si>
    <t>NS-NTG23-Q06</t>
  </si>
  <si>
    <t>BrgyBalibago_AngelesCity_Pampanga_HotAirFest3</t>
  </si>
  <si>
    <t>PH110611</t>
  </si>
  <si>
    <t>NS-NTG23-Q25</t>
  </si>
  <si>
    <t>BrgyMulig02_DavaoCity_DDS</t>
  </si>
  <si>
    <t>PH110627</t>
  </si>
  <si>
    <t>NS-NTG23-Q27</t>
  </si>
  <si>
    <t>Brgy.NewValencia02_DavaoCity_DDS</t>
  </si>
  <si>
    <t>PH110578</t>
  </si>
  <si>
    <t>NS-NTG23-Q30</t>
  </si>
  <si>
    <t>Quality_BrgyAplaya02_DigosCity_DDS</t>
  </si>
  <si>
    <t>City of Digos (Capital)</t>
  </si>
  <si>
    <t>Luna Bataan Street</t>
  </si>
  <si>
    <t>PH100325</t>
  </si>
  <si>
    <t>NS-NTG23-Q32</t>
  </si>
  <si>
    <t>BrgyMiglamin_Malaybalay_Bukidnon</t>
  </si>
  <si>
    <t>Purok 1A</t>
  </si>
  <si>
    <t>PH140193</t>
  </si>
  <si>
    <t>NS-NTG23-Q34</t>
  </si>
  <si>
    <t>BrgyCabasaran_MarawiCity_LanaodelSur</t>
  </si>
  <si>
    <t>LASURECO</t>
  </si>
  <si>
    <t>Lanao del Sur</t>
  </si>
  <si>
    <t>City of Marawi (Capital)</t>
  </si>
  <si>
    <t>P-3</t>
  </si>
  <si>
    <t>PH100328</t>
  </si>
  <si>
    <t>NS-NTG23-Q38</t>
  </si>
  <si>
    <t>BrgySinuda (Simod)_Kitaotao_Bukidnon</t>
  </si>
  <si>
    <t>Kitaotao</t>
  </si>
  <si>
    <t>PH100348</t>
  </si>
  <si>
    <t>NS-NTG23-Q43</t>
  </si>
  <si>
    <t>BrgyMaraymaray_DON CARLOS_BUK</t>
  </si>
  <si>
    <t>Don Carlos</t>
  </si>
  <si>
    <t>PH130137</t>
  </si>
  <si>
    <t>NS-NTG23-Q46</t>
  </si>
  <si>
    <t>BrgyDoongan_ButuanCity_AGN</t>
  </si>
  <si>
    <t>Brgy. Ambago, Butuan City, Agusan del Norte</t>
  </si>
  <si>
    <t>PH110567</t>
  </si>
  <si>
    <t>NS-NTG23-Q54</t>
  </si>
  <si>
    <t>Brgy.Magatos01_Asuncion(Saug)_DavaoDelNorte</t>
  </si>
  <si>
    <t>Asuncion</t>
  </si>
  <si>
    <t>PH090215</t>
  </si>
  <si>
    <t>NS-NTG23-Q89</t>
  </si>
  <si>
    <t>Brgy.Tiayon_Ipil(Capital)_ZamboangaSibugay</t>
  </si>
  <si>
    <t>PH090210</t>
  </si>
  <si>
    <t>NS-NTG23-Q91</t>
  </si>
  <si>
    <t>Brgy.Obay_Polanco_ZamboangaDelNorte</t>
  </si>
  <si>
    <t>PH090233</t>
  </si>
  <si>
    <t>NS-NTG23-Q98</t>
  </si>
  <si>
    <t>Brgy.LowerBayao_Tukuran_ZamboangaDelSur</t>
  </si>
  <si>
    <t>Tukuran</t>
  </si>
  <si>
    <t>PH090238</t>
  </si>
  <si>
    <t>NS-NTG23-R09</t>
  </si>
  <si>
    <t>Brgy.Guilawa_Malangas_ZamboangaSibugay</t>
  </si>
  <si>
    <t>Malangas</t>
  </si>
  <si>
    <t>PH100387</t>
  </si>
  <si>
    <t>NS-TER24-A102</t>
  </si>
  <si>
    <t>Brgy.Pook_Talisayan_MisamisOriental</t>
  </si>
  <si>
    <t>Talisayan</t>
  </si>
  <si>
    <t>PH100367</t>
  </si>
  <si>
    <t>NS-TER24-A124</t>
  </si>
  <si>
    <t>Brgy.SantaAna01_Tagoloan_MisamisOriental</t>
  </si>
  <si>
    <t>Tagoloan</t>
  </si>
  <si>
    <t>Zone 3</t>
  </si>
  <si>
    <t>19/09/2025</t>
  </si>
  <si>
    <t>PH100278</t>
  </si>
  <si>
    <t>NS-TER24-A141</t>
  </si>
  <si>
    <t>Brgy.Tablon02_CagayanDeOroCity(Capital)_MisamisOriental</t>
  </si>
  <si>
    <t>PH120357</t>
  </si>
  <si>
    <t>NS-TER24-A142</t>
  </si>
  <si>
    <t>Brgy.Klubi_LakeSebu_SouthCotabato</t>
  </si>
  <si>
    <t>PH100293</t>
  </si>
  <si>
    <t>NS-TER24-A152</t>
  </si>
  <si>
    <t>Brgy.Ulaliman_ElSalvadorCity_MisamisOriental</t>
  </si>
  <si>
    <t>PH100366</t>
  </si>
  <si>
    <t>NS-TER24-A160</t>
  </si>
  <si>
    <t>Brgy.Natubo01_Jasaan_MisamisOriental</t>
  </si>
  <si>
    <t>PH100337</t>
  </si>
  <si>
    <t>NS-TER24-A168</t>
  </si>
  <si>
    <t>Brgy.Pagawan01_Manticao_MisamisOriental</t>
  </si>
  <si>
    <t>Manticao</t>
  </si>
  <si>
    <t>19/08/2025</t>
  </si>
  <si>
    <t>PH110625</t>
  </si>
  <si>
    <t>NS-TER24-A182</t>
  </si>
  <si>
    <t>Brgy.Subasta01_DavaoCity_DavaoDelSur</t>
  </si>
  <si>
    <t>PH100323</t>
  </si>
  <si>
    <t>NS-TER24-A201</t>
  </si>
  <si>
    <t>Brgy.Matangad_Gitagum_MisamisOriental</t>
  </si>
  <si>
    <t>Gitagum</t>
  </si>
  <si>
    <t>Brgy. Matangad, Gitagum, Misamis Oriental</t>
  </si>
  <si>
    <t>PH100329</t>
  </si>
  <si>
    <t>NS-TER24-A209</t>
  </si>
  <si>
    <t>Brgy.Tambagan_Medina_MisamisOriental</t>
  </si>
  <si>
    <t>Medina</t>
  </si>
  <si>
    <t>S.A.S Electrical Engineering Services</t>
  </si>
  <si>
    <t>PH100365</t>
  </si>
  <si>
    <t>NS-TER24-A226</t>
  </si>
  <si>
    <t>Brgy.Baybay_Alubijid_MisamisOriental</t>
  </si>
  <si>
    <t>Alubijid</t>
  </si>
  <si>
    <t>PH100401</t>
  </si>
  <si>
    <t>NS-TER24-A244</t>
  </si>
  <si>
    <t>Brgy.SanJuan_GingoogCity_MisamisOriental</t>
  </si>
  <si>
    <t>PH100382</t>
  </si>
  <si>
    <t>NS-TER24-A251</t>
  </si>
  <si>
    <t>Brgy.Gimaylan_Libertad_MisamisOriental</t>
  </si>
  <si>
    <t>Libertad</t>
  </si>
  <si>
    <t>PH100379</t>
  </si>
  <si>
    <t>NS-TER24-A264</t>
  </si>
  <si>
    <t>Brgy.Hinaplanan01_Claveria_MisamisOriental</t>
  </si>
  <si>
    <t>Claveria</t>
  </si>
  <si>
    <t>PH100332</t>
  </si>
  <si>
    <t>NS-TER24-A273</t>
  </si>
  <si>
    <t>Brgy.Poblacion_Gitagum_MisamisOriental</t>
  </si>
  <si>
    <t>PH100291</t>
  </si>
  <si>
    <t>NS-TER24-A285</t>
  </si>
  <si>
    <t>Brgy.Lumbia03_CagayanDeOroCity(Capital)_MisamisOriental</t>
  </si>
  <si>
    <t>25/09/2025</t>
  </si>
  <si>
    <t>PH100308</t>
  </si>
  <si>
    <t>NS-TER24-A286</t>
  </si>
  <si>
    <t>Brgy.SantaCruz01_Claveria_MisamisOriental</t>
  </si>
  <si>
    <t>26/09/2025</t>
  </si>
  <si>
    <t>PH100363</t>
  </si>
  <si>
    <t>NS-TER24-A319</t>
  </si>
  <si>
    <t>Brgy.Cabalantian02_Manticao_MisamisOriental</t>
  </si>
  <si>
    <t>Purok Bougainvilla</t>
  </si>
  <si>
    <t>25/07/2025</t>
  </si>
  <si>
    <t>PH110628</t>
  </si>
  <si>
    <t>NS-TER24-A325</t>
  </si>
  <si>
    <t>Brgy.Saloy_DavaoCity_DavaoDelSur</t>
  </si>
  <si>
    <t>PH100372</t>
  </si>
  <si>
    <t>NS-TER24-A33</t>
  </si>
  <si>
    <t>Brgy.Puerto01_CagayanDeOroCity(Capital)_MisamisOriental</t>
  </si>
  <si>
    <t>PH110614</t>
  </si>
  <si>
    <t>NS-TER24-A331</t>
  </si>
  <si>
    <t>Brgy.Tamugan_DavaoCity_DavaoDelSur</t>
  </si>
  <si>
    <t>PH110621</t>
  </si>
  <si>
    <t>NS-TER24-A333</t>
  </si>
  <si>
    <t>Brgy.Maraga-a_Kiblawan_DavaoDelSur</t>
  </si>
  <si>
    <t>Kiblawan</t>
  </si>
  <si>
    <t>PH090230</t>
  </si>
  <si>
    <t>NS-TER24-A354</t>
  </si>
  <si>
    <t>Brgy.Baluno_ZamboangaCity_ZamboangaDelSur</t>
  </si>
  <si>
    <t>PH110607</t>
  </si>
  <si>
    <t>NS-TER24-A355</t>
  </si>
  <si>
    <t>Brgy.Litos_Kiblawan_DavaoDelSur</t>
  </si>
  <si>
    <t>PH100364</t>
  </si>
  <si>
    <t>NS-TER24-A398</t>
  </si>
  <si>
    <t>Brgy.Tubajon02_Laguindingan_MisamisOriental</t>
  </si>
  <si>
    <t>Laguindingan</t>
  </si>
  <si>
    <t>FTAPPQ0013406</t>
  </si>
  <si>
    <t>FTAPPO0012512</t>
  </si>
  <si>
    <t>PH100380</t>
  </si>
  <si>
    <t>NS-TER24-A415</t>
  </si>
  <si>
    <t>Brgy.Pagatpat03_CagayanDeOroCity(Capital)_MisamisOriental</t>
  </si>
  <si>
    <t>PH100331</t>
  </si>
  <si>
    <t>NS-TER24-A43</t>
  </si>
  <si>
    <t>Brgy.Patag_Manticao_MisamisOriental</t>
  </si>
  <si>
    <t>PH100378</t>
  </si>
  <si>
    <t>NS-TER24-A435</t>
  </si>
  <si>
    <t>Brgy.Dulong_Libertad_MisamisOriental</t>
  </si>
  <si>
    <t>PH100344</t>
  </si>
  <si>
    <t>NS-TER24-A458</t>
  </si>
  <si>
    <t>Brgy.Alipuaton01_Salay_MisamisOriental</t>
  </si>
  <si>
    <t>Salay</t>
  </si>
  <si>
    <t>PH100388</t>
  </si>
  <si>
    <t>NS-TER24-A469</t>
  </si>
  <si>
    <t>Brgy.Lanise03_Claveria_MisamisOriental</t>
  </si>
  <si>
    <t>PH100307</t>
  </si>
  <si>
    <t>NS-TER24-A47</t>
  </si>
  <si>
    <t>Brgy.Jampason_Jasaan_MisamisOriental</t>
  </si>
  <si>
    <t>PH100296</t>
  </si>
  <si>
    <t>NS-TER24-A49</t>
  </si>
  <si>
    <t>Brgy.Malanang01_Opol_MisamisOriental</t>
  </si>
  <si>
    <t>Opol</t>
  </si>
  <si>
    <t>PH100309</t>
  </si>
  <si>
    <t>NS-TER24-A496</t>
  </si>
  <si>
    <t>Brgy.Balubal_CagayanDeOroCity(Capital)_MisamisOriental</t>
  </si>
  <si>
    <t>PH110562</t>
  </si>
  <si>
    <t>NS-TER24-A546</t>
  </si>
  <si>
    <t>Brgy.Magtuod_DavaoCity_DavaoDelSur</t>
  </si>
  <si>
    <t>PH100374</t>
  </si>
  <si>
    <t>NS-TER24-A548</t>
  </si>
  <si>
    <t>Brgy.Agusan_CagayanDeOroCity(Capital)_MisamisOriental</t>
  </si>
  <si>
    <t>PH100289</t>
  </si>
  <si>
    <t>NS-TER24-A57</t>
  </si>
  <si>
    <t>Brgy.Ani-e01_Claveria_MisamisOriental</t>
  </si>
  <si>
    <t>Brgy. Patrocino, Claveria, Misamis Oriental</t>
  </si>
  <si>
    <t>PH100370</t>
  </si>
  <si>
    <t>NS-TER24-A62</t>
  </si>
  <si>
    <t>Brgy.Hinigdaan_ElSalvadorCity_MisamisOriental</t>
  </si>
  <si>
    <t>PH110624</t>
  </si>
  <si>
    <t>NS-TER24-A632</t>
  </si>
  <si>
    <t>Brgy.Binaton02_DigosCity(Capital)_DavaoDelSur</t>
  </si>
  <si>
    <t>PH110615</t>
  </si>
  <si>
    <t>NS-TER24-A639</t>
  </si>
  <si>
    <t>Brgy.Dacudao01_DavaoCity_DavaoDelSur</t>
  </si>
  <si>
    <t>PH110608</t>
  </si>
  <si>
    <t>NS-TER24-A664</t>
  </si>
  <si>
    <t>Brgy.Kimlawis02_Kiblawan_DavaoDelSur</t>
  </si>
  <si>
    <t>PH090223</t>
  </si>
  <si>
    <t>NS-TER24-A72</t>
  </si>
  <si>
    <t>Brgy.Esperanza_RamonMagsaysay(Liargo)_ZamboangaDelSur</t>
  </si>
  <si>
    <t>Ramon Magsaysay</t>
  </si>
  <si>
    <t>PH140250</t>
  </si>
  <si>
    <t>NS-TER24-A757</t>
  </si>
  <si>
    <t>Brgy.Salbu_DatuSaudi-Ampatuan_Maguindanao</t>
  </si>
  <si>
    <t>PH110622</t>
  </si>
  <si>
    <t>NS-TER24-A76</t>
  </si>
  <si>
    <t>Brgy.Managa_Bansalan_DavaoDelSur</t>
  </si>
  <si>
    <t>PH140264</t>
  </si>
  <si>
    <t>NS-TER24-A789</t>
  </si>
  <si>
    <t>Brgy.Mapayag_DatuAnggalMidtimbang_Maguindanao</t>
  </si>
  <si>
    <t>PH090218</t>
  </si>
  <si>
    <t>NS-TER24-A831</t>
  </si>
  <si>
    <t>Brgy.Talinga_Bacungan(LeonT.Postigo)_ZamboangaDelNorte</t>
  </si>
  <si>
    <t>Bacungan</t>
  </si>
  <si>
    <t>PH100298</t>
  </si>
  <si>
    <t>NS-TER24-A84</t>
  </si>
  <si>
    <t>Brgy.Kalabaylabay_ElSalvadorCity_MisamisOriental</t>
  </si>
  <si>
    <t>PH100355</t>
  </si>
  <si>
    <t>NS-TER24-A898</t>
  </si>
  <si>
    <t>Brgy.Butong02_Quezon_Bukidnon</t>
  </si>
  <si>
    <t>Quezon</t>
  </si>
  <si>
    <t>PH100362</t>
  </si>
  <si>
    <t>NS-TER24-A928</t>
  </si>
  <si>
    <t>Brgy.Gango_OzamizCity_MisamisOccidental</t>
  </si>
  <si>
    <t>PH020184</t>
  </si>
  <si>
    <t>NS-TER24-B101</t>
  </si>
  <si>
    <t>HT_MP_BrgyVillaColoma(Pob.)_Bagabag_NuevaVizcaya</t>
  </si>
  <si>
    <t>NUVELCO</t>
  </si>
  <si>
    <t>Nueva Vizcaya</t>
  </si>
  <si>
    <t>Bagabag</t>
  </si>
  <si>
    <t>FTAPPQ0013223</t>
  </si>
  <si>
    <t>FTAPPO0012350</t>
  </si>
  <si>
    <t>PH150165</t>
  </si>
  <si>
    <t>NS-TER24-B105</t>
  </si>
  <si>
    <t>HT_MP1_BrgyPaoay_Atok_Benguet</t>
  </si>
  <si>
    <t>BENECO</t>
  </si>
  <si>
    <t>Benguet</t>
  </si>
  <si>
    <t>Atok</t>
  </si>
  <si>
    <t>FTAPPQ0014360</t>
  </si>
  <si>
    <t>FTAPPO0013487</t>
  </si>
  <si>
    <t>PH010324</t>
  </si>
  <si>
    <t>NS-TER24-B106</t>
  </si>
  <si>
    <t>HT_MP_BrgyLubnac_Vintar_ILOCOSNORTE</t>
  </si>
  <si>
    <t>Vintar</t>
  </si>
  <si>
    <t>PH020188</t>
  </si>
  <si>
    <t>NS-TER24-B107</t>
  </si>
  <si>
    <t>HT_MP_BrgyBoneSouth_Aritao_NuevaVizcaya</t>
  </si>
  <si>
    <t>Aritao</t>
  </si>
  <si>
    <t>FTAPPQ0013864</t>
  </si>
  <si>
    <t>FTAPPO0012993</t>
  </si>
  <si>
    <t>PH010341</t>
  </si>
  <si>
    <t>NS-TER24-B108</t>
  </si>
  <si>
    <t>HT_MP_BrgyBanbanaal_Banayoyo_IlocosSur</t>
  </si>
  <si>
    <t>Banayoyo</t>
  </si>
  <si>
    <t>PH150207</t>
  </si>
  <si>
    <t>NS-TER24-B109</t>
  </si>
  <si>
    <t>HT_MP_Mainit_Bontoc(Capital)_MountainProvince</t>
  </si>
  <si>
    <t>Bontoc (Capital)</t>
  </si>
  <si>
    <t>PH010407</t>
  </si>
  <si>
    <t>NS-TER24-B110</t>
  </si>
  <si>
    <t>HT_MP_BrgyBatnag_Infanta_PANGASINAN</t>
  </si>
  <si>
    <t>PANELCO I</t>
  </si>
  <si>
    <t>Infanta</t>
  </si>
  <si>
    <t>10/13 waiting for energization schedule 
10/11 COL contract signed  notarized
10/5/25: COOP applied; waiting COOP Assessment</t>
  </si>
  <si>
    <t>10/13 waiting COOP SOA prior to submit the BOQ</t>
  </si>
  <si>
    <t>PH020190</t>
  </si>
  <si>
    <t>NS-TER24-B112</t>
  </si>
  <si>
    <t>HT_MP_BrgyTabueng_Aritao_NuevaVizcaya</t>
  </si>
  <si>
    <t>PH010335</t>
  </si>
  <si>
    <t>NS-TER24-B115</t>
  </si>
  <si>
    <t>208WT_BrgySantiago_Marcos_IlocosNorte</t>
  </si>
  <si>
    <t>Marcos</t>
  </si>
  <si>
    <t>FTAPPQ0013534</t>
  </si>
  <si>
    <t>FTAPPO0012680</t>
  </si>
  <si>
    <t>10/7/25: Waiting BoQ Approval &amp; Submission of Signed Staking Sheet</t>
  </si>
  <si>
    <t>PH010453</t>
  </si>
  <si>
    <t>NS-TER24-B121</t>
  </si>
  <si>
    <t>HT_MP_BrgyDalumpinas_SanNicolas_PANGASINAN</t>
  </si>
  <si>
    <t>PH030821</t>
  </si>
  <si>
    <t>NS-TER24-B124</t>
  </si>
  <si>
    <t>HT_MP_Mamonit_Mayantoc_Tarlac</t>
  </si>
  <si>
    <t>Mayantoc</t>
  </si>
  <si>
    <t>FTAPPQ0014580</t>
  </si>
  <si>
    <t>FTAPPO0013709</t>
  </si>
  <si>
    <t>MCEES CONSTRUCTION</t>
  </si>
  <si>
    <t>PH010381</t>
  </si>
  <si>
    <t>NS-TER24-B131</t>
  </si>
  <si>
    <t>HT_MP_BrgyComillasSouth_Cervantes_IlocosSur</t>
  </si>
  <si>
    <t>Cervantes</t>
  </si>
  <si>
    <t>10/7/25: BP just released; To submit it to COOP; Pending energization as it is located in remote area
10/5/25: Tempo Connection Permit secured; waiting BP copy for energization</t>
  </si>
  <si>
    <t>FTAPPQ0013919</t>
  </si>
  <si>
    <t>FTAPPO0013027</t>
  </si>
  <si>
    <t>PH020199</t>
  </si>
  <si>
    <t>NS-TER24-B133</t>
  </si>
  <si>
    <t>HT_MP_BrgyMaguirig_SOLANA_CAGAYAN</t>
  </si>
  <si>
    <t>CAGELCO I</t>
  </si>
  <si>
    <t>Solana</t>
  </si>
  <si>
    <t>FTAPPQ0013158</t>
  </si>
  <si>
    <t>FTAPPO0012291</t>
  </si>
  <si>
    <t>11/18 Energized 
10/6/25: Transformer Testing schedule 10/15/25; Waiting for power interruption schedule on pole insertion</t>
  </si>
  <si>
    <t>FTAPPQ0013088</t>
  </si>
  <si>
    <t>FTAPPO0012215</t>
  </si>
  <si>
    <t>10/6/25: Waiting COOP signed staking sheet for BoQ evaluation</t>
  </si>
  <si>
    <t>PH010331</t>
  </si>
  <si>
    <t>NS-TER24-B139</t>
  </si>
  <si>
    <t>HT_MP_BrgyBantugo_Nagbukel_IlocosSur</t>
  </si>
  <si>
    <t>Nagbukel</t>
  </si>
  <si>
    <t>PH010365</t>
  </si>
  <si>
    <t>NS-TER24-B140</t>
  </si>
  <si>
    <t>HT_MP_BrgyElefante_Banayoyo_IlocosSur</t>
  </si>
  <si>
    <t>PH150166</t>
  </si>
  <si>
    <t>NS-TER24-B142</t>
  </si>
  <si>
    <t>HT_MP_Tocucan_Bontoc(Capital)_MountainProvince</t>
  </si>
  <si>
    <t>PH010347</t>
  </si>
  <si>
    <t>NS-TER24-B144</t>
  </si>
  <si>
    <t>HT_MP_BrgyCaraisan_Magsingal_IlocosSur</t>
  </si>
  <si>
    <t>Magsingal</t>
  </si>
  <si>
    <t>30/08/2025</t>
  </si>
  <si>
    <t>PH010454</t>
  </si>
  <si>
    <t>NS-TER24-B146</t>
  </si>
  <si>
    <t>HT_MP_BrgyPetal_Dasol_PANGASINAN</t>
  </si>
  <si>
    <t>Dasol</t>
  </si>
  <si>
    <t>PH010368</t>
  </si>
  <si>
    <t>NS-TER24-B153</t>
  </si>
  <si>
    <t>HT_MP_BrgyAg-agrao_SantaMaria_IlocosSur</t>
  </si>
  <si>
    <t>PH030809</t>
  </si>
  <si>
    <t>NS-TER24-B157</t>
  </si>
  <si>
    <t>HT_MP_Bobon2nd_Camiling_Tarlac</t>
  </si>
  <si>
    <t>Camiling</t>
  </si>
  <si>
    <t>MPS Construction and Trading</t>
  </si>
  <si>
    <t>FTAPPQ0013164</t>
  </si>
  <si>
    <t>FTAPPO0012287</t>
  </si>
  <si>
    <t>MPS</t>
  </si>
  <si>
    <t>PH010342</t>
  </si>
  <si>
    <t>NS-TER24-B159</t>
  </si>
  <si>
    <t>HT_MP_BrgyBao-as_SantaLucia_IlocosSur</t>
  </si>
  <si>
    <t>Santa Lucia</t>
  </si>
  <si>
    <t>PH010325</t>
  </si>
  <si>
    <t>NS-TER24-B165</t>
  </si>
  <si>
    <t>HT_MP_BrgyManayon_Bangui_ILOCOSNORTE</t>
  </si>
  <si>
    <t>Bangui</t>
  </si>
  <si>
    <t>27/08/2025</t>
  </si>
  <si>
    <t>FTAPPQ0013222</t>
  </si>
  <si>
    <t>FTAPPO0012349</t>
  </si>
  <si>
    <t>PH150208</t>
  </si>
  <si>
    <t>NS-TER24-B174</t>
  </si>
  <si>
    <t>HT_MP1_Bun-ayan_Sabangan_MountainProvince</t>
  </si>
  <si>
    <t>Sabangan</t>
  </si>
  <si>
    <t>PH010348</t>
  </si>
  <si>
    <t>NS-TER24-B176</t>
  </si>
  <si>
    <t>HT_MP_BrgyCuliong_Salcedo(Baugen)_IlocosSur</t>
  </si>
  <si>
    <t>Salcedo</t>
  </si>
  <si>
    <t>19/04/2025</t>
  </si>
  <si>
    <t>PH010455</t>
  </si>
  <si>
    <t>NS-TER24-B178</t>
  </si>
  <si>
    <t>HT_MP_BrgyBaquioen01_Sual_PANGASINAN</t>
  </si>
  <si>
    <t>Sual</t>
  </si>
  <si>
    <t>PH010375</t>
  </si>
  <si>
    <t>NS-TER24-B183</t>
  </si>
  <si>
    <t>HT_MP_BrgyRosario(Pob.)_Cervantes_IlocosSur</t>
  </si>
  <si>
    <t>10/7/25: BP just released; To submit it to COOP; Pending energization as it is located in remote area</t>
  </si>
  <si>
    <t>PH020198</t>
  </si>
  <si>
    <t>NS-TER24-B188</t>
  </si>
  <si>
    <t>HT_MP_BrgySanPedro_LASAM_CAGAYAN</t>
  </si>
  <si>
    <t>Lasam</t>
  </si>
  <si>
    <t>BANGAYAN</t>
  </si>
  <si>
    <t>PH020195</t>
  </si>
  <si>
    <t>NS-TER24-B200</t>
  </si>
  <si>
    <t>HT_MP_BrgyDalena_SanPablo_Isabela</t>
  </si>
  <si>
    <t>San Pablo</t>
  </si>
  <si>
    <t>PH010408</t>
  </si>
  <si>
    <t>NS-TER24-B208</t>
  </si>
  <si>
    <t>HT_MP_BrgyBayambang_Infanta_PANGASINAN</t>
  </si>
  <si>
    <t>e.3. TSSR submitted to SAQ, awaiting VO input</t>
  </si>
  <si>
    <t>PH150209</t>
  </si>
  <si>
    <t>NS-TER24-B211</t>
  </si>
  <si>
    <t>HT_MP1_OtucanSur_Bauko_MountainProvince</t>
  </si>
  <si>
    <t>Bauko</t>
  </si>
  <si>
    <t>PH150153</t>
  </si>
  <si>
    <t>NS-TER24-B213</t>
  </si>
  <si>
    <t>HT_MP_BrgyNagtupacan_Lagangilang_Abra</t>
  </si>
  <si>
    <t>Abra</t>
  </si>
  <si>
    <t>Lagangilang</t>
  </si>
  <si>
    <t>10/5/25: Waiting for Tempo Energization; Tempo CFEI released</t>
  </si>
  <si>
    <t>PH020210</t>
  </si>
  <si>
    <t>NS-TER24-B216</t>
  </si>
  <si>
    <t>HT_MP_BrgyParug-parug_SOLANA_CAGAYAN</t>
  </si>
  <si>
    <t>FTAPPQ0012299</t>
  </si>
  <si>
    <t>FTAPPO0011515</t>
  </si>
  <si>
    <t>10/7/25: Rescheduled by COOP to 10/13/25
10/6/25: Transformer Testing schedule 10/15/25; Waiting for power interruption schedule on pole insertion</t>
  </si>
  <si>
    <t>10/6/25: Waiting BoQ Approval; signed staking sheet complied</t>
  </si>
  <si>
    <t>PH010336</t>
  </si>
  <si>
    <t>NS-TER24-B220</t>
  </si>
  <si>
    <t>208WT_BrgyEscoda_Marcos_IlocosNorte</t>
  </si>
  <si>
    <t>PH010340</t>
  </si>
  <si>
    <t>NS-TER24-B223</t>
  </si>
  <si>
    <t>HT_MP_BrgyBoyboy_Piddig_ILOCOSNORTE</t>
  </si>
  <si>
    <t>Piddig</t>
  </si>
  <si>
    <t>FTAPPQ0013399</t>
  </si>
  <si>
    <t>FTAPPO0012507</t>
  </si>
  <si>
    <t>PH020200</t>
  </si>
  <si>
    <t>NS-TER24-B225</t>
  </si>
  <si>
    <t>HT_MP_BrgyBackiling_Appari_Cagayan</t>
  </si>
  <si>
    <t>Aparri</t>
  </si>
  <si>
    <t xml:space="preserve">10/6/25:takeover site from Northflash to Bangayan; Tempo permit </t>
  </si>
  <si>
    <t>FTAPPQ0013533</t>
  </si>
  <si>
    <t>FTAPPO0012683</t>
  </si>
  <si>
    <t>PH150163</t>
  </si>
  <si>
    <t>NS-TER24-B230</t>
  </si>
  <si>
    <t>HT_MP_BrgyPoblacionEast_Pidigan_Abra</t>
  </si>
  <si>
    <t>Pidigan</t>
  </si>
  <si>
    <t>PH150152</t>
  </si>
  <si>
    <t>NS-TER24-B240</t>
  </si>
  <si>
    <t>HT_MP_BrgyTabiog_Bucay_Abra</t>
  </si>
  <si>
    <t>Bucay</t>
  </si>
  <si>
    <t>PH020185</t>
  </si>
  <si>
    <t>NS-TER24-B242</t>
  </si>
  <si>
    <t>HT_MP_BrgyTubunganEste_GATTARAN_CAGAYAN</t>
  </si>
  <si>
    <t>PH010377</t>
  </si>
  <si>
    <t>NS-TER24-B243</t>
  </si>
  <si>
    <t>HT_MP_BrgyDinaratan_Salcedo(Baugen)_IlocosSur</t>
  </si>
  <si>
    <t>PH010330</t>
  </si>
  <si>
    <t>NS-TER24-B251</t>
  </si>
  <si>
    <t>HT_MP_BrgyPatac_Galimuyod_IlocosSur</t>
  </si>
  <si>
    <t>PH020191</t>
  </si>
  <si>
    <t>NS-TER24-B260</t>
  </si>
  <si>
    <t>HT_MP_BrgyTresReyes_SAGUDAY_QUIRINO</t>
  </si>
  <si>
    <t>QUIRELCO</t>
  </si>
  <si>
    <t>Quirino</t>
  </si>
  <si>
    <t>Saguday</t>
  </si>
  <si>
    <t xml:space="preserve">FTAPPQ0013712 </t>
  </si>
  <si>
    <t>FTAPPO0012862</t>
  </si>
  <si>
    <t>Ongoing seciuring tempo CFEI</t>
  </si>
  <si>
    <t>FTAPPQ0013017 </t>
  </si>
  <si>
    <t>FTAPPO0012148</t>
  </si>
  <si>
    <t xml:space="preserve">10/13/2025 waiting for COOP SOA
10/6/25: Waiting BoQ approval </t>
  </si>
  <si>
    <t>PH020189</t>
  </si>
  <si>
    <t>NS-TER24-B262</t>
  </si>
  <si>
    <t>HT_MP_BrgyPinaripadSur_AGLIPAY_QUIRINO</t>
  </si>
  <si>
    <t>Aglipay</t>
  </si>
  <si>
    <t>FTAPPQ0013482</t>
  </si>
  <si>
    <t>FTAPPO0012611</t>
  </si>
  <si>
    <t>For issuance of TTC PO while waiting for Permit</t>
  </si>
  <si>
    <t>FTAPPQ0012678</t>
  </si>
  <si>
    <t>FTAPPO0011937</t>
  </si>
  <si>
    <t>10/13/2025 waiting for COOP SOA</t>
  </si>
  <si>
    <t>PH020211</t>
  </si>
  <si>
    <t>NS-TER24-B264</t>
  </si>
  <si>
    <t>HT_MP_BrgyAndabuen_BenitoSoliven_Isabela</t>
  </si>
  <si>
    <t>Benito Soliven</t>
  </si>
  <si>
    <t>11/21 Line con done 
10/20 Waiting COOP SOA released 
10/13 - Line con done for transformer testing .
10/17  Line con done for transformer testing today and waiting for COOP SOA
10/4 For application of Tempo CFEI and COOP application tempo permanent facilities</t>
  </si>
  <si>
    <t>FTAPPQ0012666</t>
  </si>
  <si>
    <t>FTAPPO0011865</t>
  </si>
  <si>
    <t>10/28 Waiting COOP SOA
10/17 while waiting for Postcon permit proceed for energization for TTC 
10/5 For line con and awaiting released of SOA
10/8 Line con done transformr testing and COOP SOA</t>
  </si>
  <si>
    <t>PH010379</t>
  </si>
  <si>
    <t>NS-TER24-B281</t>
  </si>
  <si>
    <t>HT_MP_BrgyBonbon_Burgos_ILOCOSNORTE</t>
  </si>
  <si>
    <t>Burgos</t>
  </si>
  <si>
    <t>PH020212</t>
  </si>
  <si>
    <t>NS-TER24-B282</t>
  </si>
  <si>
    <t>HT_MP_BrgyLattac_SANTONINO_CAGAYAN</t>
  </si>
  <si>
    <t>Santo Niño</t>
  </si>
  <si>
    <t>PH010374</t>
  </si>
  <si>
    <t>NS-TER24-B283</t>
  </si>
  <si>
    <t>208WT_BrgyPaayas_Burgos_IlocosNorte</t>
  </si>
  <si>
    <t>10/5/25: Waiting for energization TTC;</t>
  </si>
  <si>
    <t>PH010369</t>
  </si>
  <si>
    <t>NS-TER24-B286</t>
  </si>
  <si>
    <t>HT_MP_BrgyBarikir_NuevaEra_ILOCOSNORTE</t>
  </si>
  <si>
    <t>Nueva Era</t>
  </si>
  <si>
    <t>PH020213</t>
  </si>
  <si>
    <t>NS-TER24-B288</t>
  </si>
  <si>
    <t>HT_MP_BrgySanRoque_PEÑABLANCA_CAGAYAN</t>
  </si>
  <si>
    <t>Peñablanca</t>
  </si>
  <si>
    <t>PH150210</t>
  </si>
  <si>
    <t>NS-TER24-B292</t>
  </si>
  <si>
    <t>HT_MP_Sacasacan_Sadanga_MountainProvince</t>
  </si>
  <si>
    <t>Sadanga</t>
  </si>
  <si>
    <t>a.1. For Re-Site Hunting (Option Disapproved)</t>
  </si>
  <si>
    <t>PH010366</t>
  </si>
  <si>
    <t>NS-TER24-B296</t>
  </si>
  <si>
    <t>HT_MP_BrgyValdez_Banna_ILOCOSNORTE</t>
  </si>
  <si>
    <t>Banna</t>
  </si>
  <si>
    <t>PH010456</t>
  </si>
  <si>
    <t>NS-TER24-B299</t>
  </si>
  <si>
    <t>HT_MP_BrgySanVicente_ROSALES_PANGASINAN</t>
  </si>
  <si>
    <t>PH020197</t>
  </si>
  <si>
    <t>NS-TER24-B300</t>
  </si>
  <si>
    <t>HT_MP_BrgySanPedro_Mallig_Isabela</t>
  </si>
  <si>
    <t xml:space="preserve">For TTC PO issuance </t>
  </si>
  <si>
    <t xml:space="preserve">11/17 Energized
10/20 Waiting COOP SOA released 
10/17  For ine con next week   
10/13 Ongoing securing tempo CFEI 
10/10 LOI submitted to COOP </t>
  </si>
  <si>
    <t>10/28 COOP SOA for payment prior transformer installation
10/17 Waiting for PO issuance
10/7   Vendor to review counter offer procurement</t>
  </si>
  <si>
    <t>PH020214</t>
  </si>
  <si>
    <t>NS-TER24-B303</t>
  </si>
  <si>
    <t>HT_MP1_BrgyBagongSikat_SanMateo_Isabela</t>
  </si>
  <si>
    <t>San Mateo</t>
  </si>
  <si>
    <t>10/13 still waiting for precon permit
10/6/25: cannot proceed works; no BP released</t>
  </si>
  <si>
    <t>10/13 Survey done waiting for COOP SOA prior BOQ submission</t>
  </si>
  <si>
    <t>PH150160</t>
  </si>
  <si>
    <t>NS-TER24-B305</t>
  </si>
  <si>
    <t>HT_MP_BrgyNamillangan1_ALFONSO LISTA (POTIA)_IFUGAO</t>
  </si>
  <si>
    <t>Ifugao</t>
  </si>
  <si>
    <t>Alfonso Lista</t>
  </si>
  <si>
    <t>PH150168</t>
  </si>
  <si>
    <t>NS-TER24-B307</t>
  </si>
  <si>
    <t>HT_MP2_BrgySapid_Mankayan_Benguet</t>
  </si>
  <si>
    <t>Mankayan</t>
  </si>
  <si>
    <t>PH020215</t>
  </si>
  <si>
    <t>NS-TER24-B312</t>
  </si>
  <si>
    <t>HT_MP_BrgyMasipiWest_Cabagan_Isabela</t>
  </si>
  <si>
    <t>Cabagan</t>
  </si>
  <si>
    <t>11/17 For  primary construction 0f coop
10/13 - Ongoing line con
10/4 For application of Tempo CFEI and COOP application tempo permanent facilities</t>
  </si>
  <si>
    <t>10/5 For line con and awaiting released of SOA
10/8 Line con done transformr testing and COOP SOA</t>
  </si>
  <si>
    <t>PH020216</t>
  </si>
  <si>
    <t>NS-TER24-B315</t>
  </si>
  <si>
    <t>HT_MP_BrgyAneg_DelfinAlbano(Magsaysay)_Isabela</t>
  </si>
  <si>
    <t>Delfin Albano</t>
  </si>
  <si>
    <t>CARLSON</t>
  </si>
  <si>
    <t>PH010321</t>
  </si>
  <si>
    <t>NS-TER24-B319</t>
  </si>
  <si>
    <t>HT_MP_BrgySaoit_Burgos_ILOCOSNORTE</t>
  </si>
  <si>
    <t>FTAPPQ0013675</t>
  </si>
  <si>
    <t>FTAPPO0012821</t>
  </si>
  <si>
    <t>PH020217</t>
  </si>
  <si>
    <t>NS-TER24-B322</t>
  </si>
  <si>
    <t>HT_MP_BrgyRogus_CauayanCity_Isabela</t>
  </si>
  <si>
    <t>ISELCO I</t>
  </si>
  <si>
    <t>City of Cauayan</t>
  </si>
  <si>
    <t>10/13 Waiting for BP and EP permits need for application of Tempo CFEi.</t>
  </si>
  <si>
    <t>For BOQ submission</t>
  </si>
  <si>
    <t>PH150167</t>
  </si>
  <si>
    <t>NS-TER24-B323</t>
  </si>
  <si>
    <t>HT_MP_KayanEast_Tadian_MountainProvince</t>
  </si>
  <si>
    <t>Tadian</t>
  </si>
  <si>
    <t>PH020209</t>
  </si>
  <si>
    <t>NS-TER24-B338</t>
  </si>
  <si>
    <t>HT_MP_BrgySanJuan_Quezon_Isabela</t>
  </si>
  <si>
    <t xml:space="preserve">11/17 Energized
10/13 Ongoing securing tempo CFEI 
10/20 Waiting COOP SOA released 
10/10 LOI submitted to COOP </t>
  </si>
  <si>
    <t>10/7/25: Vendor to review counter offer procurement</t>
  </si>
  <si>
    <t>PH020218</t>
  </si>
  <si>
    <t>NS-TER24-B342</t>
  </si>
  <si>
    <t>HT_MP_BrgyMaraburab_ALCALA_CAGAYAN</t>
  </si>
  <si>
    <t>Alcala</t>
  </si>
  <si>
    <t>FTAPPQ0012313</t>
  </si>
  <si>
    <t>FTAPPO0011523</t>
  </si>
  <si>
    <t>TEMPO TO COOP Enenrgized</t>
  </si>
  <si>
    <t>PH010382</t>
  </si>
  <si>
    <t>NS-TER24-B344</t>
  </si>
  <si>
    <t>HT_MP_BrgyPoblacionSur_Lidlidda_IlocosSur</t>
  </si>
  <si>
    <t>Lidlidda</t>
  </si>
  <si>
    <t>FTAPPQ0013554</t>
  </si>
  <si>
    <t>FTAPPO0012682</t>
  </si>
  <si>
    <t>PH010370</t>
  </si>
  <si>
    <t>NS-TER24-B354</t>
  </si>
  <si>
    <t>HT_MP_BrgySanta Maria_Piddig_ILOCOSNORTE</t>
  </si>
  <si>
    <t>PH010367</t>
  </si>
  <si>
    <t>NS-TER24-B368</t>
  </si>
  <si>
    <t>HT_MP_BrgyAblanSarat_Burgos_ILOCOSNORTE</t>
  </si>
  <si>
    <t>PH010333</t>
  </si>
  <si>
    <t>NS-TER24-B370</t>
  </si>
  <si>
    <t>HT_MP_BrgySabangan-Bato_Galimuyod_IlocosSur</t>
  </si>
  <si>
    <t>PH010400</t>
  </si>
  <si>
    <t>NS-TER24-B378</t>
  </si>
  <si>
    <t>HT_MP_BrgyCamangaan_SISON_PANGASINAN</t>
  </si>
  <si>
    <t>LUELCO</t>
  </si>
  <si>
    <t>Sison</t>
  </si>
  <si>
    <t>PH150164</t>
  </si>
  <si>
    <t>NS-TER24-B381</t>
  </si>
  <si>
    <t>HT_MP_BrgyLangbaban_SanIsidro_Abra</t>
  </si>
  <si>
    <t>San Isidro</t>
  </si>
  <si>
    <t>PH020219</t>
  </si>
  <si>
    <t>NS-TER24-B390</t>
  </si>
  <si>
    <t>HT_MP_BrgyNamuccayan_SANTONINO_CAGAYAN</t>
  </si>
  <si>
    <t>PH010328</t>
  </si>
  <si>
    <t>NS-TER24-B393</t>
  </si>
  <si>
    <t>208WT_BrgyDadaeman_Pasuquin_IlocosNorte</t>
  </si>
  <si>
    <t>Pasuquin</t>
  </si>
  <si>
    <t>PH010384</t>
  </si>
  <si>
    <t>NS-TER24-B399</t>
  </si>
  <si>
    <t>HT_MP_BrgyMatue-Butarag_GregoriodelPilar_IlocosSur</t>
  </si>
  <si>
    <t>Gregorio del Pilar</t>
  </si>
  <si>
    <t>PH010457</t>
  </si>
  <si>
    <t>NS-TER24-B437</t>
  </si>
  <si>
    <t>HT_MP_BrgyMalimpin_Dasol_PANGASINAN</t>
  </si>
  <si>
    <t>PH010380</t>
  </si>
  <si>
    <t>NS-TER24-B445</t>
  </si>
  <si>
    <t>HT_MP_BrgyDan-ar_Santiago_IlocosSur</t>
  </si>
  <si>
    <t>a.2. On-hold by GT</t>
  </si>
  <si>
    <t>PH010351</t>
  </si>
  <si>
    <t>NS-TER24-B461</t>
  </si>
  <si>
    <t>HT_MP_BrgySurngit_SanJuan(Lapog)_IlocosSur</t>
  </si>
  <si>
    <t>San Juan</t>
  </si>
  <si>
    <t>28/07/2025</t>
  </si>
  <si>
    <t>PH150212</t>
  </si>
  <si>
    <t>NS-TER24-B465</t>
  </si>
  <si>
    <t>HT_MP1_Anabel_Sadanga_MountainProvince</t>
  </si>
  <si>
    <t>PH020220</t>
  </si>
  <si>
    <t>NS-TER24-B478</t>
  </si>
  <si>
    <t>HT_MP_BrgyPaddaya_APARRI_CAGAYAN</t>
  </si>
  <si>
    <t>PH150213</t>
  </si>
  <si>
    <t>NS-TER24-B482</t>
  </si>
  <si>
    <t>HT_MP_Banguitan_Besao_MountainProvince</t>
  </si>
  <si>
    <t>Besao</t>
  </si>
  <si>
    <t>PH010458</t>
  </si>
  <si>
    <t>NS-TER24-B484</t>
  </si>
  <si>
    <t>HT_MP_BrgyTara_BOLINAO_PANGASINAN</t>
  </si>
  <si>
    <t>PH030857</t>
  </si>
  <si>
    <t>NS-TER24-B49</t>
  </si>
  <si>
    <t>HT_MP_BrgyAtate_PalayanCity_NuevaEcija</t>
  </si>
  <si>
    <t>NEECO II – Area 2</t>
  </si>
  <si>
    <t>City of Palayan (Capital)</t>
  </si>
  <si>
    <t>FTAPPQ0012502</t>
  </si>
  <si>
    <t>FTAPPO0011727</t>
  </si>
  <si>
    <t>10/12/2025: ENERGIZED. 10/5/2025: Awaiting NTP for LC sched.</t>
  </si>
  <si>
    <t>PH150155</t>
  </si>
  <si>
    <t>NS-TER24-B509</t>
  </si>
  <si>
    <t>HT_MP_BrgyColabaoan_SanJuan_Abra</t>
  </si>
  <si>
    <t>PH010332</t>
  </si>
  <si>
    <t>NS-TER24-B55</t>
  </si>
  <si>
    <t>HT_MP_BrgyPuro_Magsingal_IlocosSur</t>
  </si>
  <si>
    <t>13/07/2025</t>
  </si>
  <si>
    <t>FTAPPQ0012260</t>
  </si>
  <si>
    <t>FTAPPO0011460</t>
  </si>
  <si>
    <t>Waiting line con schedule.</t>
  </si>
  <si>
    <t>PH010459</t>
  </si>
  <si>
    <t>NS-TER24-B568</t>
  </si>
  <si>
    <t>HT_MP_BrgyBaligayan_SANQUINTIN_PANGASINAN</t>
  </si>
  <si>
    <t>San Quintin</t>
  </si>
  <si>
    <t>PH030824</t>
  </si>
  <si>
    <t>NS-TER24-B57</t>
  </si>
  <si>
    <t>HT_MP_SanJuandeValdez_SanJose_Tarlac</t>
  </si>
  <si>
    <t>San Jose</t>
  </si>
  <si>
    <t>PH020208</t>
  </si>
  <si>
    <t>NS-TER24-B59</t>
  </si>
  <si>
    <t>HT_MP_BrgyCentroV(Mina)_CLAVERIA_CAGAYAN</t>
  </si>
  <si>
    <t>PH010345</t>
  </si>
  <si>
    <t>NS-TER24-B64</t>
  </si>
  <si>
    <t>HT_MP_BrgyLanao_Bangui_ILOCOSNORTE</t>
  </si>
  <si>
    <t>PH150180</t>
  </si>
  <si>
    <t>NS-TER24-B640</t>
  </si>
  <si>
    <t>HT_MP_BrgyAnninipan_Flora_Apayao</t>
  </si>
  <si>
    <t>Flora</t>
  </si>
  <si>
    <t>PH150156</t>
  </si>
  <si>
    <t>NS-TER24-B700</t>
  </si>
  <si>
    <t>HT_MP_BrgySipaProper_SantaMArcela_Apayao</t>
  </si>
  <si>
    <t>Santa Marcela</t>
  </si>
  <si>
    <t>FTAPPQ0013447</t>
  </si>
  <si>
    <t>FTAPPO0012560</t>
  </si>
  <si>
    <t>PH150178</t>
  </si>
  <si>
    <t>NS-TER24-B706</t>
  </si>
  <si>
    <t>HT_MP_BrgySwan_Pudtol_Apayao</t>
  </si>
  <si>
    <t>Pudtol</t>
  </si>
  <si>
    <t>PH010334</t>
  </si>
  <si>
    <t>NS-TER24-B73</t>
  </si>
  <si>
    <t>HT_MP_BrgyBungcag_Dingras_ILOCOSNORTE</t>
  </si>
  <si>
    <t>Dingras</t>
  </si>
  <si>
    <t>PH020187</t>
  </si>
  <si>
    <t>NS-TER24-B75</t>
  </si>
  <si>
    <t>HT_MP_BrgyDarapidap_DupaxDelNorte_NuevaVizcaya</t>
  </si>
  <si>
    <t>PH150154</t>
  </si>
  <si>
    <t>NS-TER24-B76</t>
  </si>
  <si>
    <t>HT_MP_BrgyCudog_LAGAWE_IFUGAO</t>
  </si>
  <si>
    <t>Lagawe (Capital)</t>
  </si>
  <si>
    <t>PH030896</t>
  </si>
  <si>
    <t>NS-TER24-B770</t>
  </si>
  <si>
    <t>HT_MP_BrgyDibacong_Casiguran_Aurora</t>
  </si>
  <si>
    <t>Casiguran</t>
  </si>
  <si>
    <t xml:space="preserve">10/20/2025: Awaiting hardcopy of permits, for submission to AURELCO.
10/12/2025: Applied TTC, for temperament solution </t>
  </si>
  <si>
    <t>PH150162</t>
  </si>
  <si>
    <t>NS-TER24-B80</t>
  </si>
  <si>
    <t>HT_MP_BrgyPadangitan_Danglas_Abra</t>
  </si>
  <si>
    <t>Danglas</t>
  </si>
  <si>
    <t>FTAPPQ0013446</t>
  </si>
  <si>
    <t>FTAPPO0012561</t>
  </si>
  <si>
    <t>PH030861</t>
  </si>
  <si>
    <t>NS-TER24-B81</t>
  </si>
  <si>
    <t>HT_MP_BrgyPoblacionWest_Pantabangan_NuevaEcija</t>
  </si>
  <si>
    <t>PAMES</t>
  </si>
  <si>
    <t>Pantabangan</t>
  </si>
  <si>
    <t>FTAPPQ0012312</t>
  </si>
  <si>
    <t>FTAPPO0011522</t>
  </si>
  <si>
    <t>9/27/2025: Energized
9/23/2025: Temporary power applied. For coop JTSS schedule once weather is okay.</t>
  </si>
  <si>
    <t>FTAPPQ0013018</t>
  </si>
  <si>
    <t>FTAPPO0012150</t>
  </si>
  <si>
    <t xml:space="preserve">10/20/2025: Awaiting postcon permits. 10/12/2025: for submission of COOP application </t>
  </si>
  <si>
    <t>PH030898</t>
  </si>
  <si>
    <t>NS-TER24-B810</t>
  </si>
  <si>
    <t>HT_MP_BrgyGupa_Dipaculao_Aurora</t>
  </si>
  <si>
    <t>Dipaculao</t>
  </si>
  <si>
    <t xml:space="preserve">10/20/2025: TTC energized. 
10/12/2025: Applied TTC, for temperament solution </t>
  </si>
  <si>
    <t>PH030902</t>
  </si>
  <si>
    <t>NS-TER24-B829</t>
  </si>
  <si>
    <t>HT_MP_BrgyDiniog_Dilasag_Aurora</t>
  </si>
  <si>
    <t>Dilasag</t>
  </si>
  <si>
    <t>23/09/2025</t>
  </si>
  <si>
    <t xml:space="preserve">10/15/2025: TTC Energized. 
10/12/2025: Applied TTC, for temperament solution. For inspection prior to energization. </t>
  </si>
  <si>
    <t xml:space="preserve">FTAPPQ0012902 </t>
  </si>
  <si>
    <t>FTAPPO0012035</t>
  </si>
  <si>
    <t>PH150214</t>
  </si>
  <si>
    <t>NS-TER24-B831</t>
  </si>
  <si>
    <t>HT_MP2_Maducayan_Natonin_MountainProvince</t>
  </si>
  <si>
    <t>Natonin</t>
  </si>
  <si>
    <t>PH030899</t>
  </si>
  <si>
    <t>NS-TER24-B832</t>
  </si>
  <si>
    <t>HT_MP_BrgyDibaraybay_Dinalungan_Aurora</t>
  </si>
  <si>
    <t>Dinalungan</t>
  </si>
  <si>
    <t>PH030897</t>
  </si>
  <si>
    <t>NS-TER24-B834</t>
  </si>
  <si>
    <t>HT_MP_BrgySimbahan_Dinalungan_Aurora</t>
  </si>
  <si>
    <t>PH030900</t>
  </si>
  <si>
    <t>NS-TER24-B836</t>
  </si>
  <si>
    <t>HT_MP_BrgyTinib_Casiguran_Aurora</t>
  </si>
  <si>
    <t xml:space="preserve">FTAPPQ0013008 </t>
  </si>
  <si>
    <t>FTAPPO0012160</t>
  </si>
  <si>
    <t>PH150172</t>
  </si>
  <si>
    <t>NS-TER24-B85</t>
  </si>
  <si>
    <t>HT_MP_BrgyLiwanEast_Rizal_Kalinga</t>
  </si>
  <si>
    <t>Rizal</t>
  </si>
  <si>
    <t>work stopage no permits</t>
  </si>
  <si>
    <t>PH030901</t>
  </si>
  <si>
    <t>NS-TER24-B860</t>
  </si>
  <si>
    <t>HT_MP_BrgyTabas_Casiguran_Aurora</t>
  </si>
  <si>
    <t>Dennis Electrical</t>
  </si>
  <si>
    <t>PH030881</t>
  </si>
  <si>
    <t>NS-TER24-B874</t>
  </si>
  <si>
    <t>MP_ConsueloNorte_SANMARCELINO_ZAMBALES</t>
  </si>
  <si>
    <t>ZAMECO II</t>
  </si>
  <si>
    <t>Zambales</t>
  </si>
  <si>
    <t>San Marcelino</t>
  </si>
  <si>
    <t>PH030871</t>
  </si>
  <si>
    <t>NS-TER24-B888</t>
  </si>
  <si>
    <t>MP_SanJuan_SANTARITA_PAMPANGA</t>
  </si>
  <si>
    <t>PELCO II</t>
  </si>
  <si>
    <t>Santa Rita</t>
  </si>
  <si>
    <t>FTAPPQ0012311</t>
  </si>
  <si>
    <t>FTAPPO0011521</t>
  </si>
  <si>
    <t>10/20/2025: still awaiting precon permits. 9/23/2025:Advanced build. Awaiting precon permits from SAQ.</t>
  </si>
  <si>
    <t>FTAPPQ0013210</t>
  </si>
  <si>
    <t>FTAPPO0012324</t>
  </si>
  <si>
    <t>10/20/2025 For tempo to coop application, awaiting postcon permits.</t>
  </si>
  <si>
    <t>PH030875</t>
  </si>
  <si>
    <t>NS-TER24-B891</t>
  </si>
  <si>
    <t>MP_SantaMonica_SANTARITA_PAMPANGA</t>
  </si>
  <si>
    <t>10/12/2025: TTC ENERGIZED. 9/23/2025: CME on hold. Lessor contract issue.</t>
  </si>
  <si>
    <t>10/20/2025 For coop application, awaiting postcon permits.</t>
  </si>
  <si>
    <t>PH030860</t>
  </si>
  <si>
    <t>NS-TER24-B893</t>
  </si>
  <si>
    <t>MP1_BrgyNazareth_GeneralTinio_NuevaEcija</t>
  </si>
  <si>
    <t>General Tinio</t>
  </si>
  <si>
    <t>Lot 4 Blk 100</t>
  </si>
  <si>
    <t>10/20/2025:Still awaiting coop evaluation. 10/12/2025: For coop evaluation and JTSS schedule. 10/5/2025: Awaiting JTSS schedule</t>
  </si>
  <si>
    <t>pendingPQ raising approval; submitted complete documents</t>
  </si>
  <si>
    <t>PH010323</t>
  </si>
  <si>
    <t>NS-TER24-B895</t>
  </si>
  <si>
    <t>MP_BrgyBusiingNorte_SanIldefonso_IlocosSur</t>
  </si>
  <si>
    <t>San Ildefonso</t>
  </si>
  <si>
    <t>PH010402</t>
  </si>
  <si>
    <t>NS-TER24-B904</t>
  </si>
  <si>
    <t>HT_MP_BrgyAloleng_AGNO_PANGASINAN</t>
  </si>
  <si>
    <t>Agno</t>
  </si>
  <si>
    <t>PH010354</t>
  </si>
  <si>
    <t>NS-TER24-B906</t>
  </si>
  <si>
    <t>HT_MP_BrgyAlitaya01_MANGALDAN_PANGASINAN</t>
  </si>
  <si>
    <t>Mangaldan</t>
  </si>
  <si>
    <t>PH010393</t>
  </si>
  <si>
    <t>NS-TER24-B908</t>
  </si>
  <si>
    <t>HT_MP_BrgyBayoyong_BAISITA_PANGASINAN</t>
  </si>
  <si>
    <t>Basista</t>
  </si>
  <si>
    <t>10/20 waiting for energization schedule for TTC  
10/13  Waiting for TTC PO issuance
10/6 COOp accept for TTC application</t>
  </si>
  <si>
    <t>10/13 Waiting NTP for Line cons</t>
  </si>
  <si>
    <t>PH010394</t>
  </si>
  <si>
    <t>NS-TER24-B909</t>
  </si>
  <si>
    <t>HT_MP_BrgyPatacbo_BASISTA_PANGASINAN</t>
  </si>
  <si>
    <t>PH010462</t>
  </si>
  <si>
    <t>NS-TER24-B912</t>
  </si>
  <si>
    <t>HT_MP_Brgy_Pogo_BAUTISTA_PANGASINAN</t>
  </si>
  <si>
    <t>Bautista</t>
  </si>
  <si>
    <t>PH010463</t>
  </si>
  <si>
    <t>NS-TER24-B913</t>
  </si>
  <si>
    <t>HT_MP_BrgyVillanueva_BAUTSITA_PANGASINAN</t>
  </si>
  <si>
    <t>PH010452</t>
  </si>
  <si>
    <t>NS-TER24-B92</t>
  </si>
  <si>
    <t>HT_MP_BrgySanJose_AGUILAR_PANGASINAN</t>
  </si>
  <si>
    <t>Aguilar</t>
  </si>
  <si>
    <t>PH150149</t>
  </si>
  <si>
    <t>NS-TER24-B93</t>
  </si>
  <si>
    <t>HT_MP1_BrgyPinukpukJunction_Pinukpuk_Kalinga</t>
  </si>
  <si>
    <t>Pinukpuk</t>
  </si>
  <si>
    <t>PH030867</t>
  </si>
  <si>
    <t>NS-TER24-B94</t>
  </si>
  <si>
    <t>HT_MP_Iba_SanJose_Tarlac</t>
  </si>
  <si>
    <t>FTAPPQ0013013</t>
  </si>
  <si>
    <t>FTAPPO0012154</t>
  </si>
  <si>
    <t>FTAPPQ0013896</t>
  </si>
  <si>
    <t>FTAPPO0012994</t>
  </si>
  <si>
    <t xml:space="preserve">10/20/2025: For TTC application </t>
  </si>
  <si>
    <t>PH030878</t>
  </si>
  <si>
    <t>NS-TER24-C241</t>
  </si>
  <si>
    <t>HT_MP_BrgyDona_Orani_Bataan</t>
  </si>
  <si>
    <t>Orani</t>
  </si>
  <si>
    <t>PH030883</t>
  </si>
  <si>
    <t>NS-TER24-C246</t>
  </si>
  <si>
    <t>HT_MP_BrgyGeneral Lim (Kaput)_Orion_Bataan</t>
  </si>
  <si>
    <t>Orion</t>
  </si>
  <si>
    <t>FTAPPQ0013012</t>
  </si>
  <si>
    <t>FTAPPO0012155</t>
  </si>
  <si>
    <t>PH030884</t>
  </si>
  <si>
    <t>NS-TER24-C248</t>
  </si>
  <si>
    <t>HT_MP_BrgyDuale_Limay_Bataan</t>
  </si>
  <si>
    <t>10/5/25: Advance Build; No active COL; Cannot proceed works</t>
  </si>
  <si>
    <t>for submission of BOM</t>
  </si>
  <si>
    <t>PH030876</t>
  </si>
  <si>
    <t>NS-TER24-C252</t>
  </si>
  <si>
    <t>HT_MP_BrgyBalagtas(Pob.)_Orion_Bataan</t>
  </si>
  <si>
    <t>PH031094</t>
  </si>
  <si>
    <t>NS-TER24-C255</t>
  </si>
  <si>
    <t>HT_MP_BrgyBagongSilang_SANMIGUEL_BULACAN</t>
  </si>
  <si>
    <t>PH031095</t>
  </si>
  <si>
    <t>NS-TER24-C256</t>
  </si>
  <si>
    <t>HT_MP_BrgyPaco_SANRAFAEL_BULACAN</t>
  </si>
  <si>
    <t>San Rafael</t>
  </si>
  <si>
    <t>PH031096</t>
  </si>
  <si>
    <t>NS-TER24-C261</t>
  </si>
  <si>
    <t>HT_MP_BrgyCalasag_SANILDEFONSO_BULACAN</t>
  </si>
  <si>
    <t>PH031097</t>
  </si>
  <si>
    <t>NS-TER24-C262</t>
  </si>
  <si>
    <t>HT_MP_BrgyBatasanMatanda_SANMIGUEL_BULACAN</t>
  </si>
  <si>
    <t>PH031098</t>
  </si>
  <si>
    <t>NS-TER24-C278</t>
  </si>
  <si>
    <t>HT_MP_BrgyPoblacion_NORZAGARAY_BULACAN</t>
  </si>
  <si>
    <t>Angat</t>
  </si>
  <si>
    <t>PH031099</t>
  </si>
  <si>
    <t>NS-TER24-C286</t>
  </si>
  <si>
    <t>HT_MP_BrgyRealdeCacarong_PANDI_BULACAN</t>
  </si>
  <si>
    <t>PH030847</t>
  </si>
  <si>
    <t>NS-TER24-C291</t>
  </si>
  <si>
    <t>HT_MP_BrgyPanginay_BALAGTAS_BULACAN</t>
  </si>
  <si>
    <t>Balagtas</t>
  </si>
  <si>
    <t>Golden</t>
  </si>
  <si>
    <t>PH010327</t>
  </si>
  <si>
    <t>NS-TER24-C293</t>
  </si>
  <si>
    <t>HT_MP_BrgyCali_Dingras_ILOCOSNORTE</t>
  </si>
  <si>
    <t>PH010376</t>
  </si>
  <si>
    <t>NS-TER24-C294</t>
  </si>
  <si>
    <t>HT_MP_BrgySanRoque_Sarrat_ILOCOSNORTE</t>
  </si>
  <si>
    <t>Sarrat</t>
  </si>
  <si>
    <t>PH010322</t>
  </si>
  <si>
    <t>NS-TER24-C295</t>
  </si>
  <si>
    <t>HT_MP_BrgyPandan_Caoayan_IlocosSur</t>
  </si>
  <si>
    <t>Caoayan</t>
  </si>
  <si>
    <t>PH010346</t>
  </si>
  <si>
    <t>NS-TER24-C296</t>
  </si>
  <si>
    <t>HT_MP_BrgyCaterman_CandonCity_IlocosSur</t>
  </si>
  <si>
    <t>City of Candon</t>
  </si>
  <si>
    <t>PH030856</t>
  </si>
  <si>
    <t>NS-TER24-C317</t>
  </si>
  <si>
    <t>HT_MP_BrgyCasongsong_Guimba_NuevaEcija</t>
  </si>
  <si>
    <t>NEECO II – Area 1</t>
  </si>
  <si>
    <t>Guimba</t>
  </si>
  <si>
    <t>30/05/2025</t>
  </si>
  <si>
    <t>FTAPPQ0013215</t>
  </si>
  <si>
    <t>FTAPPO0012325</t>
  </si>
  <si>
    <t xml:space="preserve">10/20/2025: Awaiting NTP from coop. 
10/12/2025: Awaiting BOM negotiation approval. For PQ raising and NTP. </t>
  </si>
  <si>
    <t>BOM negotiation and NTP</t>
  </si>
  <si>
    <t>PH030853</t>
  </si>
  <si>
    <t>NS-TER24-C319</t>
  </si>
  <si>
    <t>HT_MP_BrgySantoRosario_SantoDomingo_NuevaEcija</t>
  </si>
  <si>
    <t>Santo Domingo</t>
  </si>
  <si>
    <t>22/06/2025</t>
  </si>
  <si>
    <t>FTAPPQ0012971</t>
  </si>
  <si>
    <t>FTAPPO0012098</t>
  </si>
  <si>
    <t>10/20/2025:For material inspection and evaluation. Awaiting NTP. 10/6/25: BoQ waiting vendor acceptance</t>
  </si>
  <si>
    <t xml:space="preserve">NTP, Material inspection </t>
  </si>
  <si>
    <t>PH030855</t>
  </si>
  <si>
    <t>NS-TER24-C321</t>
  </si>
  <si>
    <t>HT_MP_BrgySantaRita_SantoDomingo_NuevaEcija</t>
  </si>
  <si>
    <t>PH030852</t>
  </si>
  <si>
    <t>NS-TER24-C325</t>
  </si>
  <si>
    <t>HT_MP_BrgyCaanawan_SanJoseCity_NuevaEcija</t>
  </si>
  <si>
    <t>SAJELCO</t>
  </si>
  <si>
    <t>San Jose City</t>
  </si>
  <si>
    <t>10/5/25: For energization 10/6/25; rescheduled due to typhoon Paolo</t>
  </si>
  <si>
    <t xml:space="preserve">10/20/2025: Awaiting postcon permits. </t>
  </si>
  <si>
    <t>PH030850</t>
  </si>
  <si>
    <t>NS-TER24-C332</t>
  </si>
  <si>
    <t>HT_MP_BrgyCainginTabingIlog_Guimba_NuevaEcija</t>
  </si>
  <si>
    <t>PH030854</t>
  </si>
  <si>
    <t>NS-TER24-C338</t>
  </si>
  <si>
    <t>HT_MP_BrgySunson_Aliaga_NuevaEcija</t>
  </si>
  <si>
    <t>Aliaga</t>
  </si>
  <si>
    <t xml:space="preserve">10/20/2025: Applied. For schedule of inspection  </t>
  </si>
  <si>
    <t>PH030837</t>
  </si>
  <si>
    <t>NS-TER24-C341</t>
  </si>
  <si>
    <t>HT_MP_BrgyTalipapa_CabanatuanCity_NuevaEcija</t>
  </si>
  <si>
    <t>PH030859</t>
  </si>
  <si>
    <t>NS-TER24-C350</t>
  </si>
  <si>
    <t>HT_MP_BrgyBatitang_Zaragoza_NuevaEcija</t>
  </si>
  <si>
    <t>NEECO I</t>
  </si>
  <si>
    <t>Zaragoza</t>
  </si>
  <si>
    <t xml:space="preserve">10/12/2025: TTC ENERGIZED. 10/5/25: TARELCO II recently just allowed tempo to COOP; ongoing </t>
  </si>
  <si>
    <t>BoQ Approval pending; submitted complete documents</t>
  </si>
  <si>
    <t>PH030863</t>
  </si>
  <si>
    <t>NS-TER24-C353</t>
  </si>
  <si>
    <t>HT_MP_BrgyLuyos_SanAntonio_NuevaEcija</t>
  </si>
  <si>
    <t>San Antonio</t>
  </si>
  <si>
    <t>FTAPPQ0013317</t>
  </si>
  <si>
    <t>FTAPPO0012436</t>
  </si>
  <si>
    <t>10/20/2025: BOQ approved. PO issued. Awaiting NTP from coop. 10/12/2025: For BOQ submission.</t>
  </si>
  <si>
    <t>PH030858</t>
  </si>
  <si>
    <t>NS-TER24-C356</t>
  </si>
  <si>
    <t>HT_MP_BrgySantaCruz_GapanCity_NuevaEcija</t>
  </si>
  <si>
    <t>City of Gapan</t>
  </si>
  <si>
    <t>18/06/2025</t>
  </si>
  <si>
    <t>FTAPPQ0012903</t>
  </si>
  <si>
    <t>FTAPPO0012034</t>
  </si>
  <si>
    <t>10/20/2025: Awaiting NTP from coop.</t>
  </si>
  <si>
    <t>PH030872</t>
  </si>
  <si>
    <t>NS-TER24-C372</t>
  </si>
  <si>
    <t>HT_MP_SanJuan_Macabebe_Pampanga</t>
  </si>
  <si>
    <t>PELCO III</t>
  </si>
  <si>
    <t>Macabebe</t>
  </si>
  <si>
    <t>PH030874</t>
  </si>
  <si>
    <t>NS-TER24-C377</t>
  </si>
  <si>
    <t>HT_MP_Lourdes_Minalin_Pampanga</t>
  </si>
  <si>
    <t>Minalin</t>
  </si>
  <si>
    <t>10/20/2025: Awaiting coop SOA prior to trasnformer testing. 10/12/2025: For survey again with the coop prior to releasing of coop design. 10/5/2025: Secured clearance needed by the coop. Awaiting coop SOA and CFEI docs.</t>
  </si>
  <si>
    <t>PH010464</t>
  </si>
  <si>
    <t>NS-TER24-C378</t>
  </si>
  <si>
    <t>HT_MP_BrgyEstanza_LINGAYEN_PANGASINAN</t>
  </si>
  <si>
    <t>PH010465</t>
  </si>
  <si>
    <t>NS-TER24-C380</t>
  </si>
  <si>
    <t>HT_MP_BrgyAmancoro_BINMALEY_PANGASINAN</t>
  </si>
  <si>
    <t>Binmaley</t>
  </si>
  <si>
    <t>PH010466</t>
  </si>
  <si>
    <t>NS-TER24-C381</t>
  </si>
  <si>
    <t>HT_MP_BrgyPallas_BINMALEY_PANGASINAN</t>
  </si>
  <si>
    <t>PH010467</t>
  </si>
  <si>
    <t>NS-TER24-C382</t>
  </si>
  <si>
    <t>HT_MP_BrgyAngarian_BUGALLON_PANGASINAN</t>
  </si>
  <si>
    <t>Bugallon</t>
  </si>
  <si>
    <t>PH010468</t>
  </si>
  <si>
    <t>NS-TER24-C383</t>
  </si>
  <si>
    <t>HT_MP_BrgyCabayaoasan02_BUGALLON_PANGASINAN</t>
  </si>
  <si>
    <t>PH010360</t>
  </si>
  <si>
    <t>NS-TER24-C384</t>
  </si>
  <si>
    <t>HT_MP_BrgyTuliao_SANTABARBARA_PANGASINAN</t>
  </si>
  <si>
    <t>San Fabian</t>
  </si>
  <si>
    <t>PH010469</t>
  </si>
  <si>
    <t>NS-TER24-C385</t>
  </si>
  <si>
    <t>HT_MP_BrgySanVicente_SANJACINTO_PANGASINAN</t>
  </si>
  <si>
    <t>PH010355</t>
  </si>
  <si>
    <t>NS-TER24-C386</t>
  </si>
  <si>
    <t>HT_MP_BrgyAlibago_SANTABARBARA_PANGASINAN</t>
  </si>
  <si>
    <t>Santa Barbara</t>
  </si>
  <si>
    <t>FTAPPQ0013011</t>
  </si>
  <si>
    <t>FTAPPO0012156</t>
  </si>
  <si>
    <t>10/13 for completion of permits (FSEC and TEmpo CFEI</t>
  </si>
  <si>
    <t>PH010470</t>
  </si>
  <si>
    <t>NS-TER24-C387</t>
  </si>
  <si>
    <t>HT_MP_BrgyPayas_SANTABARBARA_PANGASINAN</t>
  </si>
  <si>
    <t>PH010471</t>
  </si>
  <si>
    <t>NS-TER24-C389</t>
  </si>
  <si>
    <t>HT_MP_BrgyNantangalan_POZORRUBIO_PANGASINAN</t>
  </si>
  <si>
    <t>PH010403</t>
  </si>
  <si>
    <t>NS-TER24-C390</t>
  </si>
  <si>
    <t>HT_MP_BrgyVacante_BINALONAN_PANGASINAN</t>
  </si>
  <si>
    <t>Binalonan</t>
  </si>
  <si>
    <t>FTAPPQ0014131</t>
  </si>
  <si>
    <t>FTAPPO0013250</t>
  </si>
  <si>
    <t>PH010390</t>
  </si>
  <si>
    <t>NS-TER24-C391</t>
  </si>
  <si>
    <t>HT_MP_BrgyTebuel_MANAOAG_PANGASINAN</t>
  </si>
  <si>
    <t>Manaoag</t>
  </si>
  <si>
    <t>PH010472</t>
  </si>
  <si>
    <t>NS-TER24-C392</t>
  </si>
  <si>
    <t>HT_MP_BrgyPugaro_MANAOAG_PANGASINAN</t>
  </si>
  <si>
    <t>PH010391</t>
  </si>
  <si>
    <t>NS-TER24-C394</t>
  </si>
  <si>
    <t>HT_MP_BrgyDomingoAlarcio_LAOAC_PANGASINAN</t>
  </si>
  <si>
    <t>Laoac</t>
  </si>
  <si>
    <t>PH010473</t>
  </si>
  <si>
    <t>NS-TER24-C395</t>
  </si>
  <si>
    <t>HT_MP_BrgyLabitWest_URDANETA_PANGASINAN</t>
  </si>
  <si>
    <t>PH010474</t>
  </si>
  <si>
    <t>NS-TER24-C396</t>
  </si>
  <si>
    <t>HT_MP_BrgyCaramutan_VILASIS_PANGASINAN</t>
  </si>
  <si>
    <t>PH010475</t>
  </si>
  <si>
    <t>NS-TER24-C399</t>
  </si>
  <si>
    <t>HT_MP_BrgySalud_NATIVIDAD_PANGASINAN</t>
  </si>
  <si>
    <t>Natividad</t>
  </si>
  <si>
    <t>PH010476</t>
  </si>
  <si>
    <t>NS-TER24-C400</t>
  </si>
  <si>
    <t>HT_MP_BrgySanAntonio-Arzadon_SANMANUEL_PANGASINAN</t>
  </si>
  <si>
    <t>PH010399</t>
  </si>
  <si>
    <t>NS-TER24-C401</t>
  </si>
  <si>
    <t>HT_MP_BrgySamon_SANTAMARIA_PANGASINAN</t>
  </si>
  <si>
    <t>10/31/TTC ENERGIZED 
10/20 waiting for energization schedule for TTC  
10/13 Waiting schedule of energization
10/9/25: Waiting energization schedule
10/5/25: COOP applied; waiting COOP Assessment</t>
  </si>
  <si>
    <t>FTAPPQ0013918</t>
  </si>
  <si>
    <t>FTAPPO0013026</t>
  </si>
  <si>
    <t>PH010404</t>
  </si>
  <si>
    <t>NS-TER24-C402</t>
  </si>
  <si>
    <t>HT_MP_BrgyPaitan_SANTAMARIA_PANGASINAN</t>
  </si>
  <si>
    <t>14/08/2025</t>
  </si>
  <si>
    <t xml:space="preserve">10/13 for Permanet power </t>
  </si>
  <si>
    <t>10/13 waiting for clearance prior energization
10/8 Waiting for energization schedule pending due to unpaid electricity bill</t>
  </si>
  <si>
    <t>PH010477</t>
  </si>
  <si>
    <t>NS-TER24-C403</t>
  </si>
  <si>
    <t>HT_MP_BrgyBolintaguen_SANQUINTIN_PANGASINAN</t>
  </si>
  <si>
    <t>PH010478</t>
  </si>
  <si>
    <t>NS-TER24-C404</t>
  </si>
  <si>
    <t>HT_MP_BrgyCacandungan_NATIVIDAD_PANGASINAN</t>
  </si>
  <si>
    <t>PH010479</t>
  </si>
  <si>
    <t>NS-TER24-C406</t>
  </si>
  <si>
    <t>HT_MP_BrgyCanarem_NATIVIDAD_PANGASINAN</t>
  </si>
  <si>
    <t>PH010480</t>
  </si>
  <si>
    <t>NS-TER24-C408</t>
  </si>
  <si>
    <t>HT_MP_BrgyTamayo_SANCARLOS_PANGASINAN</t>
  </si>
  <si>
    <t>City of San Carlos</t>
  </si>
  <si>
    <t>PH010481</t>
  </si>
  <si>
    <t>NS-TER24-C409</t>
  </si>
  <si>
    <t>HT_MP_BrgySalinap_SANCARLOS_PANGASINAN</t>
  </si>
  <si>
    <t>PH010482</t>
  </si>
  <si>
    <t>NS-TER24-C410</t>
  </si>
  <si>
    <t>HT_MP_BrgyBacnar_SANCARLOS_PANGASINAN</t>
  </si>
  <si>
    <t>PH010363</t>
  </si>
  <si>
    <t>NS-TER24-C411</t>
  </si>
  <si>
    <t>HT_MP_BrgyCawayanBogtong_MALASIQUI_PANGASINAN</t>
  </si>
  <si>
    <t>PH010358</t>
  </si>
  <si>
    <t>NS-TER24-C412</t>
  </si>
  <si>
    <t>HT_MP_BrgyAnolid_MALASIQUI_PANGASINAN</t>
  </si>
  <si>
    <t>10/20 waiting for energization schedule for TTC  
10/9/25; Waiting Tempo Energization</t>
  </si>
  <si>
    <t>PH010389</t>
  </si>
  <si>
    <t>NS-TER24-C413</t>
  </si>
  <si>
    <t>HT_MP_BrgyBituag_URBIZTONDO_PANGASINAN</t>
  </si>
  <si>
    <t>Urbiztondo</t>
  </si>
  <si>
    <t>PH010483</t>
  </si>
  <si>
    <t>NS-TER24-C414</t>
  </si>
  <si>
    <t>HT_MP_BrgyCaranglaan_ALCALA_PANGASINAN</t>
  </si>
  <si>
    <t>PH010484</t>
  </si>
  <si>
    <t>NS-TER24-C416</t>
  </si>
  <si>
    <t>HT_MP_BrgySanNicolas_VILLASIS_PANGASINAN</t>
  </si>
  <si>
    <t>PH010485</t>
  </si>
  <si>
    <t>NS-TER24-C420</t>
  </si>
  <si>
    <t>HT_MP_BrgyMaseil-seil_UMINGAN_PANGASINAN</t>
  </si>
  <si>
    <t>PH010405</t>
  </si>
  <si>
    <t>NS-TER24-C421</t>
  </si>
  <si>
    <t>HT_MP_BrgyZaragoza_BOLINAO_PANGASINAN</t>
  </si>
  <si>
    <t>PH010411</t>
  </si>
  <si>
    <t>NS-TER24-C425</t>
  </si>
  <si>
    <t>HT_MP_BrgyAsanSur_SISON_PANGASINAN</t>
  </si>
  <si>
    <t>22/08/2025</t>
  </si>
  <si>
    <t>TTC PO issuance</t>
  </si>
  <si>
    <t>10/13 FOR TTC PO issuance due to  transformer availability</t>
  </si>
  <si>
    <t xml:space="preserve">10/ 13 Waiting for transformer availability </t>
  </si>
  <si>
    <t>PH010410</t>
  </si>
  <si>
    <t>NS-TER24-C427</t>
  </si>
  <si>
    <t>HT_MP_BrgyAngatel_URBIZTONDO_PANGASINAN</t>
  </si>
  <si>
    <t>PH030823</t>
  </si>
  <si>
    <t>NS-TER24-C429</t>
  </si>
  <si>
    <t>HT_MP_Mabilog_Concepcion_Tarlac</t>
  </si>
  <si>
    <t>Concepcion</t>
  </si>
  <si>
    <t>PH030829</t>
  </si>
  <si>
    <t>NS-TER24-C431</t>
  </si>
  <si>
    <t>HT_MP_Libueg_Camiling_Tarlac</t>
  </si>
  <si>
    <t>FTAPPQ0013900</t>
  </si>
  <si>
    <t>FTAPPO0013007</t>
  </si>
  <si>
    <t>PH030815</t>
  </si>
  <si>
    <t>NS-TER24-C433</t>
  </si>
  <si>
    <t>HT_MP_Cabaruan_SantaIgnacia_Tarlac</t>
  </si>
  <si>
    <t>21/09/2025</t>
  </si>
  <si>
    <t>FTAPPQ0013258</t>
  </si>
  <si>
    <t>FTAPPO0012390</t>
  </si>
  <si>
    <t xml:space="preserve">10/20/2025: For vendor BOM approval. 10/12/2025: Awaiting coop BOM. </t>
  </si>
  <si>
    <t>PH030812</t>
  </si>
  <si>
    <t>NS-TER24-C434</t>
  </si>
  <si>
    <t>HT_MP_Tubectubang_Moncada_Tarlac</t>
  </si>
  <si>
    <t>Moncada</t>
  </si>
  <si>
    <t>PH030817</t>
  </si>
  <si>
    <t>NS-TER24-C436</t>
  </si>
  <si>
    <t>HT_MP_Santa LuciaWest_Moncada_Tarlac</t>
  </si>
  <si>
    <t>PH030813</t>
  </si>
  <si>
    <t>NS-TER24-C437</t>
  </si>
  <si>
    <t>HT_MP_Canan_Paniqui_Tarlac</t>
  </si>
  <si>
    <t>30/07/2025</t>
  </si>
  <si>
    <t>FTAPPQ0013558</t>
  </si>
  <si>
    <t>FATPPO0012696</t>
  </si>
  <si>
    <t>PH030816</t>
  </si>
  <si>
    <t>NS-TER24-C438</t>
  </si>
  <si>
    <t>HT_MP_Acocolao_Paniqui_Tarlac</t>
  </si>
  <si>
    <t>26/07/2025</t>
  </si>
  <si>
    <t>PH030820</t>
  </si>
  <si>
    <t>NS-TER24-C439</t>
  </si>
  <si>
    <t>HT_MP_Apsayan_Gerona_Tarlac</t>
  </si>
  <si>
    <t>9/29/2025: Energized. 
9/23/2025: Temporary power applied. JTSS done. For line construction once weather is ok.</t>
  </si>
  <si>
    <t>PH030831</t>
  </si>
  <si>
    <t>NS-TER24-C440</t>
  </si>
  <si>
    <t>HT_MP_Toledo_Ramos_Tarlac</t>
  </si>
  <si>
    <t>Ramos</t>
  </si>
  <si>
    <t>PH030805</t>
  </si>
  <si>
    <t>NS-TER24-C441</t>
  </si>
  <si>
    <t>HT_MP_Cardona_Gerona_Tarlac</t>
  </si>
  <si>
    <t>FTAPPQ0012843</t>
  </si>
  <si>
    <t>FTAPPO0011982</t>
  </si>
  <si>
    <t>10/20/2025: For material inspection and NTP. 5/2025: Awaiting NTP from coop</t>
  </si>
  <si>
    <t>PH030810</t>
  </si>
  <si>
    <t>NS-TER24-C442</t>
  </si>
  <si>
    <t>HT_MP_VillaPaz_Gerona_Tarlac</t>
  </si>
  <si>
    <t>FTAPPQ0012904</t>
  </si>
  <si>
    <t>FTAPPO0012033</t>
  </si>
  <si>
    <t>PH030803</t>
  </si>
  <si>
    <t>NS-TER24-C444</t>
  </si>
  <si>
    <t>HT_MP_SanJacinto_Victoria_Tarlac</t>
  </si>
  <si>
    <t>Victoria</t>
  </si>
  <si>
    <t>PH030800</t>
  </si>
  <si>
    <t>NS-TER24-C445</t>
  </si>
  <si>
    <t>HT_MP_Trinidad(Trinidad Primero)_CityOfTarlac(Capital)_Tarlac</t>
  </si>
  <si>
    <t xml:space="preserve">Survey Schedule </t>
  </si>
  <si>
    <t>10/20/2025: For energization. 10/12/2025: For final inspection of the coop prior to coop BOM. 9/23/2025: Temporary power applied. For coop JTSS schedule once weather is okay.</t>
  </si>
  <si>
    <t>10/20/2026: For TTC energization. Awaiting postcon permits</t>
  </si>
  <si>
    <t>PH030822</t>
  </si>
  <si>
    <t>NS-TER24-C446</t>
  </si>
  <si>
    <t>HT_MP_Tibag_CityOfTarlac(Capital)_Tarlac</t>
  </si>
  <si>
    <t>27/09/2025</t>
  </si>
  <si>
    <t>PH030887</t>
  </si>
  <si>
    <t>NS-TER24-C450</t>
  </si>
  <si>
    <t>HT_MP_EastDirita_SanAntonio_Zambales</t>
  </si>
  <si>
    <t xml:space="preserve">PH060483 </t>
  </si>
  <si>
    <t>NS-TER24-D128</t>
  </si>
  <si>
    <t>BrgyBaybay_MAKATO_AKLAN_MACRO2024</t>
  </si>
  <si>
    <t>PH060455</t>
  </si>
  <si>
    <t>NS-TER24-D131</t>
  </si>
  <si>
    <t>T6_NewSite_4_250_200004</t>
  </si>
  <si>
    <t>Batan</t>
  </si>
  <si>
    <t>Purok Centro</t>
  </si>
  <si>
    <t>15/06/2025</t>
  </si>
  <si>
    <t>PH060482</t>
  </si>
  <si>
    <t>NS-TER24-D133</t>
  </si>
  <si>
    <t>BrgySan Ramon_MALINAO_AKLAN_MACRO2024</t>
  </si>
  <si>
    <t>Malinao</t>
  </si>
  <si>
    <t>PH060486</t>
  </si>
  <si>
    <t>NS-TER24-D297</t>
  </si>
  <si>
    <t>BrgySan Fernando_MIAGAO_ILOILO_MACRO2024</t>
  </si>
  <si>
    <t>PH060485</t>
  </si>
  <si>
    <t>NS-TER24-D327</t>
  </si>
  <si>
    <t>BrgySan Roque_MALINAO_AKLAN_MACRO2024</t>
  </si>
  <si>
    <t>PH060484</t>
  </si>
  <si>
    <t>NS-TER24-D363</t>
  </si>
  <si>
    <t xml:space="preserve">BrgyAtabay_TOBIAS FORNIER (DAO)_ANTIQUE_MACRO2024 
</t>
  </si>
  <si>
    <t>PH110550</t>
  </si>
  <si>
    <t>NS-TER24-D893</t>
  </si>
  <si>
    <t>Brgy.MatinaCrossing03_DavaoCity_DavaoDelSur</t>
  </si>
  <si>
    <t>PH110542</t>
  </si>
  <si>
    <t>NS-TER24-D894</t>
  </si>
  <si>
    <t>Brgy.WilfredoAquino_DavaoCity_DavaoDelSur</t>
  </si>
  <si>
    <t>PH110570</t>
  </si>
  <si>
    <t>NS-TER24-D895</t>
  </si>
  <si>
    <t>2023_Masterplan_Additional_Nomination_10</t>
  </si>
  <si>
    <t>Purok 1, Mudiang</t>
  </si>
  <si>
    <t>PH110552</t>
  </si>
  <si>
    <t>NS-TER24-D896</t>
  </si>
  <si>
    <t>Brgy.Tibungco_DavaoCity_DavaoDelSur</t>
  </si>
  <si>
    <t>PH110626</t>
  </si>
  <si>
    <t>NS-TER24-D897</t>
  </si>
  <si>
    <t>Brgy.Talandang03_DavaoCity_DavaoDelSur</t>
  </si>
  <si>
    <t>PH110544</t>
  </si>
  <si>
    <t>NS-TER24-D903</t>
  </si>
  <si>
    <t>Brgy.Bucana05_DavaoCity_DavaoDelSur</t>
  </si>
  <si>
    <t>PH110576</t>
  </si>
  <si>
    <t>NS-TER24-D904</t>
  </si>
  <si>
    <t>Brgy.Bucana06_DavaoCity_DavaoDelSur</t>
  </si>
  <si>
    <t>PH110551</t>
  </si>
  <si>
    <t>NS-TER24-D905</t>
  </si>
  <si>
    <t>Brgy.Talomo(Pob.)09_DavaoCity_DavaoDelSur</t>
  </si>
  <si>
    <t>PH110549</t>
  </si>
  <si>
    <t>NS-TER24-D906</t>
  </si>
  <si>
    <t>Brgy.MatinaAplaya03_DavaoCity_DavaoDelSur</t>
  </si>
  <si>
    <t>#66 Garnett St., Sto. Niño</t>
  </si>
  <si>
    <t>PH110543</t>
  </si>
  <si>
    <t>NS-TER24-D911</t>
  </si>
  <si>
    <t>Brgy.Barangay14-B(Pob.)_DavaoCity_DavaoDelSur</t>
  </si>
  <si>
    <t>PH110575</t>
  </si>
  <si>
    <t>NS-TER24-D912</t>
  </si>
  <si>
    <t>Brgy.Gov.PacianoBangoy02_DavaoCity_DavaoDelSur</t>
  </si>
  <si>
    <t>PH110555</t>
  </si>
  <si>
    <t>NS-TER24-D913</t>
  </si>
  <si>
    <t>Brgy.VicenteHizonSr.06_DavaoCity_DavaoDelSur</t>
  </si>
  <si>
    <t>PH110546</t>
  </si>
  <si>
    <t>NS-TER24-D914</t>
  </si>
  <si>
    <t>Brgy.Buhangin(Pob.)06_DavaoCity_DavaoDelSur</t>
  </si>
  <si>
    <t>PH130175</t>
  </si>
  <si>
    <t>NS-TER24-D931</t>
  </si>
  <si>
    <t>Brgy.Aurora01_SantaJosefa_AgusanDelSur</t>
  </si>
  <si>
    <t>Santa Josefa</t>
  </si>
  <si>
    <t>PH130162</t>
  </si>
  <si>
    <t>NS-TER24-D943</t>
  </si>
  <si>
    <t>Brgy.Poblacion_Magallanes_AgusanDelNorte</t>
  </si>
  <si>
    <t>Magallanes</t>
  </si>
  <si>
    <t>29/08/2025</t>
  </si>
  <si>
    <t>PH090226</t>
  </si>
  <si>
    <t>NS-TER24-D959</t>
  </si>
  <si>
    <t>Brgy.Sinunoc_ZamboangaCity_ZamboangaDelSur</t>
  </si>
  <si>
    <t>PH140188</t>
  </si>
  <si>
    <t>NS-TER24-D973</t>
  </si>
  <si>
    <t>Brgy.Maslabeng_Buluan_Maguindanao</t>
  </si>
  <si>
    <t>PH140190</t>
  </si>
  <si>
    <t>NS-TER24-D988</t>
  </si>
  <si>
    <t>Brgy.Elian_DatuSaudi-Ampatuan_Maguindanao</t>
  </si>
  <si>
    <t>PH140189</t>
  </si>
  <si>
    <t>NS-TER24-D993</t>
  </si>
  <si>
    <t>Brgy.Landasan(Sarmiento)01_Parang_Maguindanao</t>
  </si>
  <si>
    <t>Parang</t>
  </si>
  <si>
    <t>De Jesus Zone</t>
  </si>
  <si>
    <t>PH140246</t>
  </si>
  <si>
    <t>NS-TER24-D995</t>
  </si>
  <si>
    <t>Brgy.Pandag_Pandag_Maguindanao</t>
  </si>
  <si>
    <t>PH140256</t>
  </si>
  <si>
    <t>NS-TER24-E03</t>
  </si>
  <si>
    <t>Brgy.Pageda_Talitay_Maguindanao</t>
  </si>
  <si>
    <t>PH140253</t>
  </si>
  <si>
    <t>NS-TER24-E08</t>
  </si>
  <si>
    <t>Brgy.Buayan_DatuPiang_Maguindanao</t>
  </si>
  <si>
    <t>PH140251</t>
  </si>
  <si>
    <t>NS-TER24-E102</t>
  </si>
  <si>
    <t>Brgy.Buliok02_Pagalungan_Maguindanao</t>
  </si>
  <si>
    <t>PH140209</t>
  </si>
  <si>
    <t>NS-TER24-E106</t>
  </si>
  <si>
    <t>Brgy.PandanNiog_Pangutaran_Sulu</t>
  </si>
  <si>
    <t>Pangutaran</t>
  </si>
  <si>
    <t>PH140235</t>
  </si>
  <si>
    <t>NS-TER24-E107</t>
  </si>
  <si>
    <t>Brgy.Tingkangan_Lugus_Sulu</t>
  </si>
  <si>
    <t>Lugus</t>
  </si>
  <si>
    <t>PH140207</t>
  </si>
  <si>
    <t>NS-TER24-E108</t>
  </si>
  <si>
    <t>Brgy.Silangkan_Parang_Sulu</t>
  </si>
  <si>
    <t>PH140199</t>
  </si>
  <si>
    <t>NS-TER24-E112</t>
  </si>
  <si>
    <t>Brgy.Su-uh_OldPanamao_Sulu</t>
  </si>
  <si>
    <t>Old Panamao</t>
  </si>
  <si>
    <t>PH140214</t>
  </si>
  <si>
    <t>NS-TER24-E114</t>
  </si>
  <si>
    <t>Brgy.Pang02_KalingalanCaluang_Sulu</t>
  </si>
  <si>
    <t>Kalingalan Caluang</t>
  </si>
  <si>
    <t>PH140196</t>
  </si>
  <si>
    <t>NS-TER24-E115</t>
  </si>
  <si>
    <t>Brgy.Angilan_Omar_Sulu</t>
  </si>
  <si>
    <t>Omar</t>
  </si>
  <si>
    <t>PH140208</t>
  </si>
  <si>
    <t>NS-TER24-E116</t>
  </si>
  <si>
    <t>Brgy.Bawisan_Parang_Sulu</t>
  </si>
  <si>
    <t>PH140198</t>
  </si>
  <si>
    <t>NS-TER24-E117</t>
  </si>
  <si>
    <t>Brgy.Anuling_Patikul_Sulu</t>
  </si>
  <si>
    <t>PH140215</t>
  </si>
  <si>
    <t>NS-TER24-E118</t>
  </si>
  <si>
    <t>Brgy.BualoLahi_Maimbung_Sulu</t>
  </si>
  <si>
    <t>Maimbung</t>
  </si>
  <si>
    <t>PH140205</t>
  </si>
  <si>
    <t>NS-TER24-E127</t>
  </si>
  <si>
    <t>Brgy.Ungus-ungus_Sibutu_Tawi-Tawi</t>
  </si>
  <si>
    <t>Sibutu</t>
  </si>
  <si>
    <t>PH140204</t>
  </si>
  <si>
    <t>NS-TER24-E137</t>
  </si>
  <si>
    <t>Brgy.ManukMangkaw_Simunul_Tawi-Tawi</t>
  </si>
  <si>
    <t>Simunul</t>
  </si>
  <si>
    <t>PH140216</t>
  </si>
  <si>
    <t>NS-TER24-E141</t>
  </si>
  <si>
    <t>Brgy.Talisay_Sibutu_Tawi-Tawi</t>
  </si>
  <si>
    <t>PH140203</t>
  </si>
  <si>
    <t>NS-TER24-E142</t>
  </si>
  <si>
    <t>Brgy.Pagasinan_Simunul_Tawi-Tawi</t>
  </si>
  <si>
    <t>PH140236</t>
  </si>
  <si>
    <t>NS-TER24-E145</t>
  </si>
  <si>
    <t>Brgy.TapianSukah_Tandubas_Tawi-Tawi</t>
  </si>
  <si>
    <t>Tandubas</t>
  </si>
  <si>
    <t>PH140233</t>
  </si>
  <si>
    <t>NS-TER24-E146</t>
  </si>
  <si>
    <t>Brgy.TongTampakan_SouthUbian_Tawi-Tawi</t>
  </si>
  <si>
    <t>South Ubian</t>
  </si>
  <si>
    <t>PH140254</t>
  </si>
  <si>
    <t>NS-TER24-E193</t>
  </si>
  <si>
    <t>Brgy.NuroPoblacion_Upi_Maguindanao</t>
  </si>
  <si>
    <t>PH140267</t>
  </si>
  <si>
    <t>NS-TER24-E194</t>
  </si>
  <si>
    <t>Brgy.Mirab01_Upi_Maguindanao</t>
  </si>
  <si>
    <t>PH140248</t>
  </si>
  <si>
    <t>NS-TER24-E284</t>
  </si>
  <si>
    <t>Brgy.Iganagampong_DatuUnsay_Maguindanao</t>
  </si>
  <si>
    <t>PH140252</t>
  </si>
  <si>
    <t>NS-TER24-E354</t>
  </si>
  <si>
    <t>Brgy.Tulunan_DatuAnggalMidtimbang_Maguindanao</t>
  </si>
  <si>
    <t>PH140247</t>
  </si>
  <si>
    <t>NS-TER24-E390</t>
  </si>
  <si>
    <t>Brgy.Bulod02_Gen.S.K.Pendatun_Maguindanao</t>
  </si>
  <si>
    <t>PH090251</t>
  </si>
  <si>
    <t>NS-TER24-E407</t>
  </si>
  <si>
    <t>Brgy.Manalipa02_ZamboangaCity_ZamboangaDelSur</t>
  </si>
  <si>
    <t>PH090227</t>
  </si>
  <si>
    <t>NS-TER24-E421</t>
  </si>
  <si>
    <t>Brgy.Curuan02_ZamboangaCity_ZamboangaDelSur</t>
  </si>
  <si>
    <t>PH090229</t>
  </si>
  <si>
    <t>NS-TER24-E437</t>
  </si>
  <si>
    <t>Brgy.Tagasilay_ZamboangaCity_ZamboangaDelSur</t>
  </si>
  <si>
    <t>PH090252</t>
  </si>
  <si>
    <t>NS-TER24-E463</t>
  </si>
  <si>
    <t>Brgy.Tumalutab_ZamboangaCity_ZamboangaDelSur</t>
  </si>
  <si>
    <t>PH140237</t>
  </si>
  <si>
    <t>NS-TER24-E476</t>
  </si>
  <si>
    <t>Brgy.MahayahayUpper(ZoneII)01_Maluso_Basilan</t>
  </si>
  <si>
    <t>Maluso</t>
  </si>
  <si>
    <t>PH140238</t>
  </si>
  <si>
    <t>NS-TER24-E478</t>
  </si>
  <si>
    <t>Brgy.Guiong01_Sumisip_Basilan</t>
  </si>
  <si>
    <t>Sumisip</t>
  </si>
  <si>
    <t>PH140200</t>
  </si>
  <si>
    <t>NS-TER24-E480</t>
  </si>
  <si>
    <t>Brgy.UpperBato-bato_LamitanCity(Capital)_Basilan</t>
  </si>
  <si>
    <t>PH140231</t>
  </si>
  <si>
    <t>NS-TER24-E484</t>
  </si>
  <si>
    <t>Brgy.Sumagdang02_IsabelaCity_Basilan</t>
  </si>
  <si>
    <t>PH140230</t>
  </si>
  <si>
    <t>NS-TER24-E485</t>
  </si>
  <si>
    <t>Brgy.SantaBarbara_IsabelaCity_Basilan</t>
  </si>
  <si>
    <t>PH140212</t>
  </si>
  <si>
    <t>NS-TER24-E486</t>
  </si>
  <si>
    <t>Brgy.TablasUsew_Tuburan_Basilan</t>
  </si>
  <si>
    <t>Tuburan</t>
  </si>
  <si>
    <t>PH130178</t>
  </si>
  <si>
    <t>NS-TER24-E488</t>
  </si>
  <si>
    <t>Brgy.Gosoon_Carmen_AgusanDelNorte</t>
  </si>
  <si>
    <t>Carmen</t>
  </si>
  <si>
    <t>PH130174</t>
  </si>
  <si>
    <t>NS-TER24-E492</t>
  </si>
  <si>
    <t>Brgy.Pianing_ButuanCity(Capital)_AgusanDelNorte</t>
  </si>
  <si>
    <t>PH140229</t>
  </si>
  <si>
    <t>NS-TER24-E529</t>
  </si>
  <si>
    <t>Brgy.Kumalarang_IsabelaCity_Basilan</t>
  </si>
  <si>
    <t>PH140213</t>
  </si>
  <si>
    <t>NS-TER24-E530</t>
  </si>
  <si>
    <t>Brgy.Cabunbata_IsabelaCity_Basilan</t>
  </si>
  <si>
    <t>PH140239</t>
  </si>
  <si>
    <t>NS-TER24-E531</t>
  </si>
  <si>
    <t>Brgy.Lumbang_IsabelaCity_Basilan</t>
  </si>
  <si>
    <t>PH140232</t>
  </si>
  <si>
    <t>NS-TER24-E532</t>
  </si>
  <si>
    <t>Brgy.Calvario_IsabelaCity_Basilan</t>
  </si>
  <si>
    <t>PH110571</t>
  </si>
  <si>
    <t>NS-TER24-E564</t>
  </si>
  <si>
    <t>T7_NewSite_7_58_350302</t>
  </si>
  <si>
    <t>PH110557</t>
  </si>
  <si>
    <t>NS-TER24-E580</t>
  </si>
  <si>
    <t>Brgy.Cogon_IslandGardenCityOfSamal_DavaoDelNorte</t>
  </si>
  <si>
    <t>Island Garden City of Samal</t>
  </si>
  <si>
    <t>Lot E-14-D</t>
  </si>
  <si>
    <t>31/07/2025</t>
  </si>
  <si>
    <t>PH110629</t>
  </si>
  <si>
    <t>NS-TER24-E594</t>
  </si>
  <si>
    <t>Brgy.NewKatipunan01_SantoTomas_DavaoDelNorte</t>
  </si>
  <si>
    <t>PH110630</t>
  </si>
  <si>
    <t>NS-TER24-E618</t>
  </si>
  <si>
    <t>Brgy.Cabaywa_Asuncion(Saug)_DavaoDelNorte</t>
  </si>
  <si>
    <t>PH110580</t>
  </si>
  <si>
    <t>NS-TER24-E786</t>
  </si>
  <si>
    <t>Brgy.Batuganding_Sarangani_DavaoOccidental</t>
  </si>
  <si>
    <t>PH110600</t>
  </si>
  <si>
    <t>NS-TER24-E796</t>
  </si>
  <si>
    <t>Brgy.Nuing02_JoseAbadSantos(Trinidad)_DavaoOccidental</t>
  </si>
  <si>
    <t>PH110601</t>
  </si>
  <si>
    <t>NS-TER24-E800</t>
  </si>
  <si>
    <t>Brgy.Patulang_JoseAbadSantos(Trinidad)_DavaoOccidental</t>
  </si>
  <si>
    <t>PH110602</t>
  </si>
  <si>
    <t>NS-TER24-E801</t>
  </si>
  <si>
    <t>Brgy.Kalbay_JoseAbadSantos(Trinidad)_DavaoOccidental</t>
  </si>
  <si>
    <t>PH110603</t>
  </si>
  <si>
    <t>NS-TER24-E803</t>
  </si>
  <si>
    <t>Brgy.Tabayon_JoseAbadSantos(Trinidad)_DavaoOccidental</t>
  </si>
  <si>
    <t>PH110604</t>
  </si>
  <si>
    <t>NS-TER24-E805</t>
  </si>
  <si>
    <t>Brgy.CaburanSmall(Pob.)_JoseAbadSantos(Trinidad)_DavaoOccidental</t>
  </si>
  <si>
    <t>PH110566</t>
  </si>
  <si>
    <t>NS-TER24-E810</t>
  </si>
  <si>
    <t>Brgy.Talagutong(Pob.)_DonMarcelino_DavaoOccidental</t>
  </si>
  <si>
    <t>PH110605</t>
  </si>
  <si>
    <t>NS-TER24-E812</t>
  </si>
  <si>
    <t>Brgy.Lagumit_Malita(Capital)_DavaoOccidental</t>
  </si>
  <si>
    <t>PH110609</t>
  </si>
  <si>
    <t>NS-TER24-E880</t>
  </si>
  <si>
    <t>Brgy.DonSalvadorLopez,Sr._MatiCity(Capital)_DavaoOriental</t>
  </si>
  <si>
    <t>PH140259</t>
  </si>
  <si>
    <t>NS-TER24-E91</t>
  </si>
  <si>
    <t>Brgy.Dinganen03_Buldon_Maguindanao</t>
  </si>
  <si>
    <t>PH110623</t>
  </si>
  <si>
    <t>NS-TER24-E927</t>
  </si>
  <si>
    <t>Brgy.Batobato(Pob.)_SanIsidro_DavaoOriental</t>
  </si>
  <si>
    <t>PH120366</t>
  </si>
  <si>
    <t>NS-TER24-F114</t>
  </si>
  <si>
    <t>Brgy.Kiyaab_Antipas_NorthCotabato</t>
  </si>
  <si>
    <t>PH120363</t>
  </si>
  <si>
    <t>NS-TER24-F120</t>
  </si>
  <si>
    <t>Brgy.Pangao-an_Magpet_NorthCotabato</t>
  </si>
  <si>
    <t>Magpet</t>
  </si>
  <si>
    <t>PH120344</t>
  </si>
  <si>
    <t>NS-TER24-F125</t>
  </si>
  <si>
    <t>Brgy.Bao02_Alamada_NorthCotabato</t>
  </si>
  <si>
    <t>Alamada</t>
  </si>
  <si>
    <t>L2B11</t>
  </si>
  <si>
    <t>PH120379</t>
  </si>
  <si>
    <t>NS-TER24-F127</t>
  </si>
  <si>
    <t>Brgy.Buayan_M'Lang_NorthCotabato</t>
  </si>
  <si>
    <t>PH120380</t>
  </si>
  <si>
    <t>NS-TER24-F143</t>
  </si>
  <si>
    <t>Brgy.Marbel_Matalam_NorthCotabato</t>
  </si>
  <si>
    <t>Matalam</t>
  </si>
  <si>
    <t>PH120361</t>
  </si>
  <si>
    <t>NS-TER24-F144</t>
  </si>
  <si>
    <t>Brgy.Dalapitan02_Matalam_NorthCotabato</t>
  </si>
  <si>
    <t>Purok Langka</t>
  </si>
  <si>
    <t>PH120339</t>
  </si>
  <si>
    <t>NS-TER24-F147</t>
  </si>
  <si>
    <t>Brgy.Taluntalunan_Makilala_NorthCotabato</t>
  </si>
  <si>
    <t>Makilala</t>
  </si>
  <si>
    <t>PH130156</t>
  </si>
  <si>
    <t>NS-TER24-F160</t>
  </si>
  <si>
    <t>Brgy.Caloc-an03_Magallanes_AgusanDelNorte</t>
  </si>
  <si>
    <t>16/05/2025</t>
  </si>
  <si>
    <t>PH130176</t>
  </si>
  <si>
    <t>NS-TER24-F161</t>
  </si>
  <si>
    <t>Brgy.Basilisa_RemediosT.Romualdez_AgusanDelNorte</t>
  </si>
  <si>
    <t>Remedios T. Romualdez</t>
  </si>
  <si>
    <t>PH130147</t>
  </si>
  <si>
    <t>NS-TER24-F164</t>
  </si>
  <si>
    <t>Brgy.Comagascas_CabadbaranCity_AgusanDelNorte</t>
  </si>
  <si>
    <t>City of Cabadbaran</t>
  </si>
  <si>
    <t>PH130142</t>
  </si>
  <si>
    <t>NS-TER24-F165</t>
  </si>
  <si>
    <t>Brgy.Calibunan_CabadbaranCity_AgusanDelNorte</t>
  </si>
  <si>
    <t>PH130136</t>
  </si>
  <si>
    <t>NS-TER24-F171</t>
  </si>
  <si>
    <t>Brgy.Kinamlutan_ButuanCity_AgusanDelNorte</t>
  </si>
  <si>
    <t>Brgy. Kinamlutan, Butuan City, Agusan Del Norte</t>
  </si>
  <si>
    <t>PH130152</t>
  </si>
  <si>
    <t>NS-TER24-F192</t>
  </si>
  <si>
    <t>Brgy.SanIsidro_SanFrancisco_AgusanDelSur</t>
  </si>
  <si>
    <t>San Francisco</t>
  </si>
  <si>
    <t>PH130160</t>
  </si>
  <si>
    <t>NS-TER24-F196</t>
  </si>
  <si>
    <t>Brgy.Guadalupe_Esperanza_AgusanDelSur</t>
  </si>
  <si>
    <t>Esperanza</t>
  </si>
  <si>
    <t>PH100381</t>
  </si>
  <si>
    <t>NS-TER24-F200</t>
  </si>
  <si>
    <t>Brgy.SantoNiño_ManoloFortich_Bukidnon</t>
  </si>
  <si>
    <t>Zone 2</t>
  </si>
  <si>
    <t>26/08/2025</t>
  </si>
  <si>
    <t>PH100342</t>
  </si>
  <si>
    <t>NS-TER24-F207</t>
  </si>
  <si>
    <t>Brgy.Simaya_MalaybalayCity(Capital)_Bukidnon</t>
  </si>
  <si>
    <t>PH100314</t>
  </si>
  <si>
    <t>NS-TER24-F215</t>
  </si>
  <si>
    <t>Brgy.Kinawe_Libona_Bukidnon</t>
  </si>
  <si>
    <t>Libona</t>
  </si>
  <si>
    <t>Lot 3</t>
  </si>
  <si>
    <t>23/05/2025</t>
  </si>
  <si>
    <t>PH100343</t>
  </si>
  <si>
    <t>NS-TER24-F216</t>
  </si>
  <si>
    <t>Brgy.Lingion_ManoloFortich_Bukidnon</t>
  </si>
  <si>
    <t>PH100316</t>
  </si>
  <si>
    <t>NS-TER24-F218</t>
  </si>
  <si>
    <t>Brgy.Baclayon_Lantapan_Bukidnon</t>
  </si>
  <si>
    <t>22/05/2025</t>
  </si>
  <si>
    <t>PH130171</t>
  </si>
  <si>
    <t>NS-TER24-F234</t>
  </si>
  <si>
    <t>Brgy.SantaCruz(Pob.)_Loreto_DinagatIslands</t>
  </si>
  <si>
    <t>Loreto</t>
  </si>
  <si>
    <t>Purok 1, Mabini Street</t>
  </si>
  <si>
    <t>PH090219</t>
  </si>
  <si>
    <t>NS-TER24-F274</t>
  </si>
  <si>
    <t>Brgy.Poblacion(Titay)_Titay_ZamboangaSibugay</t>
  </si>
  <si>
    <t>Titay</t>
  </si>
  <si>
    <t>27/07/2025</t>
  </si>
  <si>
    <t>PH090240</t>
  </si>
  <si>
    <t>NS-TER24-F275</t>
  </si>
  <si>
    <t>Brgy.Poblacion_Naga_ZamboangaSibugay</t>
  </si>
  <si>
    <t>Naga</t>
  </si>
  <si>
    <t>PH090207</t>
  </si>
  <si>
    <t>NS-TER24-F278</t>
  </si>
  <si>
    <t>Brgy.Lintangan_Sibuco_ZamboangaDelNorte</t>
  </si>
  <si>
    <t>Sibuco</t>
  </si>
  <si>
    <t>Brgy.Lintangan Sibuco, ZamboangaDelNorte</t>
  </si>
  <si>
    <t>PH090208</t>
  </si>
  <si>
    <t>NS-TER24-F279</t>
  </si>
  <si>
    <t>Brgy.Sicayab01_DipologCity(Capital)_ZamboangaDelNorte</t>
  </si>
  <si>
    <t>PH090217</t>
  </si>
  <si>
    <t>NS-TER24-F282</t>
  </si>
  <si>
    <t>Brgy.Imelda_Labason_ZamboangaDelNorte</t>
  </si>
  <si>
    <t>Labason</t>
  </si>
  <si>
    <t>Brgy. Imelda, Labason, Zamboanga Del Norte</t>
  </si>
  <si>
    <t>PH090220</t>
  </si>
  <si>
    <t>NS-TER24-F283</t>
  </si>
  <si>
    <t>Brgy.Bitoon_Sindangan_ZamboangaDelNorte</t>
  </si>
  <si>
    <t>Sindangan</t>
  </si>
  <si>
    <t>PH090214</t>
  </si>
  <si>
    <t>NS-TER24-F284</t>
  </si>
  <si>
    <t>Brgy.Goleo_Sindangan_ZamboangaDelNorte</t>
  </si>
  <si>
    <t>PH090241</t>
  </si>
  <si>
    <t>NS-TER24-F291</t>
  </si>
  <si>
    <t>Brgy.Baluran01_Tungawan_ZamboangaSibugay</t>
  </si>
  <si>
    <t>Tungawan</t>
  </si>
  <si>
    <t>PH090242</t>
  </si>
  <si>
    <t>NS-TER24-F292</t>
  </si>
  <si>
    <t>Brgy.Tigbanuang_Tungawan_ZamboangaSibugay</t>
  </si>
  <si>
    <t>Sitio Catulang</t>
  </si>
  <si>
    <t>PH090237</t>
  </si>
  <si>
    <t>NS-TER24-F299</t>
  </si>
  <si>
    <t>Brgy.Caparan_Ipil(Capital)_ZamboangaSibugay</t>
  </si>
  <si>
    <t>Purok Santan</t>
  </si>
  <si>
    <t>PH090236</t>
  </si>
  <si>
    <t>NS-TER24-F319</t>
  </si>
  <si>
    <t>Brgy.Coloran_Siay_ZamboangaSibugay</t>
  </si>
  <si>
    <t>Siay</t>
  </si>
  <si>
    <t>Purok 5, Sitio Coloy</t>
  </si>
  <si>
    <t>PH090245</t>
  </si>
  <si>
    <t>NS-TER24-F330</t>
  </si>
  <si>
    <t>Brgy.Pling_Buug_ZamboangaSibugay</t>
  </si>
  <si>
    <t>Buug</t>
  </si>
  <si>
    <t>PH090246</t>
  </si>
  <si>
    <t>NS-TER24-F339</t>
  </si>
  <si>
    <t>Brgy.Pamintayan_Buug_ZamboangaSibugay</t>
  </si>
  <si>
    <t>PH090247</t>
  </si>
  <si>
    <t>NS-TER24-F342</t>
  </si>
  <si>
    <t>Brgy.Songcuya_Diplahan_ZamboangaSibugay</t>
  </si>
  <si>
    <t>Diplahan</t>
  </si>
  <si>
    <t>PH090248</t>
  </si>
  <si>
    <t>NS-TER24-F347</t>
  </si>
  <si>
    <t>Brgy.Balangao_Diplahan_ZamboangaSibugay</t>
  </si>
  <si>
    <t>PH090250</t>
  </si>
  <si>
    <t>NS-TER24-F360</t>
  </si>
  <si>
    <t>Brgy.Balungisan_Payao_ZamboangaSibugay</t>
  </si>
  <si>
    <t>Payao</t>
  </si>
  <si>
    <t>PH100333</t>
  </si>
  <si>
    <t>NS-TER24-F379</t>
  </si>
  <si>
    <t>Brgy.Tenazas_Lala_LanaoDelNorte</t>
  </si>
  <si>
    <t>Lala</t>
  </si>
  <si>
    <t>PH100334</t>
  </si>
  <si>
    <t>NS-TER24-F381</t>
  </si>
  <si>
    <t>Brgy.Bulod_Tubod(Capital)_LanaoDelNorte</t>
  </si>
  <si>
    <t>Tubod (Capital)</t>
  </si>
  <si>
    <t>PH100350</t>
  </si>
  <si>
    <t>NS-TER24-F383</t>
  </si>
  <si>
    <t>Brgy.Rebucon_Kolambugan_LanaoDelNorte</t>
  </si>
  <si>
    <t>Kolambugan</t>
  </si>
  <si>
    <t>PH100341</t>
  </si>
  <si>
    <t>NS-TER24-F384</t>
  </si>
  <si>
    <t>Brgy.Balagatasa_Maigo_LanaoDelNorte</t>
  </si>
  <si>
    <t>Maigo</t>
  </si>
  <si>
    <t>PH100330</t>
  </si>
  <si>
    <t>NS-TER24-F385</t>
  </si>
  <si>
    <t>Brgy.Binuni_Bacolod_LanaoDelNorte</t>
  </si>
  <si>
    <t>Bacolod</t>
  </si>
  <si>
    <t>PH100292</t>
  </si>
  <si>
    <t>NS-TER24-F389</t>
  </si>
  <si>
    <t>Brgy.Maria-Cristina_Baloi_LanaoDelNorte</t>
  </si>
  <si>
    <t>Baloi</t>
  </si>
  <si>
    <t>PH100347</t>
  </si>
  <si>
    <t>NS-TER24-F396</t>
  </si>
  <si>
    <t>Brgy.BansarvilII_SultanNagaDimaporo(Karomatan)_LanaoDelNorte</t>
  </si>
  <si>
    <t>Sultan Naga Dimaporo</t>
  </si>
  <si>
    <t>PH100340</t>
  </si>
  <si>
    <t>NS-TER24-F408</t>
  </si>
  <si>
    <t>Brgy.KalangananEast_Pantar_LanaoDelNorte</t>
  </si>
  <si>
    <t>Pantar</t>
  </si>
  <si>
    <t>PH100335</t>
  </si>
  <si>
    <t>NS-TER24-F409</t>
  </si>
  <si>
    <t>Brgy.Tawanan_Pantar_LanaoDelNorte</t>
  </si>
  <si>
    <t>PH100361</t>
  </si>
  <si>
    <t>NS-TER24-F410</t>
  </si>
  <si>
    <t>Brgy.Inagongan_Tagoloan_LanaoDelNorte</t>
  </si>
  <si>
    <t>Brgy. Inagongan, Tagoloan, Lanao Del Norte</t>
  </si>
  <si>
    <t>PH100338</t>
  </si>
  <si>
    <t>NS-TER24-F411</t>
  </si>
  <si>
    <t>Brgy.UpperHinaplanon_IliganCity_LanaoDelNorte</t>
  </si>
  <si>
    <t>ILPI</t>
  </si>
  <si>
    <t>City of Iligan</t>
  </si>
  <si>
    <t>Brgy. Bonbonon, Iligan City, Lanao del Norte</t>
  </si>
  <si>
    <t>PH140210</t>
  </si>
  <si>
    <t>NS-TER24-F430</t>
  </si>
  <si>
    <t>Brgy.Bagoaingud_Tugaya_LanaoDelSur</t>
  </si>
  <si>
    <t>Tugaya</t>
  </si>
  <si>
    <t>PH140218</t>
  </si>
  <si>
    <t>NS-TER24-F431</t>
  </si>
  <si>
    <t>Brgy.Borakis_Balindong(Watu)_LanaoDelSur</t>
  </si>
  <si>
    <t>Balindong</t>
  </si>
  <si>
    <t>PH140228</t>
  </si>
  <si>
    <t>NS-TER24-F433</t>
  </si>
  <si>
    <t>Brgy.Bagoaingud_Saguiaran_LanaoDelSur</t>
  </si>
  <si>
    <t>Saguiaran</t>
  </si>
  <si>
    <t>PH140194</t>
  </si>
  <si>
    <t>NS-TER24-F434</t>
  </si>
  <si>
    <t>Brgy.Dulay_MarawiCity(Capital)_LanaoDelSur</t>
  </si>
  <si>
    <t>PH140227</t>
  </si>
  <si>
    <t>NS-TER24-F444</t>
  </si>
  <si>
    <t>Brgy.Bobo_Piagapo_LanaoDelSur</t>
  </si>
  <si>
    <t>Piagapo</t>
  </si>
  <si>
    <t>PH140195</t>
  </si>
  <si>
    <t>NS-TER24-F445</t>
  </si>
  <si>
    <t>Brgy.Toros_MarawiCity(Capital)_LanaoDelSur</t>
  </si>
  <si>
    <t>PH140202</t>
  </si>
  <si>
    <t>NS-TER24-F449</t>
  </si>
  <si>
    <t>Brgy.Pagayawan_Bubong_LanaoDelSur</t>
  </si>
  <si>
    <t>Bubong</t>
  </si>
  <si>
    <t>PH140217</t>
  </si>
  <si>
    <t>NS-TER24-F450</t>
  </si>
  <si>
    <t>Brgy.Frankfort_Bumbaran_LanaoDelSur</t>
  </si>
  <si>
    <t>Bumbaran</t>
  </si>
  <si>
    <t>Amai Manabilang</t>
  </si>
  <si>
    <t>PH140260</t>
  </si>
  <si>
    <t>NS-TER24-F469</t>
  </si>
  <si>
    <t>Brgy.Dalipuga_Lumbatan_LanaoDelSur</t>
  </si>
  <si>
    <t>PH140226</t>
  </si>
  <si>
    <t>NS-TER24-F472</t>
  </si>
  <si>
    <t>Brgy.Cabasaran02_MarawiCity(Capital)_LanaoDelSur</t>
  </si>
  <si>
    <t>PH100321</t>
  </si>
  <si>
    <t>NS-TER24-F486</t>
  </si>
  <si>
    <t>Brgy.Pan-ay_Clarin_MisamisOccidental</t>
  </si>
  <si>
    <t>Clarin</t>
  </si>
  <si>
    <t>PH130181</t>
  </si>
  <si>
    <t>NS-TER24-F490</t>
  </si>
  <si>
    <t>Brgy.Himamaug_Tagana-An_SurigaoDelNorte</t>
  </si>
  <si>
    <t>SURNECO</t>
  </si>
  <si>
    <t>Tagana-An</t>
  </si>
  <si>
    <t>28/08/2025</t>
  </si>
  <si>
    <t>PH130159</t>
  </si>
  <si>
    <t>NS-TER24-F494</t>
  </si>
  <si>
    <t>Brgy.Matin-ao_Mainit_SurigaoDelNorte</t>
  </si>
  <si>
    <t>Mainit</t>
  </si>
  <si>
    <t>PH130163</t>
  </si>
  <si>
    <t>NS-TER24-F495</t>
  </si>
  <si>
    <t>Brgy.Cansayong_Malimono_SurigaoDelNorte</t>
  </si>
  <si>
    <t>Malimono</t>
  </si>
  <si>
    <t>PH130151</t>
  </si>
  <si>
    <t>NS-TER24-F501</t>
  </si>
  <si>
    <t>Brgy.Poblacion(Alegria)_Alegria_SurigaoDelNorte</t>
  </si>
  <si>
    <t>Alegria</t>
  </si>
  <si>
    <t>18/09/2025</t>
  </si>
  <si>
    <t>PH130167</t>
  </si>
  <si>
    <t>NS-TER24-F506</t>
  </si>
  <si>
    <t>Brgy.Magsaysay(Pob.)_Placer_SurigaoDelNorte</t>
  </si>
  <si>
    <t>Placer</t>
  </si>
  <si>
    <t>PH130154</t>
  </si>
  <si>
    <t>NS-TER24-F507</t>
  </si>
  <si>
    <t>Brgy.Magpayang_Mainit_SurigaoDelNorte</t>
  </si>
  <si>
    <t>25/08/2025</t>
  </si>
  <si>
    <t>PH130161</t>
  </si>
  <si>
    <t>NS-TER24-F508</t>
  </si>
  <si>
    <t>Brgy.Orok_SurigaoCity(Capital)_SurigaoDelNorte</t>
  </si>
  <si>
    <t>City of Surigao (Capital)</t>
  </si>
  <si>
    <t>PH130168</t>
  </si>
  <si>
    <t>NS-TER24-F509</t>
  </si>
  <si>
    <t>Brgy.SanIsidro_Gigaquit_SurigaoDelNorte</t>
  </si>
  <si>
    <t>Gigaquit</t>
  </si>
  <si>
    <t>PH120355</t>
  </si>
  <si>
    <t>NS-TER24-F51</t>
  </si>
  <si>
    <t>Brgy.Katubao_Kiamba_Sarangani</t>
  </si>
  <si>
    <t>PH130165</t>
  </si>
  <si>
    <t>NS-TER24-F513</t>
  </si>
  <si>
    <t>Brgy.Tidman_Hinatuan_SurigaoDelSur</t>
  </si>
  <si>
    <t>SURSECO I</t>
  </si>
  <si>
    <t>Hinatuan</t>
  </si>
  <si>
    <t>PH130173</t>
  </si>
  <si>
    <t>NS-TER24-F514</t>
  </si>
  <si>
    <t>Brgy.Sumo-sumo_Tago_SurigaoDelSur</t>
  </si>
  <si>
    <t>Tago</t>
  </si>
  <si>
    <t>Purok Maliwanag</t>
  </si>
  <si>
    <t>PH130164</t>
  </si>
  <si>
    <t>NS-TER24-F517</t>
  </si>
  <si>
    <t>Brgy.Tambis_Barobo_SurigaoDelSur</t>
  </si>
  <si>
    <t>Barobo</t>
  </si>
  <si>
    <t>PH130166</t>
  </si>
  <si>
    <t>NS-TER24-F520</t>
  </si>
  <si>
    <t>Brgy.Hornasan_SanAgustin_SurigaoDelSur</t>
  </si>
  <si>
    <t>PH130138</t>
  </si>
  <si>
    <t>NS-TER24-F521</t>
  </si>
  <si>
    <t>Brgy.Parang_Cantilan_SurigaoDelSur</t>
  </si>
  <si>
    <t>Cantilan</t>
  </si>
  <si>
    <t>PH130155</t>
  </si>
  <si>
    <t>NS-TER24-F522</t>
  </si>
  <si>
    <t>Brgy.Rizal_Barobo_SurigaoDelSur</t>
  </si>
  <si>
    <t>PH130149</t>
  </si>
  <si>
    <t>NS-TER24-F524</t>
  </si>
  <si>
    <t>Brgy.Mabua_TandagCity(Capital)_SurigaoDelSur</t>
  </si>
  <si>
    <t>City of Tandag (Capital)</t>
  </si>
  <si>
    <t>PH130169</t>
  </si>
  <si>
    <t>NS-TER24-F539</t>
  </si>
  <si>
    <t>Brgy.Anibongan_Lianga_SurigaoDelSur</t>
  </si>
  <si>
    <t>PH130172</t>
  </si>
  <si>
    <t>NS-TER24-F547</t>
  </si>
  <si>
    <t>Brgy.Tigao_Cortes_SurigaoDelSur</t>
  </si>
  <si>
    <t>Cortes</t>
  </si>
  <si>
    <t>Purok-6</t>
  </si>
  <si>
    <t>PH120375</t>
  </si>
  <si>
    <t>NS-TER24-F56</t>
  </si>
  <si>
    <t>Brgy.DatuDani_Kiamba_Sarangani</t>
  </si>
  <si>
    <t>PH130182</t>
  </si>
  <si>
    <t>NS-TER24-F585</t>
  </si>
  <si>
    <t>Brgy.PortLamon_Hinatuan_SurigaoDelSur</t>
  </si>
  <si>
    <t>PH130144</t>
  </si>
  <si>
    <t>NS-TER24-F591</t>
  </si>
  <si>
    <t>Brgy.Barcelona_Lingig_SurigaoDelSur</t>
  </si>
  <si>
    <t>Lingig</t>
  </si>
  <si>
    <t>PH120377</t>
  </si>
  <si>
    <t>NS-TER24-F599</t>
  </si>
  <si>
    <t>Brgy.Pamantingan_Esperanza_SultanKudarat</t>
  </si>
  <si>
    <t>PH120360</t>
  </si>
  <si>
    <t>NS-TER24-F602</t>
  </si>
  <si>
    <t>Brgy.Tambak_Lambayong(MarianoMarcos)_SultanKudarat</t>
  </si>
  <si>
    <t>PH120359</t>
  </si>
  <si>
    <t>NS-TER24-F622</t>
  </si>
  <si>
    <t>Brgy.Tamnag(Pob.)_Lutayan_SultanKudarat</t>
  </si>
  <si>
    <t>PH120347</t>
  </si>
  <si>
    <t>NS-TER24-F624</t>
  </si>
  <si>
    <t>T7_SULTAN KUDARAT_ISULAN (CAPITAL)_3</t>
  </si>
  <si>
    <t>SUKELCO</t>
  </si>
  <si>
    <t>PH120346</t>
  </si>
  <si>
    <t>NS-TER24-F625</t>
  </si>
  <si>
    <t>Brgy.Kraan_Palimbang_SultanKudarat</t>
  </si>
  <si>
    <t>PH100311</t>
  </si>
  <si>
    <t>NS-TER24-F628</t>
  </si>
  <si>
    <t>Brgy.Liboran_Baungon_Bukidnon</t>
  </si>
  <si>
    <t>Baungon</t>
  </si>
  <si>
    <t>19/06/2025</t>
  </si>
  <si>
    <t>PH100319</t>
  </si>
  <si>
    <t>NS-TER24-F635</t>
  </si>
  <si>
    <t>Brgy.Maambong_Libona_Bukidnon</t>
  </si>
  <si>
    <t>PH100306</t>
  </si>
  <si>
    <t>NS-TER24-F637</t>
  </si>
  <si>
    <t>Brgy.Alae_Libona_Bukidnon</t>
  </si>
  <si>
    <t>PH100352</t>
  </si>
  <si>
    <t>NS-TER24-F640</t>
  </si>
  <si>
    <t>Brgy.Kibenton_Impasug-Ong_Bukidnon</t>
  </si>
  <si>
    <t>PH100371</t>
  </si>
  <si>
    <t>NS-TER24-F642</t>
  </si>
  <si>
    <t>Brgy.Iba_Cabanglasan_Bukidnon</t>
  </si>
  <si>
    <t>Cabanglasan</t>
  </si>
  <si>
    <t>PH100299</t>
  </si>
  <si>
    <t>NS-TER24-F644</t>
  </si>
  <si>
    <t>Brgy.Mandaing_Cabanglasan_Bukidnon</t>
  </si>
  <si>
    <t>Lot 193-C</t>
  </si>
  <si>
    <t>23/06/2025</t>
  </si>
  <si>
    <t>PH100304</t>
  </si>
  <si>
    <t>NS-TER24-F645</t>
  </si>
  <si>
    <t>Brgy.Lumbayao_CityOfValencia_Bukidnon</t>
  </si>
  <si>
    <t>City of Valencia</t>
  </si>
  <si>
    <t>PH100297</t>
  </si>
  <si>
    <t>NS-TER24-F646</t>
  </si>
  <si>
    <t>Brgy.Kahapunan_CityOfValencia_Bukidnon</t>
  </si>
  <si>
    <t>PH120376</t>
  </si>
  <si>
    <t>NS-TER24-F65</t>
  </si>
  <si>
    <t>Brgy.Kalaong_Maitum_Sarangani</t>
  </si>
  <si>
    <t>PH100310</t>
  </si>
  <si>
    <t>NS-TER24-F650</t>
  </si>
  <si>
    <t>Brgy.Natulongan_Kibawe_Bukidnon</t>
  </si>
  <si>
    <t>Kibawe</t>
  </si>
  <si>
    <t>PH120364</t>
  </si>
  <si>
    <t>NS-TER24-F86</t>
  </si>
  <si>
    <t>Brgy.LibunganTorreta_Pigkawayan_NorthCotabato</t>
  </si>
  <si>
    <t>PH100373</t>
  </si>
  <si>
    <t>NS-TER24-G370</t>
  </si>
  <si>
    <t>LGUVIP_BrgyLaoSantaCruz_Plaridel_MisOcc</t>
  </si>
  <si>
    <t>MOELCI I</t>
  </si>
  <si>
    <t>Ampere Jole Electrical Supply</t>
  </si>
  <si>
    <t>FTAPPQ0013323</t>
  </si>
  <si>
    <t>FTAPPO0012431</t>
  </si>
  <si>
    <t>PH100301</t>
  </si>
  <si>
    <t>NS-TER24-G371</t>
  </si>
  <si>
    <t>LGUVIP_BrgyPuntod_Plaridel_MisOcc</t>
  </si>
  <si>
    <t>27/06/2025</t>
  </si>
  <si>
    <t>PH060458</t>
  </si>
  <si>
    <t>NS-TER24-G372</t>
  </si>
  <si>
    <t>LGUVIP_BrgyConsing_EnriqueBMagalona_NegrosOccidental_MACRO_COV2023</t>
  </si>
  <si>
    <t>NONECO</t>
  </si>
  <si>
    <t>Enrique B. Magalona</t>
  </si>
  <si>
    <t>PH060459</t>
  </si>
  <si>
    <t>NS-TER24-G373</t>
  </si>
  <si>
    <t>LGUVIP_BrgyIgpalge_Anini-y_Antique_MACRO_COV2023</t>
  </si>
  <si>
    <t>Anini-Y</t>
  </si>
  <si>
    <t>PH070439</t>
  </si>
  <si>
    <t>NS-TER24-G374</t>
  </si>
  <si>
    <t>LGUVIP_BrgyTultugan_Calape_Bohol_MACRO_COV2023</t>
  </si>
  <si>
    <t>Calape</t>
  </si>
  <si>
    <t>Brgy. Tultogan, Calape, Bohol</t>
  </si>
  <si>
    <t>PH070440</t>
  </si>
  <si>
    <t>NS-TER24-G375</t>
  </si>
  <si>
    <t>LGUVIP_BrgyTinibgan_Calape_Bohol_MACRO_COV2023</t>
  </si>
  <si>
    <t>17/08/2025</t>
  </si>
  <si>
    <t>PH100324</t>
  </si>
  <si>
    <t>NS-TER24-G438</t>
  </si>
  <si>
    <t>T8_RgPM_Shout_8.023934_124.978143</t>
  </si>
  <si>
    <t>26/05/2025</t>
  </si>
  <si>
    <t>PH100283</t>
  </si>
  <si>
    <t>NS-TER24-G452</t>
  </si>
  <si>
    <t>T8_RgPM_Shout_8.471424_124.698236</t>
  </si>
  <si>
    <t>PH100300</t>
  </si>
  <si>
    <t>NS-TER24-G455</t>
  </si>
  <si>
    <t>T8_RgPM_Shout_7.66546_125.1088</t>
  </si>
  <si>
    <t>PH010357</t>
  </si>
  <si>
    <t>NS-TER24-G460</t>
  </si>
  <si>
    <t>BonuanGueset</t>
  </si>
  <si>
    <t>PH100290</t>
  </si>
  <si>
    <t>NS-TER24-G462</t>
  </si>
  <si>
    <t>T8_RgPM_Shout_8.441293_124.8191</t>
  </si>
  <si>
    <t>Lot 423-4, Zone 5</t>
  </si>
  <si>
    <t>PH030862</t>
  </si>
  <si>
    <t>NS-TER24-G464</t>
  </si>
  <si>
    <t>New Site Required-3_15.5597_120.9459</t>
  </si>
  <si>
    <t>Talavera</t>
  </si>
  <si>
    <t>BOM from COOP</t>
  </si>
  <si>
    <t>10/12/2025: Awaiting coop BOM and design. 10/5/2025: Waiting coop assessment if we can still apply for TTC or direct to PP.</t>
  </si>
  <si>
    <t>FTAPPQ0013224</t>
  </si>
  <si>
    <t>FTAPPO0012352</t>
  </si>
  <si>
    <t>PH100284</t>
  </si>
  <si>
    <t>NS-TER24-G482</t>
  </si>
  <si>
    <t>T8_RgPM_Shout_8.468747_124.59055</t>
  </si>
  <si>
    <t>PH100345</t>
  </si>
  <si>
    <t>NS-TER24-G488</t>
  </si>
  <si>
    <t>T8_RgPM_Shout_7.980178_123.793048</t>
  </si>
  <si>
    <t>PH100375</t>
  </si>
  <si>
    <t>NS-TER24-G489</t>
  </si>
  <si>
    <t>T8_RgPM_Shout_8.385536_124.8093</t>
  </si>
  <si>
    <t>Purok 18, MARB Homes, Menzi</t>
  </si>
  <si>
    <t>PH100295</t>
  </si>
  <si>
    <t>NS-TER24-G491</t>
  </si>
  <si>
    <t>T8_RgPM_Shout_8.473043_124.661724</t>
  </si>
  <si>
    <t>PH100302</t>
  </si>
  <si>
    <t>NS-TER24-G503</t>
  </si>
  <si>
    <t>T8_RgPM_Shout_8.42412_124.671796</t>
  </si>
  <si>
    <t>PH100285</t>
  </si>
  <si>
    <t>NS-TER24-G516</t>
  </si>
  <si>
    <t>T8_RgPM_Shout_8.48959_124.598592</t>
  </si>
  <si>
    <t>PH100287</t>
  </si>
  <si>
    <t>NS-TER24-G528</t>
  </si>
  <si>
    <t>T8_RgPM_Shout_8.514414_124.635297</t>
  </si>
  <si>
    <t>PH030833</t>
  </si>
  <si>
    <t>NS-TER24-G530</t>
  </si>
  <si>
    <t>BrgyPitabunan_Concepcion_Tarlac</t>
  </si>
  <si>
    <t>Purok Visayaz</t>
  </si>
  <si>
    <t>24/05/2025</t>
  </si>
  <si>
    <t xml:space="preserve">10/20/2025: Awaiting NTP. </t>
  </si>
  <si>
    <t>NTP</t>
  </si>
  <si>
    <t>PH150159</t>
  </si>
  <si>
    <t>NS-TER24-G539</t>
  </si>
  <si>
    <t>New Site Required -1_16.84466_121.48563</t>
  </si>
  <si>
    <t>PH140211</t>
  </si>
  <si>
    <t>NS-TER24-G542</t>
  </si>
  <si>
    <t>T8_RgPM_Shout_6.71095_121.977218</t>
  </si>
  <si>
    <t>PH030893</t>
  </si>
  <si>
    <t>NS-TER24-G618</t>
  </si>
  <si>
    <t>ColumbanCollege_BrgyBaretto_OlongapoCity_Zambales</t>
  </si>
  <si>
    <t>OEDC</t>
  </si>
  <si>
    <t>City of Olongapo</t>
  </si>
  <si>
    <t>PH030832</t>
  </si>
  <si>
    <t>NS-TER24-G644</t>
  </si>
  <si>
    <t>BrgySanVicente_SanManuel_Tarlac</t>
  </si>
  <si>
    <t>San Manuel</t>
  </si>
  <si>
    <t>PH150161</t>
  </si>
  <si>
    <t>NS-TER24-G645</t>
  </si>
  <si>
    <t>FarNorthLuzonGenHosp_BrgyQuirino_Luna_Apayao</t>
  </si>
  <si>
    <t>Luna</t>
  </si>
  <si>
    <t>PH140220</t>
  </si>
  <si>
    <t>NS-TER24-G654</t>
  </si>
  <si>
    <t>BPSVillage_Malabang_LDS</t>
  </si>
  <si>
    <t>Malabang</t>
  </si>
  <si>
    <t>PH090221</t>
  </si>
  <si>
    <t>NS-TER24-G655</t>
  </si>
  <si>
    <t>2023Capsite_BrgyJosePBrillantesSr(Old Lituban)_SIOCON_ZDN</t>
  </si>
  <si>
    <t>Siocon</t>
  </si>
  <si>
    <t>PH100357</t>
  </si>
  <si>
    <t>NS-TER24-G660</t>
  </si>
  <si>
    <t>LDNPH_Brgy.Sagadan (Sagadan Lower)_Baroy_LanaoDelNorte</t>
  </si>
  <si>
    <t>Baroy</t>
  </si>
  <si>
    <t>PH100358</t>
  </si>
  <si>
    <t>NS-TER24-G663</t>
  </si>
  <si>
    <t>KPH_Brgy.Maranding_Lala_LanaoDelNorte</t>
  </si>
  <si>
    <t>PH020186</t>
  </si>
  <si>
    <t>NS-TER24-G671</t>
  </si>
  <si>
    <t>NewGattaranMuncipalHall_BrgyDummun_Gattaran_Cagayan</t>
  </si>
  <si>
    <t>PH100392</t>
  </si>
  <si>
    <t>NS-TER24-G674</t>
  </si>
  <si>
    <t>VPGH_Brgy.Poblacion_ValenciaCity_Bukidnon</t>
  </si>
  <si>
    <t>PH090253</t>
  </si>
  <si>
    <t>NS-TER24-G675</t>
  </si>
  <si>
    <t>DJRMH_Brgy.Banonong (Pob.)_Dapitan_ZamboangaDelNorte</t>
  </si>
  <si>
    <t>PH130186</t>
  </si>
  <si>
    <t>NS-TER24-G677</t>
  </si>
  <si>
    <t>ASTMMC_Brgy.Telaje_Tandag_SurigaoDelSur</t>
  </si>
  <si>
    <t>PH140245</t>
  </si>
  <si>
    <t>NS-TER24-G679</t>
  </si>
  <si>
    <t>BGH_Brgy.Binuangan_IsabelaCity_Basilan</t>
  </si>
  <si>
    <t>PH090254</t>
  </si>
  <si>
    <t>NS-TER24-G680</t>
  </si>
  <si>
    <t>DGTHMC_Brgy.Tenan_Ipil_ZamboangaSibugay</t>
  </si>
  <si>
    <t>PH130187</t>
  </si>
  <si>
    <t>NS-TER24-G681</t>
  </si>
  <si>
    <t>SFDH_Brgy.Hubang_SanFrancisco_AgusanDelSur</t>
  </si>
  <si>
    <t>P-4</t>
  </si>
  <si>
    <t>PH100383</t>
  </si>
  <si>
    <t>NS-TER24-G720</t>
  </si>
  <si>
    <t>MHARS_Brgy.Gango_OzamisCity_MisamisOccidental</t>
  </si>
  <si>
    <t>PH100384</t>
  </si>
  <si>
    <t>NS-TER24-G722</t>
  </si>
  <si>
    <t>LGH_Brgy.Poblacion_ValenciaCity_Bukidnon</t>
  </si>
  <si>
    <t>PH100385</t>
  </si>
  <si>
    <t>NS-TER24-G723</t>
  </si>
  <si>
    <t>CDH_Brgy.Bunawan_Calamba_MisamisOccidental</t>
  </si>
  <si>
    <t>Calamba</t>
  </si>
  <si>
    <t>PH140240</t>
  </si>
  <si>
    <t>NS-TER24-G726</t>
  </si>
  <si>
    <t>Brgy.Sagonsongan_MarawiCity_LanaoDelSur</t>
  </si>
  <si>
    <t>PH140241</t>
  </si>
  <si>
    <t>NS-TER24-G727</t>
  </si>
  <si>
    <t>Brgy.Beyaba-Damag_MarawiCity_LanaoDelSur</t>
  </si>
  <si>
    <t>PH100386</t>
  </si>
  <si>
    <t>NS-TER24-G729</t>
  </si>
  <si>
    <t>Brgy.Tangueguiron02_Tubod_LanaoDelNorte</t>
  </si>
  <si>
    <t>PH030870</t>
  </si>
  <si>
    <t>NS-TER24-G772</t>
  </si>
  <si>
    <t>TarlacProvincialHospital_TarlacCity</t>
  </si>
  <si>
    <t>PH010385</t>
  </si>
  <si>
    <t>NS-TER24-G775</t>
  </si>
  <si>
    <t>BrgySanIsidro_SanJuan(Lapog)_IlocosSur_Shout</t>
  </si>
  <si>
    <t>PH010386</t>
  </si>
  <si>
    <t>NS-TER24-G776</t>
  </si>
  <si>
    <t>BrgyCatagtaguen_Banna_IlocosNorte_Shout</t>
  </si>
  <si>
    <t>PH010387</t>
  </si>
  <si>
    <t>NS-TER24-G779</t>
  </si>
  <si>
    <t>BgyNo.1_San Lorenzo (Pob.)_Laoag_IlocosNorte_Shout</t>
  </si>
  <si>
    <t>PH010388</t>
  </si>
  <si>
    <t>NS-TER24-G782</t>
  </si>
  <si>
    <t>BrgyCalambeg_Piddig_IlocosNorte_Shout</t>
  </si>
  <si>
    <t>PH030888</t>
  </si>
  <si>
    <t>NS-TER24-G784</t>
  </si>
  <si>
    <t>Cohort_BrgyPundaquit_SanAntonio_Zambales</t>
  </si>
  <si>
    <t>10/20/2025: Awaiting coop JTSS. Awaiting BOM approval</t>
  </si>
  <si>
    <t>PH030895</t>
  </si>
  <si>
    <t>NS-TER24-G786</t>
  </si>
  <si>
    <t>SeaBreezeAnvaya_Brgy.Mabayo_Morong_Bataan</t>
  </si>
  <si>
    <t>Morong</t>
  </si>
  <si>
    <t>PH020192</t>
  </si>
  <si>
    <t>NS-TER24-G790</t>
  </si>
  <si>
    <t>BrgyQuirino(Pob.)_Bagabag_NuevaVizcaya_Shout</t>
  </si>
  <si>
    <t>PH020193</t>
  </si>
  <si>
    <t>NS-TER24-G791</t>
  </si>
  <si>
    <t>BrgyPalacian_Aglipay_Quirino_Shout</t>
  </si>
  <si>
    <t>FTAPPQ0013160</t>
  </si>
  <si>
    <t>FTAPPO0012290</t>
  </si>
  <si>
    <t>FTAPPQ0013231</t>
  </si>
  <si>
    <t>FTAPPO0012354</t>
  </si>
  <si>
    <t>PH030903</t>
  </si>
  <si>
    <t>NS-TER24-G792</t>
  </si>
  <si>
    <t>BrgyLual_Casiguran_Aurora</t>
  </si>
  <si>
    <t>PH020201</t>
  </si>
  <si>
    <t>NS-TER24-G793</t>
  </si>
  <si>
    <t>NewSite_BrgyDabubuGrande_SanAgustin_Isabela</t>
  </si>
  <si>
    <t>13/08/2025</t>
  </si>
  <si>
    <t>PH020202</t>
  </si>
  <si>
    <t>NS-TER24-G794</t>
  </si>
  <si>
    <t>NewSite_BrgyCabaruan_Naguilian_Isabela</t>
  </si>
  <si>
    <t>Naguilian</t>
  </si>
  <si>
    <t>PH020203</t>
  </si>
  <si>
    <t>NS-TER24-G795</t>
  </si>
  <si>
    <t>NewSite_BrgyFuragui_Solana_Cagayan</t>
  </si>
  <si>
    <t>PH020204</t>
  </si>
  <si>
    <t>NS-TER24-G796</t>
  </si>
  <si>
    <t>NewSite_Cabeseria27(Abuan)_IlaganCity_Isabela</t>
  </si>
  <si>
    <t>PH020221</t>
  </si>
  <si>
    <t>NS-TER24-G797</t>
  </si>
  <si>
    <t>BrgyAsinga-Via_Baggao_Cagayan_Shout</t>
  </si>
  <si>
    <t>Baggao</t>
  </si>
  <si>
    <t>PH020222</t>
  </si>
  <si>
    <t>NS-TER24-G799</t>
  </si>
  <si>
    <t>BrgyZone III (Pob.)_SanMariano_Isabela_Shout</t>
  </si>
  <si>
    <t>San Mariano</t>
  </si>
  <si>
    <t>10/13 - Line con done for transformer testing .
10/4 For application of Tempo CFEI and COOP application tempo permanent facilities</t>
  </si>
  <si>
    <t>10/20 Line COn Done waiting for COOP SOA
10/5 For line con and awaiting released of SOA
10/8 Line con done transformr testing and COOP SOA</t>
  </si>
  <si>
    <t>PH020223</t>
  </si>
  <si>
    <t>NS-TER24-G800</t>
  </si>
  <si>
    <t>BrgySanta Filomena_Abulug_Cagayan_Shout</t>
  </si>
  <si>
    <t>Abulug</t>
  </si>
  <si>
    <t>FTAPPQ0013445</t>
  </si>
  <si>
    <t>FTAPPO0012562</t>
  </si>
  <si>
    <t>10/6/25: Waiting for Tempo Permit release</t>
  </si>
  <si>
    <t>PH020224</t>
  </si>
  <si>
    <t>NS-TER24-G801</t>
  </si>
  <si>
    <t>BrgyLangagan_SanchezMira_Cagayan_Shout</t>
  </si>
  <si>
    <t>Sanchez-Mira</t>
  </si>
  <si>
    <t>PH020225</t>
  </si>
  <si>
    <t>NS-TER24-G802</t>
  </si>
  <si>
    <t>BrgyVillamarzo_Cordon_Isabela_Shout</t>
  </si>
  <si>
    <t>Cordon</t>
  </si>
  <si>
    <t>Zone 5</t>
  </si>
  <si>
    <t>10/13 Bill deposit and contract release for payment10/6/25: Tempo CFEI and FSEC secured \, For TTC permanent facilities. Bill deposit SOA for release</t>
  </si>
  <si>
    <t>PH020226</t>
  </si>
  <si>
    <t>NS-TER24-G803</t>
  </si>
  <si>
    <t>BrgyBagu_Pamplona_Cagayan_Shout</t>
  </si>
  <si>
    <t>Pamplona</t>
  </si>
  <si>
    <t>PH020227</t>
  </si>
  <si>
    <t>NS-TER24-G804</t>
  </si>
  <si>
    <t>NewSite_BrgyCabeseria27(Abuan)_IlaganCity_Isabela</t>
  </si>
  <si>
    <t>FTAPPQ0013014</t>
  </si>
  <si>
    <t>11/17 Line con done waiting for SOA
10/13 - Ongoing line con
10/4 For application of Tempo CFEI and COOP application tempo permanent facilities</t>
  </si>
  <si>
    <t>FTAPPO0012149</t>
  </si>
  <si>
    <t>10/13 ongoing for line con</t>
  </si>
  <si>
    <t>PH030909</t>
  </si>
  <si>
    <t>NS-TER24-G828</t>
  </si>
  <si>
    <t>SFO_BTS_New_2_Panipuan_SanFernandoCity_Pampanga</t>
  </si>
  <si>
    <t>SFELAPCO</t>
  </si>
  <si>
    <t>City of San Fernando (Capital)</t>
  </si>
  <si>
    <t>FTAPPQ0013163</t>
  </si>
  <si>
    <t>FTAPPO0012288</t>
  </si>
  <si>
    <t>PRECON PERMITS NEEDED</t>
  </si>
  <si>
    <t>10/20/2025: No precon yet.</t>
  </si>
  <si>
    <t>10/20/2025: Awaiting permits.</t>
  </si>
  <si>
    <t>PH030910</t>
  </si>
  <si>
    <t>NS-TER24-G830</t>
  </si>
  <si>
    <t>SFO_BTS_New_3_Maimpis_SanFernandoCity_Pampanga</t>
  </si>
  <si>
    <t>PH030911</t>
  </si>
  <si>
    <t>NS-TER24-G831</t>
  </si>
  <si>
    <t>SFO_BTS_New_4_DelRosario_SanFernandoCity_Pampanga</t>
  </si>
  <si>
    <t>PH030913</t>
  </si>
  <si>
    <t>NS-TER24-G834</t>
  </si>
  <si>
    <t>SJDM_BTS_New_1_Muzon_SanJoseDelMonteCity_Bulacan</t>
  </si>
  <si>
    <t>City of San Jose Del Monte</t>
  </si>
  <si>
    <t>PH030914</t>
  </si>
  <si>
    <t>NS-TER24-G835</t>
  </si>
  <si>
    <t>StaMaria_BTS_New_1_Catmon_SantaMaria_Bulacan</t>
  </si>
  <si>
    <t>PH030915</t>
  </si>
  <si>
    <t>NS-TER24-G836</t>
  </si>
  <si>
    <t>StaMaria_BTS_New_2_Bulac_SantaMaria_Bulacan</t>
  </si>
  <si>
    <t>PH030916</t>
  </si>
  <si>
    <t>NS-TER24-G837</t>
  </si>
  <si>
    <t>StaMaria_BTS_New_3_PulongBuhangin_SantaMaria_Bulacan</t>
  </si>
  <si>
    <t>PH030917</t>
  </si>
  <si>
    <t>NS-TER24-G840</t>
  </si>
  <si>
    <t>Meycauayan_BTS_New_1_Pantoc_Meycauayan_Bulacan</t>
  </si>
  <si>
    <t>GPA</t>
  </si>
  <si>
    <t>PH030919</t>
  </si>
  <si>
    <t>NS-TER24-G843</t>
  </si>
  <si>
    <t>Malolos_BTS_SS_New_1_Longos_MalolosCity_Bulacan</t>
  </si>
  <si>
    <t>PH030921</t>
  </si>
  <si>
    <t>NS-TER24-G845</t>
  </si>
  <si>
    <t>Guiguinto_BTS_New_2_Tiaong_Guiguinto_Bulacan</t>
  </si>
  <si>
    <t>Guiguinto</t>
  </si>
  <si>
    <t>FTAPPQ0013010</t>
  </si>
  <si>
    <t>FTAPPO0012157</t>
  </si>
  <si>
    <t>PH120370</t>
  </si>
  <si>
    <t>NS-TER25-A010</t>
  </si>
  <si>
    <t>SEAIT_Brgy.CrossingRubber_Tupi_SouthCotabato</t>
  </si>
  <si>
    <t>Tupi</t>
  </si>
  <si>
    <t>PH100410</t>
  </si>
  <si>
    <t>NS-TER25-A019</t>
  </si>
  <si>
    <t>Brgy.Tugaya_ValenciaCity_Bukidnon</t>
  </si>
  <si>
    <t>PH090265</t>
  </si>
  <si>
    <t>NS-TER25-A020</t>
  </si>
  <si>
    <t>Brgy.Lumayang03_ZamboangaCity_ZamboangaDelSur</t>
  </si>
  <si>
    <t>PH090263</t>
  </si>
  <si>
    <t>NS-TER25-A023</t>
  </si>
  <si>
    <t>Brgy.Cabaluay02_ZamboangaCity_ZamboangaDelSur</t>
  </si>
  <si>
    <t>PH090264</t>
  </si>
  <si>
    <t>NS-TER25-A024</t>
  </si>
  <si>
    <t>Brgy.Capisan_ZamboangaCity_ZamboangaDelSur</t>
  </si>
  <si>
    <t>PH100402</t>
  </si>
  <si>
    <t>NS-TER25-A031</t>
  </si>
  <si>
    <t>Brgy.Aposkahoy_Claveria_MisOr</t>
  </si>
  <si>
    <t>PH130203</t>
  </si>
  <si>
    <t>NS-TER25-A039</t>
  </si>
  <si>
    <t>Brgy.Poblacion_BayuganCity_ADS</t>
  </si>
  <si>
    <t>Purok 7 Ballete St.</t>
  </si>
  <si>
    <t>PH100403</t>
  </si>
  <si>
    <t>NS-TER25-A047</t>
  </si>
  <si>
    <t>Brgy.Kalipay_Gingoog_MisOr</t>
  </si>
  <si>
    <t>PH100404</t>
  </si>
  <si>
    <t>NS-TER25-A051</t>
  </si>
  <si>
    <t>Brgy.Kalabugao_Impasugong_Bukidnon</t>
  </si>
  <si>
    <t>PH090266</t>
  </si>
  <si>
    <t>NS-TER25-A157</t>
  </si>
  <si>
    <t>Brgy.Pasobolong02_ZamboangaCity_ZamboangaDelSur</t>
  </si>
  <si>
    <t>PH090267</t>
  </si>
  <si>
    <t>NS-TER25-A160</t>
  </si>
  <si>
    <t>Brgy. Malagutay03_ZamboangaCity_ZamboangaDelSur</t>
  </si>
  <si>
    <t>PH090268</t>
  </si>
  <si>
    <t>NS-TER25-A161</t>
  </si>
  <si>
    <t>Brgy.Vitali08_ZamboangaCity_ZamboangaDelSur</t>
  </si>
  <si>
    <t>PH001011</t>
  </si>
  <si>
    <t>OWO-2019-049</t>
  </si>
  <si>
    <t>C5ORTIGAS_Reloc</t>
  </si>
  <si>
    <t>T3</t>
  </si>
  <si>
    <t>National Capital Region (NCR)</t>
  </si>
  <si>
    <t>NCR, Second District (Not a Province)</t>
  </si>
  <si>
    <t>City of Pasig</t>
  </si>
  <si>
    <t>PH110583</t>
  </si>
  <si>
    <t>OWO-2019-067</t>
  </si>
  <si>
    <t>NCMALL_Reloc</t>
  </si>
  <si>
    <t>PH060466</t>
  </si>
  <si>
    <t>OWO-2020-116</t>
  </si>
  <si>
    <t>FARMER_Reloc</t>
  </si>
  <si>
    <t>City of Talisay</t>
  </si>
  <si>
    <t>Dos Hermanas, Talisay City, Negros Occidental</t>
  </si>
  <si>
    <t>PH001007</t>
  </si>
  <si>
    <t>OWO-2021-037</t>
  </si>
  <si>
    <t>JAGUIAVE_Reloc</t>
  </si>
  <si>
    <t>T4</t>
  </si>
  <si>
    <t>NCR, Fourth District (Not a Province)</t>
  </si>
  <si>
    <t>City of Las Piñas</t>
  </si>
  <si>
    <t>PH001009</t>
  </si>
  <si>
    <t>OWO-2021-043</t>
  </si>
  <si>
    <t>GENLUISQCBYN_Reloc</t>
  </si>
  <si>
    <t>Quezon City</t>
  </si>
  <si>
    <t>PH001008</t>
  </si>
  <si>
    <t>OWO-2021-061</t>
  </si>
  <si>
    <t>SMCTUNASMUNTI_Reloc</t>
  </si>
  <si>
    <t>City of Muntinlupa</t>
  </si>
  <si>
    <t>PH060395</t>
  </si>
  <si>
    <t>OWO-2021-066</t>
  </si>
  <si>
    <t>GAIANT_Reloc</t>
  </si>
  <si>
    <t>PH001010</t>
  </si>
  <si>
    <t>OWO-2021-067</t>
  </si>
  <si>
    <t>VASRAQC_Reloc</t>
  </si>
  <si>
    <t>PH031090</t>
  </si>
  <si>
    <t>OWO-2022-036</t>
  </si>
  <si>
    <t>ANGELES_Reloc</t>
  </si>
  <si>
    <t>PH120383</t>
  </si>
  <si>
    <t>OWO-2025-088</t>
  </si>
  <si>
    <t>KIDAP3_Reloc</t>
  </si>
  <si>
    <t>PH110631</t>
  </si>
  <si>
    <t>OWO-2025-090</t>
  </si>
  <si>
    <t>PANACA_Reloc</t>
  </si>
  <si>
    <t>PH110632</t>
  </si>
  <si>
    <t>OWO-2025-103</t>
  </si>
  <si>
    <t>EDENTO_Reloc</t>
  </si>
  <si>
    <t>PH031114</t>
  </si>
  <si>
    <t>OWO-2025-112</t>
  </si>
  <si>
    <t>SMCPULOB1BUL_Reloc</t>
  </si>
  <si>
    <t>PH010503</t>
  </si>
  <si>
    <t>OWO-2025-115</t>
  </si>
  <si>
    <t>DAGUPANSW_Reloc</t>
  </si>
  <si>
    <t>PH010504</t>
  </si>
  <si>
    <t>OWO-2025-116</t>
  </si>
  <si>
    <t>LUCAOPGSN_Reloc</t>
  </si>
  <si>
    <t>PH001018</t>
  </si>
  <si>
    <t>NS-NTG19-Q10</t>
  </si>
  <si>
    <t>2025_T3_TCO_JerichoSt_BrgyBagongSilangan_QuezonCity_MACRO</t>
  </si>
  <si>
    <t>PH150211</t>
  </si>
  <si>
    <t>NS-TER24-B339</t>
  </si>
  <si>
    <t>HT_MP_Lubon_Tadian_MountainProvince</t>
  </si>
  <si>
    <t>z. Retracted by GT</t>
  </si>
  <si>
    <t>PH401103</t>
  </si>
  <si>
    <t>OWO-2025-64</t>
  </si>
  <si>
    <t xml:space="preserve">SANTIAGOBARASRZL_Reloc 
</t>
  </si>
  <si>
    <t>Region IV-A (CALABARZON)</t>
  </si>
  <si>
    <t>Baras</t>
  </si>
  <si>
    <t>PH070511</t>
  </si>
  <si>
    <t>NS-BIZ20-A44</t>
  </si>
  <si>
    <t>BrgyUling_CITY OF NAGA_CEBU</t>
  </si>
  <si>
    <t>PH100354</t>
  </si>
  <si>
    <t>NS-BIZ20-F85</t>
  </si>
  <si>
    <t>Brgy.Banlag_ValenciaCity_Bukidnon</t>
  </si>
  <si>
    <t>PH070517</t>
  </si>
  <si>
    <t>NS-NTG20-AC22</t>
  </si>
  <si>
    <t>BrgyTuyan_NagaCity_Cebu_2</t>
  </si>
  <si>
    <t>PH070016</t>
  </si>
  <si>
    <t>NS-NTG20-AF16</t>
  </si>
  <si>
    <t>BrgyPulangbato_CebuCity_Cebu_3</t>
  </si>
  <si>
    <t>Pulang Bato</t>
  </si>
  <si>
    <t>PH060476</t>
  </si>
  <si>
    <t>NS-NTG20-N24</t>
  </si>
  <si>
    <t>BrgyRobles(Pob)_LaCastellana_NegrosOccidental(2)</t>
  </si>
  <si>
    <t>PH060480</t>
  </si>
  <si>
    <t>NS-NTG22-D43</t>
  </si>
  <si>
    <t>MTF_BrgyKumaliskis_SalvadorBenedicto_NegrosOccidental_MACRO_COV2022</t>
  </si>
  <si>
    <t>PH070461</t>
  </si>
  <si>
    <t>NS-NTG19-C33</t>
  </si>
  <si>
    <t>BrgySawangCalero_CebuCity_Cebu</t>
  </si>
  <si>
    <t>PH070471</t>
  </si>
  <si>
    <t>NS-NTG19-C38</t>
  </si>
  <si>
    <t>CebuNormalUniversity(CNU)_CebuCity_Cebu</t>
  </si>
  <si>
    <t>PH070469</t>
  </si>
  <si>
    <t>NS-NTG20-AB20</t>
  </si>
  <si>
    <t>StarmallTalisay_BrgyLawaanI_TalisayCity_Cebu</t>
  </si>
  <si>
    <t>PH070507</t>
  </si>
  <si>
    <t>NS-NTG21-E20</t>
  </si>
  <si>
    <t>CansagaBridge_Consolacion_Cebu_HBM</t>
  </si>
  <si>
    <t>PH070435</t>
  </si>
  <si>
    <t>NS-NTG21-E51</t>
  </si>
  <si>
    <t>BrgyCentro(Pob.)_MandaueCity_Cebu_HBM_3</t>
  </si>
  <si>
    <t>PH070508</t>
  </si>
  <si>
    <t>NS-NTG21-F62</t>
  </si>
  <si>
    <t>MactanShrine_LapuLapuCity_Cebu_HBM</t>
  </si>
  <si>
    <t>PH070429</t>
  </si>
  <si>
    <t>NS-NTG21-G31</t>
  </si>
  <si>
    <t>BrgyKasambagan_CebuCity_Cebu_HBM</t>
  </si>
  <si>
    <t>PH070448</t>
  </si>
  <si>
    <t>NS-NTG21-G32</t>
  </si>
  <si>
    <t>BrgyMabolo_CebuCity_Cebu_HBM</t>
  </si>
  <si>
    <t>PH010353</t>
  </si>
  <si>
    <t>NS-NTG18-D33</t>
  </si>
  <si>
    <t>BrgyPantal_DagupanCity_Pangasinan</t>
  </si>
  <si>
    <t>PH030834</t>
  </si>
  <si>
    <t>NS-NTG19-AB86</t>
  </si>
  <si>
    <t>BrgyRoosevelt_Dinalupihan_Bataan</t>
  </si>
  <si>
    <t>Dinalupihan</t>
  </si>
  <si>
    <t>PH030846</t>
  </si>
  <si>
    <t>NS-NTG19-O97</t>
  </si>
  <si>
    <t>Puregold_McArthurHway_BrgyDau_MabalacatCity_Pampanga</t>
  </si>
  <si>
    <t>PH030808</t>
  </si>
  <si>
    <t>NS-NTG19-U43</t>
  </si>
  <si>
    <t>NCCLEGO_BrgyAranguren_Capas_Tarlac</t>
  </si>
  <si>
    <t>Capas</t>
  </si>
  <si>
    <t>PH030836</t>
  </si>
  <si>
    <t>NS-NTG20-G41</t>
  </si>
  <si>
    <t>NearHeritageHomes2_BrgyLomaDeGato_Marilao_Bulacan</t>
  </si>
  <si>
    <t>Marilao</t>
  </si>
  <si>
    <t>PH030835</t>
  </si>
  <si>
    <t>NS-NTG23-O44</t>
  </si>
  <si>
    <t>NearBulaonPav_BrgyBulaon_SanFernandoCity_Pampanga</t>
  </si>
  <si>
    <t>PH060462</t>
  </si>
  <si>
    <t>NS-NTG21-G68</t>
  </si>
  <si>
    <t>BrgyConcepcionMontes_IloiloCity_Iloilo_HBM</t>
  </si>
  <si>
    <t>PH010383</t>
  </si>
  <si>
    <t>NS-TER24-B371</t>
  </si>
  <si>
    <t>HT_MP1_BrgyUso_Suyo_IlocosSur</t>
  </si>
  <si>
    <t>Suyo</t>
  </si>
  <si>
    <t>PH030873</t>
  </si>
  <si>
    <t>NS-TER24-B47</t>
  </si>
  <si>
    <t>HT_MP_BrgySantaCruz_HAGONOY_BULACAN</t>
  </si>
  <si>
    <t>Hagonoy</t>
  </si>
  <si>
    <t>PH030877</t>
  </si>
  <si>
    <t>NS-TER24-B82</t>
  </si>
  <si>
    <t>HT_MP_SanEsteban_Macabebe_Pampanga</t>
  </si>
  <si>
    <t>PH010329</t>
  </si>
  <si>
    <t>NS-TER24-B84</t>
  </si>
  <si>
    <t>208WT_BrgyNagsabaran_SanJuan_IlocosSur</t>
  </si>
  <si>
    <t>PH030841</t>
  </si>
  <si>
    <t>NS-TER24-C263</t>
  </si>
  <si>
    <t>HT_MP_BrgyMercado_HAGONOY_BULACAN</t>
  </si>
  <si>
    <t>PH030885</t>
  </si>
  <si>
    <t>NS-TER24-C362</t>
  </si>
  <si>
    <t>HT_MP_Sapangbato_AngelesCity_Pampanga</t>
  </si>
  <si>
    <t>PH030838</t>
  </si>
  <si>
    <t>NS-TER24-C365</t>
  </si>
  <si>
    <t>HT_MP_Quebiauan_SanFernando_Pampanga</t>
  </si>
  <si>
    <t>PH070480</t>
  </si>
  <si>
    <t>NS-NTG18-L44</t>
  </si>
  <si>
    <t>BrgyBabag_CebuCity_Cebu</t>
  </si>
  <si>
    <t>PH070431</t>
  </si>
  <si>
    <t>NS-NTG18-L46</t>
  </si>
  <si>
    <t>BrgyBakilid_MandaueCity_Cebu</t>
  </si>
  <si>
    <t>PH070477</t>
  </si>
  <si>
    <t>NS-NTG19-A06</t>
  </si>
  <si>
    <t>37SampaguitaSt_Kalunasan_Cebucity_Cebu</t>
  </si>
  <si>
    <t>PH080346</t>
  </si>
  <si>
    <t>NS-NTG19-AA16</t>
  </si>
  <si>
    <t>BrgyCanlapwas(Pob.)_CatbaloganCity_WesternSamar</t>
  </si>
  <si>
    <t>SAMELCO II</t>
  </si>
  <si>
    <t>Samar</t>
  </si>
  <si>
    <t>City of Catbalogan (Capital)</t>
  </si>
  <si>
    <t>PH060423</t>
  </si>
  <si>
    <t>NS-NTG19-AB25</t>
  </si>
  <si>
    <t>BrgyZone 15_Talisay_NegrosOccidental</t>
  </si>
  <si>
    <t>Brgy. Zone 15_Talisay_Negros Occidental</t>
  </si>
  <si>
    <t>PH070428</t>
  </si>
  <si>
    <t>NS-NTG19-AB45</t>
  </si>
  <si>
    <t>BrgyCabancalan_MandaueCity_Cebu</t>
  </si>
  <si>
    <t>PH110573</t>
  </si>
  <si>
    <t>NS-NTG19-AG76</t>
  </si>
  <si>
    <t>2023CapSite_BrgyGovPacianoBangoy_DavaoCity_DDS</t>
  </si>
  <si>
    <t>PH130153</t>
  </si>
  <si>
    <t>NS-NTG19-AH00</t>
  </si>
  <si>
    <t>Brgy.BagongLungsod(Pob.)_TandagCity(Capital)_SurigaoDelSur</t>
  </si>
  <si>
    <t>PH100081</t>
  </si>
  <si>
    <t>NS-NTG19-AH24</t>
  </si>
  <si>
    <t>Brgy.Carmen04_CagayanDeOroCity(Capital)_MisamisOriental</t>
  </si>
  <si>
    <t>PH070443</t>
  </si>
  <si>
    <t>NS-NTG19-C13</t>
  </si>
  <si>
    <t>BrgyCamputhaw(Pob.)_CebuCity_Cebu</t>
  </si>
  <si>
    <t>PH070452</t>
  </si>
  <si>
    <t>NS-NTG19-C14</t>
  </si>
  <si>
    <t>BrgyMabolo_CebuCity_Cebu</t>
  </si>
  <si>
    <t>PH070441</t>
  </si>
  <si>
    <t>NS-NTG19-C17</t>
  </si>
  <si>
    <t>BrgyGuadalupe_CebuCity_Cebu</t>
  </si>
  <si>
    <t>PH070457</t>
  </si>
  <si>
    <t>NS-NTG19-C19</t>
  </si>
  <si>
    <t>BrgyGuadalupe3_CebuCity_Cebu</t>
  </si>
  <si>
    <t>PH070466</t>
  </si>
  <si>
    <t>NS-NTG19-C21</t>
  </si>
  <si>
    <t>BrgyPuntaPrincesa2_CebuCity_Cebu</t>
  </si>
  <si>
    <t>PH070468</t>
  </si>
  <si>
    <t>NS-NTG19-C25</t>
  </si>
  <si>
    <t>BrgyQuiotPardo_CebuCity_Cebu</t>
  </si>
  <si>
    <t>PH070446</t>
  </si>
  <si>
    <t>NS-NTG19-C28</t>
  </si>
  <si>
    <t>BrgyInayawan_CebuCity_Cebu</t>
  </si>
  <si>
    <t>PH070447</t>
  </si>
  <si>
    <t>NS-NTG19-C32</t>
  </si>
  <si>
    <t>BrgyPardo(Pob.)_CebuCity_Cebu</t>
  </si>
  <si>
    <t>PH070465</t>
  </si>
  <si>
    <t>NS-NTG19-E16</t>
  </si>
  <si>
    <t>BrgyMambaling2_CebuCity_Cebu</t>
  </si>
  <si>
    <t>PH070436</t>
  </si>
  <si>
    <t>NS-NTG20-AA65</t>
  </si>
  <si>
    <t>VIS_BrgyCasili_Consolacion_Cebu</t>
  </si>
  <si>
    <t>Consolacion</t>
  </si>
  <si>
    <t>PH070007</t>
  </si>
  <si>
    <t>NS-NTG20-AF07</t>
  </si>
  <si>
    <t>BrgyBuhisan_CebuCity_Cebu</t>
  </si>
  <si>
    <t>PH070031</t>
  </si>
  <si>
    <t>NS-NTG20-AF54</t>
  </si>
  <si>
    <t>BrgyGuadalupe_CebuCity_Cebu_7_MACRO</t>
  </si>
  <si>
    <t>Sitio Hoya</t>
  </si>
  <si>
    <t>PH090211</t>
  </si>
  <si>
    <t>NS-NTG20-Q17</t>
  </si>
  <si>
    <t>Brgy.Miputak(Pob.)02_DipologCity(Capital)_ZamboangaDelNorte</t>
  </si>
  <si>
    <t>PH060451</t>
  </si>
  <si>
    <t>NS-NTG20-Z87</t>
  </si>
  <si>
    <t>BrgySambag_IloiloCity_Iloilo</t>
  </si>
  <si>
    <t>PH070472</t>
  </si>
  <si>
    <t>NS-NTG21-D56</t>
  </si>
  <si>
    <t>BrgyIbo_LapuLapuCity_Cebu_HBM_1</t>
  </si>
  <si>
    <t>PH070426</t>
  </si>
  <si>
    <t>NS-NTG21-D59</t>
  </si>
  <si>
    <t>BrgyCasuntingan_MandaueCity_Cebu_HBM_1</t>
  </si>
  <si>
    <t>PH070476</t>
  </si>
  <si>
    <t>NS-NTG21-D94</t>
  </si>
  <si>
    <t>BrgyMaribago_LapuLapuCity_Cebu_HBM_2</t>
  </si>
  <si>
    <t>PH060450</t>
  </si>
  <si>
    <t>NS-NTG21-E42</t>
  </si>
  <si>
    <t>DelgadoSt_VillaAnita_IloiloCity_Iloilo_HBM</t>
  </si>
  <si>
    <t>PH070430</t>
  </si>
  <si>
    <t>NS-NTG21-E70</t>
  </si>
  <si>
    <t>BrgyCanduman_MandaueCity_Cebu_HBM_1</t>
  </si>
  <si>
    <t>PH070442</t>
  </si>
  <si>
    <t>NS-NTG21-E73</t>
  </si>
  <si>
    <t>BrgyMaguikay_MandaueCity_Cebu_HBM</t>
  </si>
  <si>
    <t>PH070434</t>
  </si>
  <si>
    <t>NS-NTG21-F59</t>
  </si>
  <si>
    <t>BrgyIbabaoEstancia_MandaueCity_Cebu_HBM_1</t>
  </si>
  <si>
    <t>PH070433</t>
  </si>
  <si>
    <t>NS-NTG21-F71</t>
  </si>
  <si>
    <t>BrgyGuizo_MandaueCity_Cebu_HBM</t>
  </si>
  <si>
    <t>PH080347</t>
  </si>
  <si>
    <t>NS-NTG21-G05</t>
  </si>
  <si>
    <t>Brgy42_TaclobanCity_Leyte_HBM</t>
  </si>
  <si>
    <t>LEYECO II</t>
  </si>
  <si>
    <t>City of Tacloban (Capital)</t>
  </si>
  <si>
    <t>PH070444</t>
  </si>
  <si>
    <t>NS-NTG21-G33</t>
  </si>
  <si>
    <t>BrgyLuz_CebuCity_Cebu_HBM</t>
  </si>
  <si>
    <t>PH070473</t>
  </si>
  <si>
    <t>NS-NTG21-G41</t>
  </si>
  <si>
    <t>BrgyCapitolSite(Pob.)_CebuCity_Cebu_HBM_2</t>
  </si>
  <si>
    <t>PH070459</t>
  </si>
  <si>
    <t>NS-NTG21-G42</t>
  </si>
  <si>
    <t>PleasantHomes_BrgyPuntaPrincesa_CebuCity_Cebu_HBM</t>
  </si>
  <si>
    <t>PH070464</t>
  </si>
  <si>
    <t>NS-NTG21-G44</t>
  </si>
  <si>
    <t>BrgyCarreta_CebuCity_Cebu_HBM</t>
  </si>
  <si>
    <t>PH070474</t>
  </si>
  <si>
    <t>NS-NTG21-G49</t>
  </si>
  <si>
    <t>ColonSt_CebuCity_Cebu_HBM</t>
  </si>
  <si>
    <t>PH070463</t>
  </si>
  <si>
    <t>NS-NTG21-G98</t>
  </si>
  <si>
    <t>BrgyCapitolSite(Pob.)_CebuCity_Cebu_HBM_3</t>
  </si>
  <si>
    <t>PH120348</t>
  </si>
  <si>
    <t>NS-NTG23-D32</t>
  </si>
  <si>
    <t>Brgy.Tambler03_GeneralSantosCity_SouthCotabato</t>
  </si>
  <si>
    <t>PH120353</t>
  </si>
  <si>
    <t>NS-NTG23-Q22</t>
  </si>
  <si>
    <t>BrgyApopong02_GeneralSantosCity_SCOT</t>
  </si>
  <si>
    <t>PH030814</t>
  </si>
  <si>
    <t>NS-TER24-C448</t>
  </si>
  <si>
    <t>HT_MP_Cut-cutII_CityOfTarlac(Capital)_Tarlac</t>
  </si>
  <si>
    <t>PH150169</t>
  </si>
  <si>
    <t>NS-TER24-G360</t>
  </si>
  <si>
    <t>BrgyBulalacao_Mankayan_Benguet</t>
  </si>
  <si>
    <t>PH110545</t>
  </si>
  <si>
    <t>NS-TER24-D910</t>
  </si>
  <si>
    <t>Brgy.Barangay21-C(Pob.)_DavaoCity_DavaoDelSur</t>
  </si>
  <si>
    <t>PH010356</t>
  </si>
  <si>
    <t>NS-TER24-G512</t>
  </si>
  <si>
    <t>Pantal 1</t>
  </si>
  <si>
    <t>PH110568</t>
  </si>
  <si>
    <t>NS-TER24-E806</t>
  </si>
  <si>
    <t>Brgy.Mangile_JoseAbadSantos(Trinidad)_DavaoOccidental</t>
  </si>
  <si>
    <t>PH110569</t>
  </si>
  <si>
    <t>NS-TER24-E809</t>
  </si>
  <si>
    <t>Brgy.Lanao_DonMarcelino_DavaoOccidental</t>
  </si>
  <si>
    <t>PH090244</t>
  </si>
  <si>
    <t>NS-TER24-F307</t>
  </si>
  <si>
    <t>Brgy.DatuTumanggong_Tungawan_ZamboangaSibugay</t>
  </si>
  <si>
    <t>PH100369</t>
  </si>
  <si>
    <t>NS-TER24-G477</t>
  </si>
  <si>
    <t>T8_RgPM_Shout_9.243646_124.689709</t>
  </si>
  <si>
    <t>PH030879</t>
  </si>
  <si>
    <t>NS-NTG21-D29</t>
  </si>
  <si>
    <t>SMOLONGAPO_Outdoor_Coloc</t>
  </si>
  <si>
    <t>PH100339</t>
  </si>
  <si>
    <t>NS-TER24-G537</t>
  </si>
  <si>
    <t>T8_RgPM_Shout_8.427537_124.62665</t>
  </si>
  <si>
    <t>PH090234</t>
  </si>
  <si>
    <t>NS-TER24-G580</t>
  </si>
  <si>
    <t>Zambo_CBD_LaPurisimaStreet02_Zamboanga City</t>
  </si>
  <si>
    <t>PH090222</t>
  </si>
  <si>
    <t>NS-TER24-G584</t>
  </si>
  <si>
    <t>Zambo_CBD_ClaretSchool_Zamboanga City</t>
  </si>
  <si>
    <t>PH100393</t>
  </si>
  <si>
    <t>NS-TER24-G678</t>
  </si>
  <si>
    <t>CDOPGH_Brgy.29 (Pob.)_CagayanDeOro_MisamisOriental</t>
  </si>
  <si>
    <t>PH130184</t>
  </si>
  <si>
    <t>NS-TER24-G732</t>
  </si>
  <si>
    <t>Brgy.Lipata_SurigaoCity_SurigaoDelNorte</t>
  </si>
  <si>
    <t>PH080315</t>
  </si>
  <si>
    <t>OWO-2021-065</t>
  </si>
  <si>
    <t>LEPARK_Reloc</t>
  </si>
  <si>
    <t>PH030905</t>
  </si>
  <si>
    <t>NS-NTG20-D87</t>
  </si>
  <si>
    <t>NearGrotto_BrgyGraceville_SJDM_Bulacan</t>
  </si>
  <si>
    <t>z.  Retracted by GT</t>
  </si>
  <si>
    <t>PH060467</t>
  </si>
  <si>
    <t>NS-NTG23-A06</t>
  </si>
  <si>
    <t>CROWN3_Malay_Aklan_TowerConversion</t>
  </si>
  <si>
    <t>PH070484</t>
  </si>
  <si>
    <t>NS-NTG23-A33</t>
  </si>
  <si>
    <t>ARPILI_Balamban_Cebu_TowerConversion</t>
  </si>
  <si>
    <t>Balamban</t>
  </si>
  <si>
    <t>PH070486</t>
  </si>
  <si>
    <t>NS-NTG23-A72</t>
  </si>
  <si>
    <t>LEAR_LapuLapuCity_Cebu_TowerConversion</t>
  </si>
  <si>
    <t>PH070485</t>
  </si>
  <si>
    <t>NS-NTG23-B79</t>
  </si>
  <si>
    <t>LARAPANJAGNABOH_TowerConversion</t>
  </si>
  <si>
    <t>BOHECO II</t>
  </si>
  <si>
    <t>Jagna</t>
  </si>
  <si>
    <t>PH070487</t>
  </si>
  <si>
    <t>NS-NTG23-C04</t>
  </si>
  <si>
    <t>SANPEDDUEROBOH_TowerConversion</t>
  </si>
  <si>
    <t>Duero</t>
  </si>
  <si>
    <t>PH070387</t>
  </si>
  <si>
    <t>OWO-2023-041</t>
  </si>
  <si>
    <t>SMCOUT_RELOC</t>
  </si>
  <si>
    <t>NORECO II</t>
  </si>
  <si>
    <t>City of Dumaguete (Capital)</t>
  </si>
  <si>
    <t>PH110584</t>
  </si>
  <si>
    <t>NS-NTG21-K09</t>
  </si>
  <si>
    <t>MATI_TowerConversion</t>
  </si>
  <si>
    <t>City of Mati (Capital)</t>
  </si>
  <si>
    <t>PH030804</t>
  </si>
  <si>
    <t>NS-BIZ19-C64</t>
  </si>
  <si>
    <t>LasHaciendasGolfCourse_BrgyCentral_TarlacCIty_Tarlac</t>
  </si>
  <si>
    <t>PH030818</t>
  </si>
  <si>
    <t>NS-BIZ20-E83</t>
  </si>
  <si>
    <t>BrgySantaJuliana_Capas_Tarlac</t>
  </si>
  <si>
    <t>PH020205</t>
  </si>
  <si>
    <t>NS-NTG19-AC18</t>
  </si>
  <si>
    <t>BRGYCARABATANCHICA_CAUAYANCITY_ISABELA</t>
  </si>
  <si>
    <t>PH010371</t>
  </si>
  <si>
    <t>NS-NTG23-O59</t>
  </si>
  <si>
    <t>BrgyBaruyen_Bangui_IlocosNorte_Windmills</t>
  </si>
  <si>
    <t>PH030830</t>
  </si>
  <si>
    <t>NS-NTG23-O61</t>
  </si>
  <si>
    <t>BrgyMaligaya_TarlacCity_Tarlac_Shout</t>
  </si>
  <si>
    <t>PH030801</t>
  </si>
  <si>
    <t>NS-NTG23-O62</t>
  </si>
  <si>
    <t>MM_BrgySanRafael_TarlacCity_Tarlac_Shout</t>
  </si>
  <si>
    <t>PH030866</t>
  </si>
  <si>
    <t>NS-TER24-B241</t>
  </si>
  <si>
    <t>HT_MP_Pao_SanJose_Tarlac</t>
  </si>
  <si>
    <t>PH010372</t>
  </si>
  <si>
    <t>NS-TER24-B311</t>
  </si>
  <si>
    <t>HT_MP1_BrgyCayus_Quirino(Angkaki)_IlocosSur</t>
  </si>
  <si>
    <t>PH030806</t>
  </si>
  <si>
    <t>NS-TER24-B46</t>
  </si>
  <si>
    <t>Phase2BrgyCristoRey_Capas_Tarlac</t>
  </si>
  <si>
    <t>PH020183</t>
  </si>
  <si>
    <t>NS-TER24-C301</t>
  </si>
  <si>
    <t>HT_MP_BrgyMarabuligI_CauayanCity_Isabela</t>
  </si>
  <si>
    <t>PH010338</t>
  </si>
  <si>
    <t>NS-TER24-G603</t>
  </si>
  <si>
    <t>ISPSC_BrgyDarapidap_CandonCity_IlocosSur</t>
  </si>
  <si>
    <t>PH130145</t>
  </si>
  <si>
    <t>NS-BIZ23-A38</t>
  </si>
  <si>
    <t>Brgy.Consuelo01_Bunawan_AgusanDelSur</t>
  </si>
  <si>
    <t>Bunawan</t>
  </si>
  <si>
    <t>PH090235</t>
  </si>
  <si>
    <t>NS-NTG19-J61</t>
  </si>
  <si>
    <t>Brgy.Guiwan02_ZamboangaCity_ZamboangaDelSur</t>
  </si>
  <si>
    <t>PH060448</t>
  </si>
  <si>
    <t>NS-NTG19-K33</t>
  </si>
  <si>
    <t>BrgyTaculing_BacolodCity_NegrosOccidental(3)</t>
  </si>
  <si>
    <t>PH100391</t>
  </si>
  <si>
    <t>NS-NTG20-AT67</t>
  </si>
  <si>
    <t>2020Capsite_BrgyCamaman-an_CAGAYANDEORO_MOR</t>
  </si>
  <si>
    <t>PH130185</t>
  </si>
  <si>
    <t>NS-NTG21-A30</t>
  </si>
  <si>
    <t>BrgyJoseRizalPob.(Bgy. 25)_ButuanCity</t>
  </si>
  <si>
    <t>PH100274</t>
  </si>
  <si>
    <t>NS-NTG21-A33</t>
  </si>
  <si>
    <t>Brgy.Puntod03_CagayanDeOroCity(Capital)_MisamisOriental</t>
  </si>
  <si>
    <t>PH090224</t>
  </si>
  <si>
    <t>NS-NTG21-C08</t>
  </si>
  <si>
    <t>Brgy.SantaBarbara_ZamboangaCity_ZamboangaDelSur</t>
  </si>
  <si>
    <t>PH100276</t>
  </si>
  <si>
    <t>NS-NTG21-L61</t>
  </si>
  <si>
    <t>Brgy.Kauswagan01_CagayanDeOroCity(Capital)_MisamisOriental</t>
  </si>
  <si>
    <t>PH140197</t>
  </si>
  <si>
    <t>NS-NTG23-J88</t>
  </si>
  <si>
    <t>Brgy.Cadayonan_MarawiCity(Capital)_LanaoDelSur</t>
  </si>
  <si>
    <t>PH100312</t>
  </si>
  <si>
    <t>NS-TER24-A126</t>
  </si>
  <si>
    <t>Brgy.Poblacion_Claveria_MisamisOriental</t>
  </si>
  <si>
    <t>PH100368</t>
  </si>
  <si>
    <t>NS-TER24-A271</t>
  </si>
  <si>
    <t>Brgy.Lumbia02_CagayanDeOroCity(Capital)_MisamisOriental</t>
  </si>
  <si>
    <t>PH100282</t>
  </si>
  <si>
    <t>NS-TER24-A476</t>
  </si>
  <si>
    <t>Brgy.Tablon04_CagayanDeOroCity(Capital)_MisamisOriental</t>
  </si>
  <si>
    <t>PH090232</t>
  </si>
  <si>
    <t>NS-TER24-D957</t>
  </si>
  <si>
    <t>Brgy.Tigtabon02_ZamboangaCity_ZamboangaDelSur</t>
  </si>
  <si>
    <t>PH100322</t>
  </si>
  <si>
    <t>NS-TER24-F208</t>
  </si>
  <si>
    <t>Brgy.SanIsidro_ValenciaCity_Bukidnon</t>
  </si>
  <si>
    <t>PH090212</t>
  </si>
  <si>
    <t>NS-TER24-F280</t>
  </si>
  <si>
    <t>Brgy.Dicayas_DipologCity(Capital)_ZamboangaDelNorte</t>
  </si>
  <si>
    <t>PH090243</t>
  </si>
  <si>
    <t>NS-TER24-F296</t>
  </si>
  <si>
    <t>Brgy.Gango_RosellerLim_ZamboangaSibugay</t>
  </si>
  <si>
    <t>Roseller Lim</t>
  </si>
  <si>
    <t>PH090249</t>
  </si>
  <si>
    <t>NS-TER24-F356</t>
  </si>
  <si>
    <t>Brgy.Gandaan_Olutanga_ZamboangaSibugay</t>
  </si>
  <si>
    <t>Olutanga</t>
  </si>
  <si>
    <t>PH130177</t>
  </si>
  <si>
    <t>NS-TER24-F499</t>
  </si>
  <si>
    <t>Brgy.Quezon_SurigaoCity(Capital)_SurigaoDelNorte</t>
  </si>
  <si>
    <t>PH100286</t>
  </si>
  <si>
    <t>NS-TER24-F631</t>
  </si>
  <si>
    <t>Brgy.Miarayon_Talakag_Bukidnon</t>
  </si>
  <si>
    <t>Talakag</t>
  </si>
  <si>
    <t>PH100356</t>
  </si>
  <si>
    <t>NS-TER24-G404</t>
  </si>
  <si>
    <t>CMU_BRGY. DOLOGON_MARAMAG_BUKIDNON</t>
  </si>
  <si>
    <t>Maramag</t>
  </si>
  <si>
    <t>PH130158</t>
  </si>
  <si>
    <t>NS-TER24-G647</t>
  </si>
  <si>
    <t>TouristRoad_Siargao Blue</t>
  </si>
  <si>
    <t>PH100359</t>
  </si>
  <si>
    <t>NS-TER24-G769</t>
  </si>
  <si>
    <t>TcoColoc_Brgy.Carmen02_CagayanDeOro_MisamisOriental</t>
  </si>
  <si>
    <t>PH020196</t>
  </si>
  <si>
    <t>NS-BIZ18-F74</t>
  </si>
  <si>
    <t>BrgyTaggatSur_Claveria_Cagayan</t>
  </si>
  <si>
    <t>PH150171</t>
  </si>
  <si>
    <t>NS-NTG22-D07</t>
  </si>
  <si>
    <t>NearGoldRiver_BrgyLoacan_Itogon_Benguet</t>
  </si>
  <si>
    <t>Itogon</t>
  </si>
  <si>
    <t>PH150174</t>
  </si>
  <si>
    <t>NS-TER24-B103</t>
  </si>
  <si>
    <t>HT_MP_BrgyPoblacion1_MAYOYAO_IFUGAO</t>
  </si>
  <si>
    <t>PH150176</t>
  </si>
  <si>
    <t>NS-TER24-B127</t>
  </si>
  <si>
    <t>HT_MP_BrgyGohang_Banaue_Ifugao</t>
  </si>
  <si>
    <t>PH150173</t>
  </si>
  <si>
    <t>NS-TER24-B78</t>
  </si>
  <si>
    <t>HT_MP_BrgySanta Maria_ALFONSO LISTA (POTIA)_IFUGAO</t>
  </si>
  <si>
    <t>PH030906</t>
  </si>
  <si>
    <t>NS-TER24-C264</t>
  </si>
  <si>
    <t>HT_MP_BrgySanMiguel_HAGONOY_BULACAN</t>
  </si>
  <si>
    <t>PH030907</t>
  </si>
  <si>
    <t>NS-TER24-C292</t>
  </si>
  <si>
    <t>HT_MP_BrgyAbanganNorte_MARILAO_BULACAN</t>
  </si>
  <si>
    <t>PH150175</t>
  </si>
  <si>
    <t>NS-TER24-C456</t>
  </si>
  <si>
    <t>HT_MP_BrgyPoblacionWest_LAMUT_IFUGAO</t>
  </si>
  <si>
    <t>PH150177</t>
  </si>
  <si>
    <t>NS-TER24-G789</t>
  </si>
  <si>
    <t>BrgySalamague_Lamut_Ifugao_Shout</t>
  </si>
  <si>
    <t>PH030908</t>
  </si>
  <si>
    <t>NS-TER24-G824</t>
  </si>
  <si>
    <t>SFO_BTS_New_1_PulungBulu_SanFernandoCity_Pampanga</t>
  </si>
  <si>
    <t>PH030912</t>
  </si>
  <si>
    <t>NS-TER24-G832</t>
  </si>
  <si>
    <t>SFO_BTS_New_5_Calulut_SanFernandoCity_Pampanga</t>
  </si>
  <si>
    <t>PH030918</t>
  </si>
  <si>
    <t>NS-TER24-G841</t>
  </si>
  <si>
    <t>Meycauayan_BTS_New_2_Saluysoy_Meycauayan_Bulacan</t>
  </si>
  <si>
    <t>PH030920</t>
  </si>
  <si>
    <t>NS-TER24-G844</t>
  </si>
  <si>
    <t>Guiguinto_BTS_New_1_SantaCruz_Guiguinto_Bulacan</t>
  </si>
  <si>
    <t>PH080322</t>
  </si>
  <si>
    <t>NS-BIZ18-F55</t>
  </si>
  <si>
    <t>BrgyPurokD1(Pob.)_BoronganCity_EasternSamar</t>
  </si>
  <si>
    <t>ESAMELCO</t>
  </si>
  <si>
    <t>Eastern Samar</t>
  </si>
  <si>
    <t>City of Borongan (Capital)</t>
  </si>
  <si>
    <t>PH060479</t>
  </si>
  <si>
    <t>NS-NTG20-AQ27</t>
  </si>
  <si>
    <t>BrgyIntungcan_Pontevedra_Capiz</t>
  </si>
  <si>
    <t>Capiz</t>
  </si>
  <si>
    <t>PH080349</t>
  </si>
  <si>
    <t>OWO-2020-047</t>
  </si>
  <si>
    <t>SANPAS_Reloc</t>
  </si>
  <si>
    <t xml:space="preserve">AGB Construction and Supply </t>
  </si>
  <si>
    <t>PH080309</t>
  </si>
  <si>
    <t>OWO-2022-021</t>
  </si>
  <si>
    <t>IMARSAM_Reloc</t>
  </si>
  <si>
    <t>Marabut</t>
  </si>
  <si>
    <t>15/08/2025</t>
  </si>
  <si>
    <t>PH070483</t>
  </si>
  <si>
    <t>NS-NTG21-D96</t>
  </si>
  <si>
    <t>BrgyCanjulao_LapuLapuCity_Cebu_HBM</t>
  </si>
  <si>
    <t>Anneliv Telecom Services</t>
  </si>
  <si>
    <t>PH070454</t>
  </si>
  <si>
    <t>NS-NTG20-AA68</t>
  </si>
  <si>
    <t>VIS_BrgySanIsidro_TalisayCity_Cebu</t>
  </si>
  <si>
    <t>PH070032</t>
  </si>
  <si>
    <t>NS-NTG20-AF55</t>
  </si>
  <si>
    <t>BrgyKinasang-anPardo_CebuCity_Cebu</t>
  </si>
  <si>
    <t>PH070001</t>
  </si>
  <si>
    <t>NS-NTG20-AF01</t>
  </si>
  <si>
    <t>BrgyPaknaan_MandaueCity_Cebu_3</t>
  </si>
  <si>
    <t>PH070481</t>
  </si>
  <si>
    <t>NS-NTG21-D90</t>
  </si>
  <si>
    <t>BoholProvincialCapitol_TagbilaranCity_Bohol_HBM</t>
  </si>
  <si>
    <t>BLCI</t>
  </si>
  <si>
    <t>13/09/2025</t>
  </si>
  <si>
    <t>PH060477</t>
  </si>
  <si>
    <t>NS-BIZ22-A79</t>
  </si>
  <si>
    <t>BrgySag-Ang_LaCastellana_NegrosOccidental_1_MACRO_COV2021</t>
  </si>
  <si>
    <t>PH060457</t>
  </si>
  <si>
    <t>NS-TER24-D140</t>
  </si>
  <si>
    <t>T6_NewSite_1_382_50032</t>
  </si>
  <si>
    <t>Calatrava</t>
  </si>
  <si>
    <t>PH070509</t>
  </si>
  <si>
    <t>NS-NTG20-AA64</t>
  </si>
  <si>
    <t>BrgyLuca_TanjayCity_NegrosOriental</t>
  </si>
  <si>
    <t>PH060461</t>
  </si>
  <si>
    <t>NS-NTG20-AF20</t>
  </si>
  <si>
    <t>BrgyBanago_Bacolod City(2)</t>
  </si>
  <si>
    <t>Sibucao</t>
  </si>
  <si>
    <t>PH060454</t>
  </si>
  <si>
    <t>NS-NTG20-L65</t>
  </si>
  <si>
    <t>BrgyBinubuhan_BagoCity_NegrosOccidental</t>
  </si>
  <si>
    <t>City of Bago</t>
  </si>
  <si>
    <t>PH060463</t>
  </si>
  <si>
    <t>NS-NTG19-AB42</t>
  </si>
  <si>
    <t>BrgyCaticlan_Malay_Aklan</t>
  </si>
  <si>
    <t/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</si>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</sst>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7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164" fontId="0" fillId="11" borderId="0" xfId="0" applyNumberFormat="1" applyFill="1" applyAlignment="1">
      <alignment vertical="center"/>
    </xf>
    <xf numFmtId="0" fontId="0" fillId="16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4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10" borderId="0" xfId="0" applyNumberFormat="1" applyFill="1" applyAlignment="1">
      <alignment vertical="center"/>
    </xf>
    <xf numFmtId="1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quotePrefix="1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12" borderId="0" xfId="0" applyFill="1" applyAlignment="1">
      <alignment vertical="center"/>
    </xf>
    <xf numFmtId="164" fontId="0" fillId="12" borderId="0" xfId="0" applyNumberForma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0" fillId="18" borderId="0" xfId="0" applyFill="1" applyAlignment="1">
      <alignment vertical="center"/>
    </xf>
    <xf numFmtId="164" fontId="0" fillId="18" borderId="0" xfId="0" applyNumberFormat="1" applyFill="1" applyAlignment="1">
      <alignment horizontal="center" vertical="center"/>
    </xf>
    <xf numFmtId="0" fontId="6" fillId="0" borderId="0" xfId="0" applyFont="1"/>
    <xf numFmtId="0" fontId="6" fillId="2" borderId="0" xfId="0" applyFont="1" applyFill="1"/>
    <xf numFmtId="0" fontId="6" fillId="12" borderId="0" xfId="0" applyFont="1" applyFill="1"/>
    <xf numFmtId="164" fontId="0" fillId="0" borderId="0" xfId="0" applyNumberFormat="1" applyAlignment="1">
      <alignment vertical="top" wrapText="1"/>
    </xf>
    <xf numFmtId="0" fontId="0" fillId="19" borderId="0" xfId="0" applyFill="1" applyAlignment="1">
      <alignment vertical="center"/>
    </xf>
    <xf numFmtId="0" fontId="0" fillId="20" borderId="0" xfId="0" applyFill="1" applyAlignment="1">
      <alignment vertical="center"/>
    </xf>
    <xf numFmtId="164" fontId="0" fillId="0" borderId="0" xfId="0" applyNumberFormat="1" applyAlignment="1">
      <alignment vertical="center" wrapText="1"/>
    </xf>
    <xf numFmtId="0" fontId="0" fillId="21" borderId="0" xfId="0" applyFill="1" applyAlignment="1">
      <alignment vertical="center"/>
    </xf>
    <xf numFmtId="0" fontId="6" fillId="21" borderId="0" xfId="0" applyFont="1" applyFill="1"/>
    <xf numFmtId="164" fontId="0" fillId="22" borderId="0" xfId="0" applyNumberForma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6" fillId="20" borderId="0" xfId="0" applyFont="1" applyFill="1"/>
    <xf numFmtId="0" fontId="6" fillId="12" borderId="0" xfId="0" applyFont="1" applyFill="1" applyAlignment="1">
      <alignment wrapText="1"/>
    </xf>
    <xf numFmtId="16" fontId="6" fillId="0" borderId="0" xfId="0" applyNumberFormat="1" applyFont="1" applyAlignment="1">
      <alignment vertical="center"/>
    </xf>
    <xf numFmtId="0" fontId="0" fillId="23" borderId="0" xfId="0" applyFill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15" borderId="0" xfId="0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6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OF  TEMPO SITES (LUZON)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Count of Tempo Energized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11</c:v>
              </c:pt>
              <c:pt idx="1">
                <c:v>5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C64-4B4A-A2AC-DAB3CB553842}"/>
            </c:ext>
          </c:extLst>
        </c:ser>
        <c:ser>
          <c:idx val="1"/>
          <c:order val="1"/>
          <c:tx>
            <c:v>Count of Tempo Permit Released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11</c:v>
              </c:pt>
              <c:pt idx="2">
                <c:v>14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C64-4B4A-A2AC-DAB3CB553842}"/>
            </c:ext>
          </c:extLst>
        </c:ser>
        <c:ser>
          <c:idx val="2"/>
          <c:order val="2"/>
          <c:tx>
            <c:v>Count of COOP Surveyed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25</c:v>
              </c:pt>
              <c:pt idx="1">
                <c:v>25</c:v>
              </c:pt>
              <c:pt idx="2">
                <c:v>19</c:v>
              </c:pt>
              <c:pt idx="3">
                <c:v>11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2-FC64-4B4A-A2AC-DAB3CB553842}"/>
            </c:ext>
          </c:extLst>
        </c:ser>
        <c:ser>
          <c:idx val="3"/>
          <c:order val="3"/>
          <c:tx>
            <c:v>Count of Tempo PO Issued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25</c:v>
              </c:pt>
              <c:pt idx="1">
                <c:v>25</c:v>
              </c:pt>
              <c:pt idx="2">
                <c:v>19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C64-4B4A-A2AC-DAB3CB553842}"/>
            </c:ext>
          </c:extLst>
        </c:ser>
        <c:ser>
          <c:idx val="4"/>
          <c:order val="4"/>
          <c:tx>
            <c:v>Count of Tempo PQ Raised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32</c:v>
              </c:pt>
              <c:pt idx="1">
                <c:v>25</c:v>
              </c:pt>
              <c:pt idx="2">
                <c:v>19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FC64-4B4A-A2AC-DAB3CB553842}"/>
            </c:ext>
          </c:extLst>
        </c:ser>
        <c:ser>
          <c:idx val="5"/>
          <c:order val="5"/>
          <c:tx>
            <c:v>Count of Construction Completed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16</c:v>
              </c:pt>
              <c:pt idx="1">
                <c:v>32</c:v>
              </c:pt>
              <c:pt idx="2">
                <c:v>11</c:v>
              </c:pt>
              <c:pt idx="3">
                <c:v>78</c:v>
              </c:pt>
              <c:pt idx="4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5-FC64-4B4A-A2AC-DAB3CB553842}"/>
            </c:ext>
          </c:extLst>
        </c:ser>
        <c:ser>
          <c:idx val="6"/>
          <c:order val="6"/>
          <c:tx>
            <c:v>Count of Construction Started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47</c:v>
              </c:pt>
              <c:pt idx="1">
                <c:v>53</c:v>
              </c:pt>
              <c:pt idx="2">
                <c:v>36</c:v>
              </c:pt>
              <c:pt idx="3">
                <c:v>166</c:v>
              </c:pt>
              <c:pt idx="4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6-FC64-4B4A-A2AC-DAB3CB553842}"/>
            </c:ext>
          </c:extLst>
        </c:ser>
        <c:ser>
          <c:idx val="7"/>
          <c:order val="7"/>
          <c:tx>
            <c:v>Count of BP secured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Arjay</c:v>
              </c:pt>
              <c:pt idx="1">
                <c:v>CJ</c:v>
              </c:pt>
              <c:pt idx="2">
                <c:v>Marilyn</c:v>
              </c:pt>
              <c:pt idx="3">
                <c:v>Marlone</c:v>
              </c:pt>
              <c:pt idx="4">
                <c:v>Ralph</c:v>
              </c:pt>
            </c:strLit>
          </c:cat>
          <c:val>
            <c:numLit>
              <c:formatCode>General</c:formatCode>
              <c:ptCount val="5"/>
              <c:pt idx="0">
                <c:v>58</c:v>
              </c:pt>
              <c:pt idx="1">
                <c:v>57</c:v>
              </c:pt>
              <c:pt idx="2">
                <c:v>41</c:v>
              </c:pt>
              <c:pt idx="3">
                <c:v>212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7-FC64-4B4A-A2AC-DAB3CB5538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86543823"/>
        <c:axId val="386544303"/>
      </c:barChart>
      <c:catAx>
        <c:axId val="3865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44303"/>
        <c:crosses val="autoZero"/>
        <c:auto val="1"/>
        <c:lblAlgn val="ctr"/>
        <c:lblOffset val="100"/>
        <c:noMultiLvlLbl val="0"/>
      </c:catAx>
      <c:valAx>
        <c:axId val="38654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4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69006999125108"/>
          <c:y val="0.20944869573262959"/>
          <c:w val="0.13468270632837559"/>
          <c:h val="0.55500377668182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OF PERMANENT ENERGIZATION (LUZON)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Count of Permanent Energized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8796-4ED3-82EC-80DBFBE63545}"/>
            </c:ext>
          </c:extLst>
        </c:ser>
        <c:ser>
          <c:idx val="1"/>
          <c:order val="1"/>
          <c:tx>
            <c:v>Count of Bill deposit Paid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796-4ED3-82EC-80DBFBE63545}"/>
            </c:ext>
          </c:extLst>
        </c:ser>
        <c:ser>
          <c:idx val="2"/>
          <c:order val="2"/>
          <c:tx>
            <c:v>Count of Line Construction Completed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8796-4ED3-82EC-80DBFBE63545}"/>
            </c:ext>
          </c:extLst>
        </c:ser>
        <c:ser>
          <c:idx val="3"/>
          <c:order val="3"/>
          <c:tx>
            <c:v>Count of Line Construction Started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3-8796-4ED3-82EC-80DBFBE63545}"/>
            </c:ext>
          </c:extLst>
        </c:ser>
        <c:ser>
          <c:idx val="4"/>
          <c:order val="4"/>
          <c:tx>
            <c:v>Count of Permanent
PO Issued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4-8796-4ED3-82EC-80DBFBE63545}"/>
            </c:ext>
          </c:extLst>
        </c:ser>
        <c:ser>
          <c:idx val="5"/>
          <c:order val="5"/>
          <c:tx>
            <c:v>Count of Permanent
PQ Raised 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5-8796-4ED3-82EC-80DBFBE63545}"/>
            </c:ext>
          </c:extLst>
        </c:ser>
        <c:ser>
          <c:idx val="6"/>
          <c:order val="6"/>
          <c:tx>
            <c:v>Count of Post Con Secured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6-8796-4ED3-82EC-80DBFBE63545}"/>
            </c:ext>
          </c:extLst>
        </c:ser>
        <c:ser>
          <c:idx val="7"/>
          <c:order val="7"/>
          <c:tx>
            <c:v>Count of Construction Completed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59</c:v>
              </c:pt>
            </c:numLit>
          </c:val>
          <c:extLst>
            <c:ext xmlns:c16="http://schemas.microsoft.com/office/drawing/2014/chart" uri="{C3380CC4-5D6E-409C-BE32-E72D297353CC}">
              <c16:uniqueId val="{00000007-8796-4ED3-82EC-80DBFBE635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86542143"/>
        <c:axId val="286549823"/>
      </c:barChart>
      <c:catAx>
        <c:axId val="28654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49823"/>
        <c:crosses val="autoZero"/>
        <c:auto val="1"/>
        <c:lblAlgn val="ctr"/>
        <c:lblOffset val="100"/>
        <c:noMultiLvlLbl val="0"/>
      </c:catAx>
      <c:valAx>
        <c:axId val="2865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4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60418489355494"/>
          <c:y val="0.18496810294546517"/>
          <c:w val="0.14384025955088947"/>
          <c:h val="0.699726049868766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139327</xdr:colOff>
      <xdr:row>0</xdr:row>
      <xdr:rowOff>89647</xdr:rowOff>
    </xdr:from>
    <xdr:to>
      <xdr:col>22</xdr:col>
      <xdr:colOff>455531</xdr:colOff>
      <xdr:row>30</xdr:row>
      <xdr:rowOff>133190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3283E-6A8F-4B68-BB27-C0B06B6ED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129212</xdr:colOff>
      <xdr:row>31</xdr:row>
      <xdr:rowOff>77371</xdr:rowOff>
    </xdr:from>
    <xdr:to>
      <xdr:col>22</xdr:col>
      <xdr:colOff>445416</xdr:colOff>
      <xdr:row>61</xdr:row>
      <xdr:rowOff>120914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6FAA8-BE45-469A-9FC1-DC7BE6B5695A}"/>
            </a:ext>
            <a:ext uri="{147F2762-F138-4A5C-976F-8EAC2B608ADB}">
              <a16:predDERef xmlns:a16="http://schemas.microsoft.com/office/drawing/2014/main" pred="{C7B3283E-6A8F-4B68-BB27-C0B06B6ED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3586-92DF-48CB-B1D8-33CED2E7CF4F}">
  <sheetPr filterMode="1"/>
  <dimension ref="A1:BH946"/>
  <sheetViews>
    <sheetView tabSelected="1" zoomScale="169" zoomScaleNormal="166" workbookViewId="0">
      <pane xSplit="6" ySplit="3" topLeftCell="BI4" activePane="bottomRight" state="frozen"/>
      <selection pane="topRight" activeCell="J29" sqref="J29"/>
      <selection pane="bottomLeft" activeCell="J29" sqref="J29"/>
      <selection pane="bottomRight" activeCell="D950" sqref="D950"/>
    </sheetView>
  </sheetViews>
  <sheetFormatPr defaultColWidth="8.7109375" defaultRowHeight="15" customHeight="1" x14ac:dyDescent="0.25"/>
  <cols>
    <col min="1" max="1" width="2.7109375" style="2" customWidth="1"/>
    <col min="2" max="2" width="10.7109375" style="2" bestFit="1" customWidth="1"/>
    <col min="3" max="3" width="10.28515625" style="2" bestFit="1" customWidth="1"/>
    <col min="4" max="4" width="42.140625" style="2" customWidth="1"/>
    <col min="5" max="5" width="8.7109375" style="2"/>
    <col min="6" max="6" width="13.42578125" style="2" customWidth="1"/>
    <col min="7" max="11" width="8.7109375" style="2"/>
    <col min="12" max="12" width="11.140625" style="2" customWidth="1"/>
    <col min="13" max="13" width="26.7109375" style="2" customWidth="1"/>
    <col min="14" max="15" width="9.140625" style="2" customWidth="1"/>
    <col min="16" max="16" width="13.42578125" style="2" customWidth="1"/>
    <col min="17" max="17" width="36.140625" style="2" customWidth="1"/>
    <col min="18" max="18" width="27" style="2" customWidth="1"/>
    <col min="19" max="19" width="30.140625" style="2" customWidth="1"/>
    <col min="20" max="20" width="32.5703125" style="2" customWidth="1"/>
    <col min="21" max="21" width="12.5703125" style="8" customWidth="1"/>
    <col min="22" max="22" width="25.85546875" style="8" customWidth="1"/>
    <col min="23" max="23" width="22" style="8" customWidth="1"/>
    <col min="24" max="25" width="12.5703125" style="9" customWidth="1"/>
    <col min="26" max="28" width="12.5703125" style="8" customWidth="1"/>
    <col min="29" max="29" width="13.7109375" style="8" customWidth="1"/>
    <col min="30" max="32" width="12.5703125" style="8" customWidth="1"/>
    <col min="33" max="33" width="14" style="8" customWidth="1"/>
    <col min="34" max="39" width="17.5703125" style="8" customWidth="1"/>
    <col min="40" max="41" width="12.85546875" style="8" customWidth="1"/>
    <col min="42" max="42" width="31.140625" style="8" customWidth="1"/>
    <col min="43" max="44" width="17.5703125" style="10" customWidth="1"/>
    <col min="45" max="45" width="48.5703125" style="8" customWidth="1"/>
    <col min="46" max="48" width="12.5703125" style="8" customWidth="1"/>
    <col min="49" max="49" width="17.7109375" style="8" customWidth="1"/>
    <col min="50" max="50" width="12.5703125" style="8" customWidth="1"/>
    <col min="51" max="51" width="21.28515625" style="8" customWidth="1"/>
    <col min="52" max="54" width="12.5703125" style="8" customWidth="1"/>
    <col min="55" max="55" width="15.5703125" style="8" customWidth="1"/>
    <col min="56" max="56" width="25.85546875" style="2" customWidth="1"/>
    <col min="57" max="57" width="9" style="2" customWidth="1"/>
    <col min="58" max="60" width="20.85546875" style="2" customWidth="1"/>
    <col min="61" max="16384" width="8.7109375" style="2"/>
  </cols>
  <sheetData>
    <row r="1" spans="2:60" x14ac:dyDescent="0.25">
      <c r="B1" s="3">
        <f>SUBTOTAL(3,B4:B943)</f>
        <v>12</v>
      </c>
      <c r="C1" s="3">
        <f t="shared" ref="C1:BH1" si="0">SUBTOTAL(3,C4:C943)</f>
        <v>12</v>
      </c>
      <c r="D1" s="3">
        <f t="shared" si="0"/>
        <v>12</v>
      </c>
      <c r="E1" s="3">
        <f t="shared" si="0"/>
        <v>12</v>
      </c>
      <c r="F1" s="3">
        <f t="shared" si="0"/>
        <v>12</v>
      </c>
      <c r="G1" s="3">
        <f t="shared" si="0"/>
        <v>12</v>
      </c>
      <c r="H1" s="3">
        <f t="shared" si="0"/>
        <v>12</v>
      </c>
      <c r="I1" s="3">
        <f t="shared" si="0"/>
        <v>12</v>
      </c>
      <c r="J1" s="3">
        <f t="shared" si="0"/>
        <v>12</v>
      </c>
      <c r="K1" s="3">
        <f t="shared" si="0"/>
        <v>12</v>
      </c>
      <c r="L1" s="3">
        <f t="shared" si="0"/>
        <v>12</v>
      </c>
      <c r="M1" s="3">
        <f t="shared" si="0"/>
        <v>12</v>
      </c>
      <c r="N1" s="3">
        <f t="shared" si="0"/>
        <v>12</v>
      </c>
      <c r="O1" s="3">
        <f t="shared" si="0"/>
        <v>12</v>
      </c>
      <c r="P1" s="3">
        <f t="shared" si="0"/>
        <v>12</v>
      </c>
      <c r="Q1" s="3">
        <f t="shared" si="0"/>
        <v>12</v>
      </c>
      <c r="R1" s="3">
        <f t="shared" si="0"/>
        <v>12</v>
      </c>
      <c r="S1" s="3">
        <f t="shared" si="0"/>
        <v>12</v>
      </c>
      <c r="T1" s="3">
        <f t="shared" si="0"/>
        <v>12</v>
      </c>
      <c r="U1" s="3">
        <f t="shared" si="0"/>
        <v>10</v>
      </c>
      <c r="V1" s="3">
        <f t="shared" si="0"/>
        <v>12</v>
      </c>
      <c r="W1" s="3">
        <f t="shared" si="0"/>
        <v>12</v>
      </c>
      <c r="X1" s="3">
        <f t="shared" si="0"/>
        <v>9</v>
      </c>
      <c r="Y1" s="3">
        <f t="shared" si="0"/>
        <v>8</v>
      </c>
      <c r="Z1" s="3">
        <f t="shared" si="0"/>
        <v>4</v>
      </c>
      <c r="AA1" s="3">
        <f t="shared" si="0"/>
        <v>3</v>
      </c>
      <c r="AB1" s="3">
        <f t="shared" si="0"/>
        <v>0</v>
      </c>
      <c r="AC1" s="3">
        <f t="shared" si="0"/>
        <v>12</v>
      </c>
      <c r="AD1" s="3">
        <f t="shared" si="0"/>
        <v>0</v>
      </c>
      <c r="AE1" s="3">
        <f t="shared" si="0"/>
        <v>12</v>
      </c>
      <c r="AF1" s="3">
        <f t="shared" si="0"/>
        <v>12</v>
      </c>
      <c r="AG1" s="3">
        <f t="shared" si="0"/>
        <v>10</v>
      </c>
      <c r="AH1" s="3">
        <f t="shared" si="0"/>
        <v>10</v>
      </c>
      <c r="AI1" s="3">
        <f t="shared" si="0"/>
        <v>10</v>
      </c>
      <c r="AJ1" s="3">
        <f t="shared" si="0"/>
        <v>10</v>
      </c>
      <c r="AK1" s="3">
        <f t="shared" si="0"/>
        <v>6</v>
      </c>
      <c r="AL1" s="3">
        <f t="shared" si="0"/>
        <v>8</v>
      </c>
      <c r="AM1" s="3">
        <f t="shared" si="0"/>
        <v>6</v>
      </c>
      <c r="AN1" s="3">
        <f t="shared" si="0"/>
        <v>0</v>
      </c>
      <c r="AO1" s="3">
        <f t="shared" si="0"/>
        <v>1</v>
      </c>
      <c r="AP1" s="3">
        <f t="shared" si="0"/>
        <v>12</v>
      </c>
      <c r="AQ1" s="3">
        <f t="shared" ca="1" si="0"/>
        <v>7</v>
      </c>
      <c r="AR1" s="3">
        <f t="shared" si="0"/>
        <v>0</v>
      </c>
      <c r="AS1" s="3">
        <f t="shared" si="0"/>
        <v>7</v>
      </c>
      <c r="AT1" s="3">
        <f t="shared" si="0"/>
        <v>9</v>
      </c>
      <c r="AU1" s="3">
        <f t="shared" si="0"/>
        <v>9</v>
      </c>
      <c r="AV1" s="3">
        <f t="shared" si="0"/>
        <v>9</v>
      </c>
      <c r="AW1" s="3">
        <f t="shared" si="0"/>
        <v>9</v>
      </c>
      <c r="AX1" s="3">
        <f t="shared" si="0"/>
        <v>9</v>
      </c>
      <c r="AY1" s="3">
        <f t="shared" si="0"/>
        <v>9</v>
      </c>
      <c r="AZ1" s="3">
        <f t="shared" si="0"/>
        <v>0</v>
      </c>
      <c r="BA1" s="3">
        <f t="shared" si="0"/>
        <v>0</v>
      </c>
      <c r="BB1" s="3">
        <f t="shared" si="0"/>
        <v>0</v>
      </c>
      <c r="BC1" s="3">
        <f t="shared" si="0"/>
        <v>0</v>
      </c>
      <c r="BD1" s="3">
        <f t="shared" si="0"/>
        <v>12</v>
      </c>
      <c r="BE1" s="3">
        <f t="shared" si="0"/>
        <v>12</v>
      </c>
      <c r="BF1" s="3">
        <f t="shared" si="0"/>
        <v>6</v>
      </c>
      <c r="BG1" s="3">
        <f t="shared" si="0"/>
        <v>12</v>
      </c>
      <c r="BH1" s="3">
        <f t="shared" si="0"/>
        <v>12</v>
      </c>
    </row>
    <row r="2" spans="2:60" x14ac:dyDescent="0.25">
      <c r="R2" s="28" t="s">
        <v>26</v>
      </c>
      <c r="S2" s="28" t="s">
        <v>26</v>
      </c>
      <c r="T2" s="28" t="s">
        <v>26</v>
      </c>
      <c r="U2" s="3"/>
      <c r="V2" s="65" t="s">
        <v>27</v>
      </c>
      <c r="W2" s="65"/>
      <c r="X2" s="3"/>
      <c r="Y2" s="3"/>
      <c r="Z2" s="3"/>
      <c r="AA2" s="3"/>
      <c r="AB2" s="3"/>
      <c r="AC2" s="3"/>
      <c r="AD2" s="3"/>
      <c r="AE2" s="3"/>
      <c r="AF2" s="3"/>
      <c r="AG2" s="63" t="s">
        <v>21</v>
      </c>
      <c r="AH2" s="63"/>
      <c r="AI2" s="63"/>
      <c r="AJ2" s="63"/>
      <c r="AK2" s="63"/>
      <c r="AL2" s="63"/>
      <c r="AM2" s="63"/>
      <c r="AN2" s="5"/>
      <c r="AO2" s="5"/>
      <c r="AP2" s="5"/>
      <c r="AQ2" s="6"/>
      <c r="AR2" s="6" t="s">
        <v>28</v>
      </c>
      <c r="AS2" s="5"/>
      <c r="AT2" s="64" t="s">
        <v>16</v>
      </c>
      <c r="AU2" s="64"/>
      <c r="AV2" s="64"/>
      <c r="AW2" s="64"/>
      <c r="AX2" s="64"/>
      <c r="AY2" s="64"/>
      <c r="AZ2" s="64"/>
      <c r="BA2" s="64"/>
      <c r="BB2" s="64"/>
      <c r="BC2" s="64"/>
    </row>
    <row r="3" spans="2:60" s="40" customFormat="1" ht="40.5" customHeight="1" x14ac:dyDescent="0.25">
      <c r="B3" s="30" t="s">
        <v>29</v>
      </c>
      <c r="C3" s="30" t="s">
        <v>30</v>
      </c>
      <c r="D3" s="54" t="s">
        <v>31</v>
      </c>
      <c r="E3" s="30" t="s">
        <v>24</v>
      </c>
      <c r="F3" s="30" t="s">
        <v>32</v>
      </c>
      <c r="G3" s="31" t="s">
        <v>0</v>
      </c>
      <c r="H3" s="30" t="s">
        <v>33</v>
      </c>
      <c r="I3" s="31" t="s">
        <v>34</v>
      </c>
      <c r="J3" s="30" t="s">
        <v>35</v>
      </c>
      <c r="K3" s="30" t="s">
        <v>36</v>
      </c>
      <c r="L3" s="30" t="s">
        <v>37</v>
      </c>
      <c r="M3" s="30" t="s">
        <v>38</v>
      </c>
      <c r="N3" s="30" t="s">
        <v>39</v>
      </c>
      <c r="O3" s="30" t="s">
        <v>40</v>
      </c>
      <c r="P3" s="31" t="s">
        <v>41</v>
      </c>
      <c r="Q3" s="30" t="s">
        <v>42</v>
      </c>
      <c r="R3" s="32" t="s">
        <v>43</v>
      </c>
      <c r="S3" s="32" t="s">
        <v>44</v>
      </c>
      <c r="T3" s="32" t="s">
        <v>42</v>
      </c>
      <c r="U3" s="30" t="s">
        <v>45</v>
      </c>
      <c r="V3" s="60" t="s">
        <v>41</v>
      </c>
      <c r="W3" s="60" t="s">
        <v>46</v>
      </c>
      <c r="X3" s="31" t="s">
        <v>7</v>
      </c>
      <c r="Y3" s="30" t="s">
        <v>47</v>
      </c>
      <c r="Z3" s="30" t="s">
        <v>8</v>
      </c>
      <c r="AA3" s="30" t="s">
        <v>9</v>
      </c>
      <c r="AB3" s="30" t="s">
        <v>10</v>
      </c>
      <c r="AC3" s="41" t="s">
        <v>48</v>
      </c>
      <c r="AD3" s="30" t="s">
        <v>12</v>
      </c>
      <c r="AE3" s="30" t="s">
        <v>18</v>
      </c>
      <c r="AF3" s="30" t="s">
        <v>49</v>
      </c>
      <c r="AG3" s="33" t="s">
        <v>50</v>
      </c>
      <c r="AH3" s="34" t="s">
        <v>51</v>
      </c>
      <c r="AI3" s="33" t="s">
        <v>52</v>
      </c>
      <c r="AJ3" s="34" t="s">
        <v>53</v>
      </c>
      <c r="AK3" s="33" t="s">
        <v>14</v>
      </c>
      <c r="AL3" s="33" t="s">
        <v>13</v>
      </c>
      <c r="AM3" s="33" t="s">
        <v>15</v>
      </c>
      <c r="AN3" s="35" t="s">
        <v>22</v>
      </c>
      <c r="AO3" s="35" t="s">
        <v>23</v>
      </c>
      <c r="AP3" s="36" t="s">
        <v>54</v>
      </c>
      <c r="AQ3" s="37" t="s">
        <v>55</v>
      </c>
      <c r="AR3" s="37" t="s">
        <v>56</v>
      </c>
      <c r="AS3" s="36" t="s">
        <v>2</v>
      </c>
      <c r="AT3" s="38" t="s">
        <v>57</v>
      </c>
      <c r="AU3" s="38" t="s">
        <v>58</v>
      </c>
      <c r="AV3" s="38" t="s">
        <v>59</v>
      </c>
      <c r="AW3" s="39" t="s">
        <v>51</v>
      </c>
      <c r="AX3" s="38" t="s">
        <v>60</v>
      </c>
      <c r="AY3" s="39" t="s">
        <v>53</v>
      </c>
      <c r="AZ3" s="38" t="s">
        <v>17</v>
      </c>
      <c r="BA3" s="38" t="s">
        <v>19</v>
      </c>
      <c r="BB3" s="38" t="s">
        <v>20</v>
      </c>
      <c r="BC3" s="38" t="s">
        <v>61</v>
      </c>
      <c r="BD3" s="36" t="s">
        <v>54</v>
      </c>
      <c r="BE3" s="36" t="s">
        <v>55</v>
      </c>
      <c r="BF3" s="36" t="s">
        <v>2</v>
      </c>
      <c r="BG3" s="36"/>
      <c r="BH3" s="36" t="s">
        <v>62</v>
      </c>
    </row>
    <row r="4" spans="2:60" hidden="1" x14ac:dyDescent="0.25">
      <c r="B4" s="2" t="s">
        <v>63</v>
      </c>
      <c r="C4" s="2" t="s">
        <v>64</v>
      </c>
      <c r="D4" s="44" t="s">
        <v>65</v>
      </c>
      <c r="E4" s="2" t="s">
        <v>11</v>
      </c>
      <c r="F4" s="2" t="s">
        <v>66</v>
      </c>
      <c r="G4" s="2" t="s">
        <v>1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>
        <v>0</v>
      </c>
      <c r="N4" s="2">
        <v>0</v>
      </c>
      <c r="O4" s="2">
        <v>0</v>
      </c>
      <c r="P4" s="2" t="s">
        <v>72</v>
      </c>
      <c r="Q4" s="2" t="s">
        <v>73</v>
      </c>
      <c r="R4" s="29" t="e">
        <f>IF(INDEX(#REF!,MATCH('data '!$B4,#REF!,0),MATCH('data '!R$3,#REF!,0))=0,"",INDEX(#REF!,MATCH('data '!$B4,#REF!,0),MATCH('data '!R$3,#REF!,0)))</f>
        <v>#REF!</v>
      </c>
      <c r="S4" s="29" t="e">
        <f>IF(INDEX(#REF!,MATCH('data '!$B4,#REF!,0),MATCH('data '!S$3,#REF!,0))=0,"",INDEX(#REF!,MATCH('data '!$B4,#REF!,0),MATCH('data '!S$3,#REF!,0)))</f>
        <v>#REF!</v>
      </c>
      <c r="T4" s="29" t="e">
        <f>IF(INDEX(#REF!,MATCH('data '!$B4,#REF!,0),MATCH('data '!T$3,#REF!,0))=0,"",INDEX(#REF!,MATCH('data '!$B4,#REF!,0),MATCH('data '!T$3,#REF!,0)))</f>
        <v>#REF!</v>
      </c>
      <c r="V4" s="25" t="s">
        <v>74</v>
      </c>
      <c r="W4" s="25">
        <v>0</v>
      </c>
      <c r="AC4" s="8" t="e">
        <f>VLOOKUP(B4,#REF!,19,0)</f>
        <v>#REF!</v>
      </c>
      <c r="AP4" s="8" t="str">
        <f t="shared" ref="AP4:AP67" si="1">IF(AM4&gt;0,"Tempo Energized",IF(AL4&gt;0,"Tempo Permit Released",IF(AK4&gt;0,"COOP Surveyed",IF(AI4&gt;0,"PO Issued",IF(AG4&gt;0,"PQ Raised",IF(AF4&gt;0,"Vendor Allocated",IF(X4&gt;0,"BP Secured","Not yet endorsed")))))))</f>
        <v>Not yet endorsed</v>
      </c>
      <c r="AQ4" s="10" t="b" cm="1">
        <f t="array" aca="1" ref="AQ4" ca="1">IF(AM4&gt;0,(TODAY()-AM4),IF(AL4&gt;0,(TODAY()-AL4),IF(AK4&gt;0,(TODAY()-AK4,IF(AI4&gt;0,(TODAY()-AI4),IF(AG4&gt;0,(TODAY()-AG4),IF(AF4&gt;0,(TODAY()-AF4),IF(X4&gt;0,(TODAY()-X4)," "))))))))</f>
        <v>0</v>
      </c>
      <c r="BD4" s="2" t="str">
        <f t="shared" ref="BD4:BD67" si="2">IF(BC4&gt;0,"Permanent Energized",IF(BB4&gt;0,"Bill deposit Paid",IF(BA4&gt;0,"Line Construction Completed",IF(AZ4&gt;0,"Line Construction Started",IF(AX4&gt;0,"PO Issued",IF(AV4&gt;0,"PQ Raised",IF(AU4&gt;0,"BoQ Approved",IF(AT4&gt;0,"BoQ Submitted",IF(AF4&gt;0,"Vendor Allocated",IF(X4&gt;0,"BP Secured",IF(U4&gt;0,"TSSR Approved","Not yet endorsed")))))))))))</f>
        <v>Not yet endorsed</v>
      </c>
      <c r="BE4" s="2" t="s">
        <v>75</v>
      </c>
      <c r="BG4" s="2" t="e">
        <v>#N/A</v>
      </c>
    </row>
    <row r="5" spans="2:60" hidden="1" x14ac:dyDescent="0.25">
      <c r="B5" s="2" t="s">
        <v>76</v>
      </c>
      <c r="C5" s="2" t="s">
        <v>77</v>
      </c>
      <c r="D5" s="44" t="s">
        <v>78</v>
      </c>
      <c r="E5" s="2" t="s">
        <v>11</v>
      </c>
      <c r="F5" s="2" t="s">
        <v>79</v>
      </c>
      <c r="G5" s="2" t="s">
        <v>1</v>
      </c>
      <c r="H5" s="2" t="s">
        <v>67</v>
      </c>
      <c r="I5" s="2" t="s">
        <v>68</v>
      </c>
      <c r="J5" s="2" t="s">
        <v>80</v>
      </c>
      <c r="K5" s="2" t="s">
        <v>81</v>
      </c>
      <c r="L5" s="2">
        <v>0</v>
      </c>
      <c r="M5" s="2">
        <v>0</v>
      </c>
      <c r="N5" s="2">
        <v>0</v>
      </c>
      <c r="O5" s="2">
        <v>0</v>
      </c>
      <c r="P5" s="2" t="s">
        <v>82</v>
      </c>
      <c r="Q5" s="2" t="s">
        <v>73</v>
      </c>
      <c r="R5" s="29" t="e">
        <f>IF(INDEX(#REF!,MATCH('data '!$B5,#REF!,0),MATCH('data '!R$3,#REF!,0))=0,"",INDEX(#REF!,MATCH('data '!$B5,#REF!,0),MATCH('data '!R$3,#REF!,0)))</f>
        <v>#REF!</v>
      </c>
      <c r="S5" s="29" t="e">
        <f>IF(INDEX(#REF!,MATCH('data '!$B5,#REF!,0),MATCH('data '!S$3,#REF!,0))=0,"",INDEX(#REF!,MATCH('data '!$B5,#REF!,0),MATCH('data '!S$3,#REF!,0)))</f>
        <v>#REF!</v>
      </c>
      <c r="T5" s="29" t="e">
        <f>IF(INDEX(#REF!,MATCH('data '!$B5,#REF!,0),MATCH('data '!T$3,#REF!,0))=0,"",INDEX(#REF!,MATCH('data '!$B5,#REF!,0),MATCH('data '!T$3,#REF!,0)))</f>
        <v>#REF!</v>
      </c>
      <c r="V5" s="25" t="s">
        <v>82</v>
      </c>
      <c r="W5" s="25" t="s">
        <v>83</v>
      </c>
      <c r="AC5" s="8" t="e">
        <f>VLOOKUP(B5,#REF!,19,0)</f>
        <v>#REF!</v>
      </c>
      <c r="AP5" s="8" t="str">
        <f t="shared" si="1"/>
        <v>Not yet endorsed</v>
      </c>
      <c r="AQ5" s="10" t="b" cm="1">
        <f t="array" aca="1" ref="AQ5" ca="1">IF(AM5&gt;0,(TODAY()-AM5),IF(AL5&gt;0,(TODAY()-AL5),IF(AK5&gt;0,(TODAY()-AK5,IF(AI5&gt;0,(TODAY()-AI5),IF(AG5&gt;0,(TODAY()-AG5),IF(AF5&gt;0,(TODAY()-AF5),IF(X5&gt;0,(TODAY()-X5)," "))))))))</f>
        <v>0</v>
      </c>
      <c r="BD5" s="2" t="str">
        <f t="shared" si="2"/>
        <v>Not yet endorsed</v>
      </c>
      <c r="BE5" s="2" t="s">
        <v>75</v>
      </c>
      <c r="BG5" s="2" t="e">
        <v>#N/A</v>
      </c>
    </row>
    <row r="6" spans="2:60" hidden="1" x14ac:dyDescent="0.25">
      <c r="B6" s="2" t="s">
        <v>84</v>
      </c>
      <c r="C6" s="2" t="s">
        <v>85</v>
      </c>
      <c r="D6" s="44" t="s">
        <v>86</v>
      </c>
      <c r="E6" s="2" t="s">
        <v>11</v>
      </c>
      <c r="F6" s="2" t="s">
        <v>79</v>
      </c>
      <c r="G6" s="2" t="s">
        <v>1</v>
      </c>
      <c r="H6" s="2" t="s">
        <v>67</v>
      </c>
      <c r="I6" s="2" t="s">
        <v>68</v>
      </c>
      <c r="J6" s="2" t="s">
        <v>80</v>
      </c>
      <c r="K6" s="2" t="s">
        <v>81</v>
      </c>
      <c r="L6" s="2">
        <v>0</v>
      </c>
      <c r="M6" s="2">
        <v>0</v>
      </c>
      <c r="N6" s="2">
        <v>7.0540969999999996</v>
      </c>
      <c r="O6" s="2">
        <v>125.591694</v>
      </c>
      <c r="P6" s="2" t="s">
        <v>87</v>
      </c>
      <c r="Q6" s="2" t="s">
        <v>73</v>
      </c>
      <c r="R6" s="29" t="e">
        <f>IF(INDEX(#REF!,MATCH('data '!$B6,#REF!,0),MATCH('data '!R$3,#REF!,0))=0,"",INDEX(#REF!,MATCH('data '!$B6,#REF!,0),MATCH('data '!R$3,#REF!,0)))</f>
        <v>#REF!</v>
      </c>
      <c r="S6" s="29" t="e">
        <f>IF(INDEX(#REF!,MATCH('data '!$B6,#REF!,0),MATCH('data '!S$3,#REF!,0))=0,"",INDEX(#REF!,MATCH('data '!$B6,#REF!,0),MATCH('data '!S$3,#REF!,0)))</f>
        <v>#REF!</v>
      </c>
      <c r="T6" s="29" t="e">
        <f>IF(INDEX(#REF!,MATCH('data '!$B6,#REF!,0),MATCH('data '!T$3,#REF!,0))=0,"",INDEX(#REF!,MATCH('data '!$B6,#REF!,0),MATCH('data '!T$3,#REF!,0)))</f>
        <v>#REF!</v>
      </c>
      <c r="U6" s="8" t="s">
        <v>25</v>
      </c>
      <c r="V6" s="25" t="s">
        <v>88</v>
      </c>
      <c r="W6" s="25" t="s">
        <v>89</v>
      </c>
      <c r="AC6" s="8" t="e">
        <f>VLOOKUP(B6,#REF!,19,0)</f>
        <v>#REF!</v>
      </c>
      <c r="AP6" s="8" t="str">
        <f t="shared" si="1"/>
        <v>Not yet endorsed</v>
      </c>
      <c r="AQ6" s="10" t="b" cm="1">
        <f t="array" aca="1" ref="AQ6" ca="1">IF(AM6&gt;0,(TODAY()-AM6),IF(AL6&gt;0,(TODAY()-AL6),IF(AK6&gt;0,(TODAY()-AK6,IF(AI6&gt;0,(TODAY()-AI6),IF(AG6&gt;0,(TODAY()-AG6),IF(AF6&gt;0,(TODAY()-AF6),IF(X6&gt;0,(TODAY()-X6)," "))))))))</f>
        <v>0</v>
      </c>
      <c r="BD6" s="2" t="str">
        <f t="shared" si="2"/>
        <v>TSSR Approved</v>
      </c>
      <c r="BE6" s="2" t="e">
        <v>#VALUE!</v>
      </c>
      <c r="BG6" s="2" t="e">
        <v>#N/A</v>
      </c>
    </row>
    <row r="7" spans="2:60" hidden="1" x14ac:dyDescent="0.25">
      <c r="B7" s="2" t="s">
        <v>90</v>
      </c>
      <c r="C7" s="2" t="s">
        <v>91</v>
      </c>
      <c r="D7" s="44" t="s">
        <v>92</v>
      </c>
      <c r="E7" s="2" t="s">
        <v>11</v>
      </c>
      <c r="F7" s="2" t="s">
        <v>79</v>
      </c>
      <c r="G7" s="2" t="s">
        <v>1</v>
      </c>
      <c r="H7" s="2" t="s">
        <v>67</v>
      </c>
      <c r="I7" s="2" t="s">
        <v>68</v>
      </c>
      <c r="J7" s="2" t="s">
        <v>80</v>
      </c>
      <c r="K7" s="2" t="s">
        <v>81</v>
      </c>
      <c r="L7" s="2" t="s">
        <v>93</v>
      </c>
      <c r="M7" s="2">
        <v>0</v>
      </c>
      <c r="N7" s="2">
        <v>0</v>
      </c>
      <c r="O7" s="2">
        <v>0</v>
      </c>
      <c r="P7" s="2" t="s">
        <v>94</v>
      </c>
      <c r="Q7" s="2" t="s">
        <v>73</v>
      </c>
      <c r="R7" s="29" t="e">
        <f>IF(INDEX(#REF!,MATCH('data '!$B7,#REF!,0),MATCH('data '!R$3,#REF!,0))=0,"",INDEX(#REF!,MATCH('data '!$B7,#REF!,0),MATCH('data '!R$3,#REF!,0)))</f>
        <v>#REF!</v>
      </c>
      <c r="S7" s="29" t="e">
        <f>IF(INDEX(#REF!,MATCH('data '!$B7,#REF!,0),MATCH('data '!S$3,#REF!,0))=0,"",INDEX(#REF!,MATCH('data '!$B7,#REF!,0),MATCH('data '!S$3,#REF!,0)))</f>
        <v>#REF!</v>
      </c>
      <c r="T7" s="29" t="e">
        <f>IF(INDEX(#REF!,MATCH('data '!$B7,#REF!,0),MATCH('data '!T$3,#REF!,0))=0,"",INDEX(#REF!,MATCH('data '!$B7,#REF!,0),MATCH('data '!T$3,#REF!,0)))</f>
        <v>#REF!</v>
      </c>
      <c r="V7" s="25" t="s">
        <v>95</v>
      </c>
      <c r="W7" s="25">
        <v>0</v>
      </c>
      <c r="AC7" s="8" t="e">
        <f>VLOOKUP(B7,#REF!,19,0)</f>
        <v>#REF!</v>
      </c>
      <c r="AP7" s="8" t="str">
        <f t="shared" si="1"/>
        <v>Not yet endorsed</v>
      </c>
      <c r="AQ7" s="10" t="b" cm="1">
        <f t="array" aca="1" ref="AQ7" ca="1">IF(AM7&gt;0,(TODAY()-AM7),IF(AL7&gt;0,(TODAY()-AL7),IF(AK7&gt;0,(TODAY()-AK7,IF(AI7&gt;0,(TODAY()-AI7),IF(AG7&gt;0,(TODAY()-AG7),IF(AF7&gt;0,(TODAY()-AF7),IF(X7&gt;0,(TODAY()-X7)," "))))))))</f>
        <v>0</v>
      </c>
      <c r="BD7" s="2" t="str">
        <f t="shared" si="2"/>
        <v>Not yet endorsed</v>
      </c>
      <c r="BE7" s="2" t="s">
        <v>75</v>
      </c>
      <c r="BG7" s="2" t="e">
        <v>#N/A</v>
      </c>
    </row>
    <row r="8" spans="2:60" hidden="1" x14ac:dyDescent="0.25">
      <c r="B8" s="2" t="s">
        <v>96</v>
      </c>
      <c r="C8" s="2" t="s">
        <v>97</v>
      </c>
      <c r="D8" s="44" t="s">
        <v>98</v>
      </c>
      <c r="E8" s="2" t="s">
        <v>11</v>
      </c>
      <c r="F8" s="2" t="s">
        <v>79</v>
      </c>
      <c r="G8" s="2" t="s">
        <v>1</v>
      </c>
      <c r="H8" s="2" t="s">
        <v>67</v>
      </c>
      <c r="I8" s="2" t="s">
        <v>68</v>
      </c>
      <c r="J8" s="2" t="s">
        <v>80</v>
      </c>
      <c r="K8" s="2" t="s">
        <v>81</v>
      </c>
      <c r="L8" s="2">
        <v>0</v>
      </c>
      <c r="M8" s="2">
        <v>0</v>
      </c>
      <c r="N8" s="2">
        <v>0</v>
      </c>
      <c r="O8" s="2">
        <v>0</v>
      </c>
      <c r="P8" s="2" t="s">
        <v>82</v>
      </c>
      <c r="Q8" s="2" t="s">
        <v>73</v>
      </c>
      <c r="R8" s="29" t="e">
        <f>IF(INDEX(#REF!,MATCH('data '!$B8,#REF!,0),MATCH('data '!R$3,#REF!,0))=0,"",INDEX(#REF!,MATCH('data '!$B8,#REF!,0),MATCH('data '!R$3,#REF!,0)))</f>
        <v>#REF!</v>
      </c>
      <c r="S8" s="29" t="e">
        <f>IF(INDEX(#REF!,MATCH('data '!$B8,#REF!,0),MATCH('data '!S$3,#REF!,0))=0,"",INDEX(#REF!,MATCH('data '!$B8,#REF!,0),MATCH('data '!S$3,#REF!,0)))</f>
        <v>#REF!</v>
      </c>
      <c r="T8" s="29" t="e">
        <f>IF(INDEX(#REF!,MATCH('data '!$B8,#REF!,0),MATCH('data '!T$3,#REF!,0))=0,"",INDEX(#REF!,MATCH('data '!$B8,#REF!,0),MATCH('data '!T$3,#REF!,0)))</f>
        <v>#REF!</v>
      </c>
      <c r="V8" s="25" t="s">
        <v>82</v>
      </c>
      <c r="W8" s="25" t="s">
        <v>83</v>
      </c>
      <c r="AC8" s="8" t="e">
        <f>VLOOKUP(B8,#REF!,19,0)</f>
        <v>#REF!</v>
      </c>
      <c r="AP8" s="8" t="str">
        <f t="shared" si="1"/>
        <v>Not yet endorsed</v>
      </c>
      <c r="AQ8" s="10" t="b" cm="1">
        <f t="array" aca="1" ref="AQ8" ca="1">IF(AM8&gt;0,(TODAY()-AM8),IF(AL8&gt;0,(TODAY()-AL8),IF(AK8&gt;0,(TODAY()-AK8,IF(AI8&gt;0,(TODAY()-AI8),IF(AG8&gt;0,(TODAY()-AG8),IF(AF8&gt;0,(TODAY()-AF8),IF(X8&gt;0,(TODAY()-X8)," "))))))))</f>
        <v>0</v>
      </c>
      <c r="BD8" s="2" t="str">
        <f t="shared" si="2"/>
        <v>Not yet endorsed</v>
      </c>
      <c r="BE8" s="2" t="s">
        <v>75</v>
      </c>
      <c r="BG8" s="2" t="e">
        <v>#N/A</v>
      </c>
    </row>
    <row r="9" spans="2:60" hidden="1" x14ac:dyDescent="0.25">
      <c r="B9" s="2" t="s">
        <v>99</v>
      </c>
      <c r="C9" s="2" t="s">
        <v>100</v>
      </c>
      <c r="D9" s="44" t="s">
        <v>101</v>
      </c>
      <c r="E9" s="2" t="s">
        <v>11</v>
      </c>
      <c r="F9" s="2" t="s">
        <v>79</v>
      </c>
      <c r="G9" s="2" t="s">
        <v>1</v>
      </c>
      <c r="H9" s="2" t="s">
        <v>67</v>
      </c>
      <c r="I9" s="2" t="s">
        <v>68</v>
      </c>
      <c r="J9" s="2" t="s">
        <v>80</v>
      </c>
      <c r="K9" s="2" t="s">
        <v>81</v>
      </c>
      <c r="L9" s="2">
        <v>0</v>
      </c>
      <c r="M9" s="2">
        <v>0</v>
      </c>
      <c r="N9" s="2">
        <v>0</v>
      </c>
      <c r="O9" s="2">
        <v>0</v>
      </c>
      <c r="P9" s="2" t="s">
        <v>87</v>
      </c>
      <c r="Q9" s="2" t="s">
        <v>73</v>
      </c>
      <c r="R9" s="29" t="e">
        <f>IF(INDEX(#REF!,MATCH('data '!$B9,#REF!,0),MATCH('data '!R$3,#REF!,0))=0,"",INDEX(#REF!,MATCH('data '!$B9,#REF!,0),MATCH('data '!R$3,#REF!,0)))</f>
        <v>#REF!</v>
      </c>
      <c r="S9" s="29" t="e">
        <f>IF(INDEX(#REF!,MATCH('data '!$B9,#REF!,0),MATCH('data '!S$3,#REF!,0))=0,"",INDEX(#REF!,MATCH('data '!$B9,#REF!,0),MATCH('data '!S$3,#REF!,0)))</f>
        <v>#REF!</v>
      </c>
      <c r="T9" s="29" t="e">
        <f>IF(INDEX(#REF!,MATCH('data '!$B9,#REF!,0),MATCH('data '!T$3,#REF!,0))=0,"",INDEX(#REF!,MATCH('data '!$B9,#REF!,0),MATCH('data '!T$3,#REF!,0)))</f>
        <v>#REF!</v>
      </c>
      <c r="U9" s="8" t="s">
        <v>25</v>
      </c>
      <c r="V9" s="25" t="s">
        <v>102</v>
      </c>
      <c r="W9" s="25" t="s">
        <v>103</v>
      </c>
      <c r="X9" s="43" t="s">
        <v>25</v>
      </c>
      <c r="Y9" s="43">
        <v>45932</v>
      </c>
      <c r="AC9" s="8" t="e">
        <f>VLOOKUP(B9,#REF!,19,0)</f>
        <v>#REF!</v>
      </c>
      <c r="AP9" s="8" t="str">
        <f t="shared" si="1"/>
        <v>BP Secured</v>
      </c>
      <c r="AQ9" s="10" t="b" cm="1">
        <f t="array" aca="1" ref="AQ9" ca="1">IF(AM9&gt;0,(TODAY()-AM9),IF(AL9&gt;0,(TODAY()-AL9),IF(AK9&gt;0,(TODAY()-AK9,IF(AI9&gt;0,(TODAY()-AI9),IF(AG9&gt;0,(TODAY()-AG9),IF(AF9&gt;0,(TODAY()-AF9),IF(X9&gt;0,(TODAY()-X9)," "))))))))</f>
        <v>0</v>
      </c>
      <c r="BD9" s="2" t="str">
        <f t="shared" si="2"/>
        <v>BP Secured</v>
      </c>
      <c r="BE9" s="2" t="e">
        <v>#VALUE!</v>
      </c>
      <c r="BG9" s="2" t="e">
        <v>#N/A</v>
      </c>
    </row>
    <row r="10" spans="2:60" hidden="1" x14ac:dyDescent="0.25">
      <c r="B10" s="2" t="s">
        <v>104</v>
      </c>
      <c r="C10" s="2" t="s">
        <v>105</v>
      </c>
      <c r="D10" s="44" t="s">
        <v>106</v>
      </c>
      <c r="E10" s="2" t="s">
        <v>11</v>
      </c>
      <c r="F10" s="2" t="s">
        <v>79</v>
      </c>
      <c r="G10" s="2" t="s">
        <v>1</v>
      </c>
      <c r="H10" s="2" t="s">
        <v>67</v>
      </c>
      <c r="I10" s="2" t="s">
        <v>68</v>
      </c>
      <c r="J10" s="2" t="s">
        <v>80</v>
      </c>
      <c r="K10" s="2" t="s">
        <v>81</v>
      </c>
      <c r="L10" s="2">
        <v>0</v>
      </c>
      <c r="M10" s="2">
        <v>0</v>
      </c>
      <c r="N10" s="2">
        <v>0</v>
      </c>
      <c r="O10" s="2">
        <v>0</v>
      </c>
      <c r="P10" s="2" t="s">
        <v>72</v>
      </c>
      <c r="Q10" s="2" t="s">
        <v>73</v>
      </c>
      <c r="R10" s="29" t="e">
        <f>IF(INDEX(#REF!,MATCH('data '!$B10,#REF!,0),MATCH('data '!R$3,#REF!,0))=0,"",INDEX(#REF!,MATCH('data '!$B10,#REF!,0),MATCH('data '!R$3,#REF!,0)))</f>
        <v>#REF!</v>
      </c>
      <c r="S10" s="29" t="e">
        <f>IF(INDEX(#REF!,MATCH('data '!$B10,#REF!,0),MATCH('data '!S$3,#REF!,0))=0,"",INDEX(#REF!,MATCH('data '!$B10,#REF!,0),MATCH('data '!S$3,#REF!,0)))</f>
        <v>#REF!</v>
      </c>
      <c r="T10" s="29" t="e">
        <f>IF(INDEX(#REF!,MATCH('data '!$B10,#REF!,0),MATCH('data '!T$3,#REF!,0))=0,"",INDEX(#REF!,MATCH('data '!$B10,#REF!,0),MATCH('data '!T$3,#REF!,0)))</f>
        <v>#REF!</v>
      </c>
      <c r="V10" s="25" t="s">
        <v>74</v>
      </c>
      <c r="W10" s="25">
        <v>0</v>
      </c>
      <c r="AC10" s="8" t="e">
        <f>VLOOKUP(B10,#REF!,19,0)</f>
        <v>#REF!</v>
      </c>
      <c r="AP10" s="8" t="str">
        <f t="shared" si="1"/>
        <v>Not yet endorsed</v>
      </c>
      <c r="AQ10" s="10" t="b" cm="1">
        <f t="array" aca="1" ref="AQ10" ca="1">IF(AM10&gt;0,(TODAY()-AM10),IF(AL10&gt;0,(TODAY()-AL10),IF(AK10&gt;0,(TODAY()-AK10,IF(AI10&gt;0,(TODAY()-AI10),IF(AG10&gt;0,(TODAY()-AG10),IF(AF10&gt;0,(TODAY()-AF10),IF(X10&gt;0,(TODAY()-X10)," "))))))))</f>
        <v>0</v>
      </c>
      <c r="BD10" s="2" t="str">
        <f t="shared" si="2"/>
        <v>Not yet endorsed</v>
      </c>
      <c r="BE10" s="2" t="s">
        <v>75</v>
      </c>
      <c r="BG10" s="2" t="e">
        <v>#N/A</v>
      </c>
    </row>
    <row r="11" spans="2:60" hidden="1" x14ac:dyDescent="0.25">
      <c r="B11" s="2" t="s">
        <v>107</v>
      </c>
      <c r="C11" s="2" t="s">
        <v>108</v>
      </c>
      <c r="D11" s="44" t="s">
        <v>109</v>
      </c>
      <c r="E11" s="2" t="s">
        <v>6</v>
      </c>
      <c r="F11" s="2" t="s">
        <v>110</v>
      </c>
      <c r="G11" s="2" t="s">
        <v>1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>
        <v>0</v>
      </c>
      <c r="N11" s="2">
        <v>0</v>
      </c>
      <c r="O11" s="2">
        <v>0</v>
      </c>
      <c r="P11" s="2" t="s">
        <v>116</v>
      </c>
      <c r="Q11" s="2" t="s">
        <v>73</v>
      </c>
      <c r="R11" s="29" t="e">
        <f>IF(INDEX(#REF!,MATCH('data '!$B11,#REF!,0),MATCH('data '!R$3,#REF!,0))=0,"",INDEX(#REF!,MATCH('data '!$B11,#REF!,0),MATCH('data '!R$3,#REF!,0)))</f>
        <v>#REF!</v>
      </c>
      <c r="S11" s="29" t="e">
        <f>IF(INDEX(#REF!,MATCH('data '!$B11,#REF!,0),MATCH('data '!S$3,#REF!,0))=0,"",INDEX(#REF!,MATCH('data '!$B11,#REF!,0),MATCH('data '!S$3,#REF!,0)))</f>
        <v>#REF!</v>
      </c>
      <c r="T11" s="29" t="e">
        <f>IF(INDEX(#REF!,MATCH('data '!$B11,#REF!,0),MATCH('data '!T$3,#REF!,0))=0,"",INDEX(#REF!,MATCH('data '!$B11,#REF!,0),MATCH('data '!T$3,#REF!,0)))</f>
        <v>#REF!</v>
      </c>
      <c r="V11" s="25" t="s">
        <v>74</v>
      </c>
      <c r="W11" s="25">
        <v>0</v>
      </c>
      <c r="AC11" s="8" t="e">
        <f>VLOOKUP(B11,#REF!,19,0)</f>
        <v>#REF!</v>
      </c>
      <c r="AP11" s="8" t="str">
        <f t="shared" si="1"/>
        <v>Not yet endorsed</v>
      </c>
      <c r="AQ11" s="10" t="b" cm="1">
        <f t="array" aca="1" ref="AQ11" ca="1">IF(AM11&gt;0,(TODAY()-AM11),IF(AL11&gt;0,(TODAY()-AL11),IF(AK11&gt;0,(TODAY()-AK11,IF(AI11&gt;0,(TODAY()-AI11),IF(AG11&gt;0,(TODAY()-AG11),IF(AF11&gt;0,(TODAY()-AF11),IF(X11&gt;0,(TODAY()-X11)," "))))))))</f>
        <v>0</v>
      </c>
      <c r="BD11" s="2" t="str">
        <f t="shared" si="2"/>
        <v>Not yet endorsed</v>
      </c>
      <c r="BE11" s="2" t="s">
        <v>75</v>
      </c>
      <c r="BG11" s="2" t="e">
        <v>#N/A</v>
      </c>
    </row>
    <row r="12" spans="2:60" hidden="1" x14ac:dyDescent="0.25">
      <c r="B12" s="2" t="s">
        <v>117</v>
      </c>
      <c r="C12" s="2" t="s">
        <v>118</v>
      </c>
      <c r="D12" s="44" t="s">
        <v>119</v>
      </c>
      <c r="E12" s="2" t="s">
        <v>4</v>
      </c>
      <c r="F12" s="2">
        <v>0</v>
      </c>
      <c r="G12" s="2" t="s">
        <v>1</v>
      </c>
      <c r="H12" s="2" t="s">
        <v>120</v>
      </c>
      <c r="I12" s="2" t="s">
        <v>121</v>
      </c>
      <c r="J12" s="2" t="s">
        <v>122</v>
      </c>
      <c r="K12" s="2" t="s">
        <v>123</v>
      </c>
      <c r="L12" s="2" t="s">
        <v>124</v>
      </c>
      <c r="M12" s="2">
        <v>0</v>
      </c>
      <c r="N12" s="2">
        <v>0</v>
      </c>
      <c r="O12" s="2">
        <v>0</v>
      </c>
      <c r="P12" s="2" t="s">
        <v>125</v>
      </c>
      <c r="Q12" s="2">
        <v>0</v>
      </c>
      <c r="R12" s="29" t="e">
        <f>IF(INDEX(#REF!,MATCH('data '!$B12,#REF!,0),MATCH('data '!R$3,#REF!,0))=0,"",INDEX(#REF!,MATCH('data '!$B12,#REF!,0),MATCH('data '!R$3,#REF!,0)))</f>
        <v>#REF!</v>
      </c>
      <c r="S12" s="29" t="e">
        <f>IF(INDEX(#REF!,MATCH('data '!$B12,#REF!,0),MATCH('data '!S$3,#REF!,0))=0,"",INDEX(#REF!,MATCH('data '!$B12,#REF!,0),MATCH('data '!S$3,#REF!,0)))</f>
        <v>#REF!</v>
      </c>
      <c r="T12" s="29" t="e">
        <f>IF(INDEX(#REF!,MATCH('data '!$B12,#REF!,0),MATCH('data '!T$3,#REF!,0))=0,"",INDEX(#REF!,MATCH('data '!$B12,#REF!,0),MATCH('data '!T$3,#REF!,0)))</f>
        <v>#REF!</v>
      </c>
      <c r="V12" s="25" t="s">
        <v>74</v>
      </c>
      <c r="W12" s="25">
        <v>0</v>
      </c>
      <c r="AC12" s="8" t="e">
        <f>VLOOKUP(B12,#REF!,19,0)</f>
        <v>#REF!</v>
      </c>
      <c r="AP12" s="8" t="str">
        <f t="shared" si="1"/>
        <v>Not yet endorsed</v>
      </c>
      <c r="AQ12" s="10" t="b" cm="1">
        <f t="array" aca="1" ref="AQ12" ca="1">IF(AM12&gt;0,(TODAY()-AM12),IF(AL12&gt;0,(TODAY()-AL12),IF(AK12&gt;0,(TODAY()-AK12,IF(AI12&gt;0,(TODAY()-AI12),IF(AG12&gt;0,(TODAY()-AG12),IF(AF12&gt;0,(TODAY()-AF12),IF(X12&gt;0,(TODAY()-X12)," "))))))))</f>
        <v>0</v>
      </c>
      <c r="BD12" s="2" t="str">
        <f t="shared" si="2"/>
        <v>Not yet endorsed</v>
      </c>
      <c r="BE12" s="2" t="s">
        <v>75</v>
      </c>
      <c r="BG12" s="2" t="e">
        <v>#N/A</v>
      </c>
    </row>
    <row r="13" spans="2:60" hidden="1" x14ac:dyDescent="0.25">
      <c r="B13" s="2" t="s">
        <v>126</v>
      </c>
      <c r="C13" s="2" t="s">
        <v>127</v>
      </c>
      <c r="D13" s="44" t="s">
        <v>128</v>
      </c>
      <c r="E13" s="2" t="s">
        <v>6</v>
      </c>
      <c r="F13" s="2" t="s">
        <v>129</v>
      </c>
      <c r="G13" s="2" t="s">
        <v>1</v>
      </c>
      <c r="H13" s="2" t="s">
        <v>111</v>
      </c>
      <c r="I13" s="2" t="s">
        <v>112</v>
      </c>
      <c r="J13" s="2" t="s">
        <v>130</v>
      </c>
      <c r="K13" s="2" t="s">
        <v>131</v>
      </c>
      <c r="L13" s="2" t="s">
        <v>132</v>
      </c>
      <c r="M13" s="2">
        <v>0</v>
      </c>
      <c r="N13" s="2">
        <v>0</v>
      </c>
      <c r="O13" s="2">
        <v>0</v>
      </c>
      <c r="P13" s="2" t="s">
        <v>133</v>
      </c>
      <c r="Q13" s="2" t="s">
        <v>73</v>
      </c>
      <c r="R13" s="29" t="e">
        <f>IF(INDEX(#REF!,MATCH('data '!$B13,#REF!,0),MATCH('data '!R$3,#REF!,0))=0,"",INDEX(#REF!,MATCH('data '!$B13,#REF!,0),MATCH('data '!R$3,#REF!,0)))</f>
        <v>#REF!</v>
      </c>
      <c r="S13" s="29" t="e">
        <f>IF(INDEX(#REF!,MATCH('data '!$B13,#REF!,0),MATCH('data '!S$3,#REF!,0))=0,"",INDEX(#REF!,MATCH('data '!$B13,#REF!,0),MATCH('data '!S$3,#REF!,0)))</f>
        <v>#REF!</v>
      </c>
      <c r="T13" s="29" t="e">
        <f>IF(INDEX(#REF!,MATCH('data '!$B13,#REF!,0),MATCH('data '!T$3,#REF!,0))=0,"",INDEX(#REF!,MATCH('data '!$B13,#REF!,0),MATCH('data '!T$3,#REF!,0)))</f>
        <v>#REF!</v>
      </c>
      <c r="V13" s="25" t="s">
        <v>133</v>
      </c>
      <c r="W13" s="25" t="s">
        <v>134</v>
      </c>
      <c r="AC13" s="8" t="e">
        <f>VLOOKUP(B13,#REF!,19,0)</f>
        <v>#REF!</v>
      </c>
      <c r="AP13" s="8" t="str">
        <f t="shared" si="1"/>
        <v>Not yet endorsed</v>
      </c>
      <c r="AQ13" s="10" t="b" cm="1">
        <f t="array" aca="1" ref="AQ13" ca="1">IF(AM13&gt;0,(TODAY()-AM13),IF(AL13&gt;0,(TODAY()-AL13),IF(AK13&gt;0,(TODAY()-AK13,IF(AI13&gt;0,(TODAY()-AI13),IF(AG13&gt;0,(TODAY()-AG13),IF(AF13&gt;0,(TODAY()-AF13),IF(X13&gt;0,(TODAY()-X13)," "))))))))</f>
        <v>0</v>
      </c>
      <c r="BD13" s="2" t="str">
        <f t="shared" si="2"/>
        <v>Not yet endorsed</v>
      </c>
      <c r="BE13" s="2" t="s">
        <v>75</v>
      </c>
      <c r="BG13" s="2" t="e">
        <v>#N/A</v>
      </c>
    </row>
    <row r="14" spans="2:60" hidden="1" x14ac:dyDescent="0.25">
      <c r="B14" s="7" t="s">
        <v>135</v>
      </c>
      <c r="C14" s="2" t="s">
        <v>136</v>
      </c>
      <c r="D14" s="44" t="s">
        <v>137</v>
      </c>
      <c r="E14" s="2" t="s">
        <v>3</v>
      </c>
      <c r="F14" s="2" t="s">
        <v>138</v>
      </c>
      <c r="G14" s="2" t="s">
        <v>1</v>
      </c>
      <c r="H14" s="2" t="s">
        <v>139</v>
      </c>
      <c r="I14" s="2" t="s">
        <v>140</v>
      </c>
      <c r="J14" s="2" t="s">
        <v>141</v>
      </c>
      <c r="K14" s="2" t="s">
        <v>142</v>
      </c>
      <c r="L14" s="2">
        <v>0</v>
      </c>
      <c r="M14" s="2">
        <v>0</v>
      </c>
      <c r="N14" s="2">
        <v>17.377400000000002</v>
      </c>
      <c r="O14" s="2">
        <v>120.458</v>
      </c>
      <c r="P14" s="2" t="s">
        <v>87</v>
      </c>
      <c r="Q14" s="2" t="s">
        <v>143</v>
      </c>
      <c r="R14" s="29" t="e">
        <f>IF(INDEX(#REF!,MATCH('data '!$B14,#REF!,0),MATCH('data '!R$3,#REF!,0))=0,"",INDEX(#REF!,MATCH('data '!$B14,#REF!,0),MATCH('data '!R$3,#REF!,0)))</f>
        <v>#REF!</v>
      </c>
      <c r="S14" s="29" t="e">
        <f>IF(INDEX(#REF!,MATCH('data '!$B14,#REF!,0),MATCH('data '!S$3,#REF!,0))=0,"",INDEX(#REF!,MATCH('data '!$B14,#REF!,0),MATCH('data '!S$3,#REF!,0)))</f>
        <v>#REF!</v>
      </c>
      <c r="T14" s="29" t="e">
        <f>IF(INDEX(#REF!,MATCH('data '!$B14,#REF!,0),MATCH('data '!T$3,#REF!,0))=0,"",INDEX(#REF!,MATCH('data '!$B14,#REF!,0),MATCH('data '!T$3,#REF!,0)))</f>
        <v>#REF!</v>
      </c>
      <c r="U14" s="8" t="s">
        <v>25</v>
      </c>
      <c r="V14" s="25" t="s">
        <v>87</v>
      </c>
      <c r="W14" s="25" t="s">
        <v>144</v>
      </c>
      <c r="X14" s="9" t="s">
        <v>25</v>
      </c>
      <c r="Y14" s="9">
        <v>45903</v>
      </c>
      <c r="AC14" s="8" t="e">
        <f>VLOOKUP(B14,#REF!,19,0)</f>
        <v>#REF!</v>
      </c>
      <c r="AE14" s="8" t="s">
        <v>145</v>
      </c>
      <c r="AF14" s="8">
        <v>45938</v>
      </c>
      <c r="AG14" s="8">
        <v>45939</v>
      </c>
      <c r="AH14" s="8" t="s">
        <v>146</v>
      </c>
      <c r="AI14" s="8">
        <v>45943</v>
      </c>
      <c r="AJ14" s="8" t="s">
        <v>147</v>
      </c>
      <c r="AK14" s="8">
        <v>45947</v>
      </c>
      <c r="AL14" s="8">
        <v>45979</v>
      </c>
      <c r="AM14" s="8">
        <v>45987</v>
      </c>
      <c r="AP14" s="8" t="str">
        <f t="shared" si="1"/>
        <v>Tempo Energized</v>
      </c>
      <c r="AQ14" s="10" cm="1">
        <f t="array" aca="1" ref="AQ14" ca="1">IF(AM14&gt;0,(TODAY()-AM14),IF(AL14&gt;0,(TODAY()-AL14),IF(AK14&gt;0,(TODAY()-AK14,IF(AI14&gt;0,(TODAY()-AI14),IF(AG14&gt;0,(TODAY()-AG14),IF(AF14&gt;0,(TODAY()-AF14),IF(X14&gt;0,(TODAY()-X14)," "))))))))</f>
        <v>119</v>
      </c>
      <c r="AT14" s="8">
        <v>45994</v>
      </c>
      <c r="AU14" s="8">
        <v>46048</v>
      </c>
      <c r="AV14" s="8">
        <v>46048</v>
      </c>
      <c r="AW14" s="8" t="s">
        <v>148</v>
      </c>
      <c r="AX14" s="11"/>
      <c r="AY14" s="11"/>
      <c r="BD14" s="2" t="str">
        <f t="shared" si="2"/>
        <v>PQ Raised</v>
      </c>
      <c r="BE14" s="2" t="e">
        <v>#N/A</v>
      </c>
      <c r="BG14" s="2" t="s">
        <v>149</v>
      </c>
      <c r="BH14" s="2" t="e" vm="1">
        <v>#REF!</v>
      </c>
    </row>
    <row r="15" spans="2:60" hidden="1" x14ac:dyDescent="0.25">
      <c r="B15" s="2" t="s">
        <v>150</v>
      </c>
      <c r="C15" s="2" t="s">
        <v>151</v>
      </c>
      <c r="D15" s="44" t="s">
        <v>152</v>
      </c>
      <c r="E15" s="2" t="s">
        <v>6</v>
      </c>
      <c r="F15" s="2" t="e">
        <v>#N/A</v>
      </c>
      <c r="G15" s="2" t="s">
        <v>153</v>
      </c>
      <c r="H15" s="2" t="s">
        <v>111</v>
      </c>
      <c r="I15" s="2" t="s">
        <v>112</v>
      </c>
      <c r="J15" s="2" t="e">
        <v>#N/A</v>
      </c>
      <c r="K15" s="2" t="e">
        <v>#N/A</v>
      </c>
      <c r="L15" s="2" t="e">
        <v>#N/A</v>
      </c>
      <c r="M15" s="2" t="e">
        <v>#N/A</v>
      </c>
      <c r="N15" s="2" t="e">
        <v>#N/A</v>
      </c>
      <c r="O15" s="2" t="e">
        <v>#N/A</v>
      </c>
      <c r="P15" s="2" t="e">
        <v>#N/A</v>
      </c>
      <c r="Q15" s="2" t="e">
        <v>#N/A</v>
      </c>
      <c r="R15" s="29" t="e">
        <f>IF(INDEX(#REF!,MATCH('data '!$B15,#REF!,0),MATCH('data '!R$3,#REF!,0))=0,"",INDEX(#REF!,MATCH('data '!$B15,#REF!,0),MATCH('data '!R$3,#REF!,0)))</f>
        <v>#REF!</v>
      </c>
      <c r="S15" s="29" t="e">
        <f>IF(INDEX(#REF!,MATCH('data '!$B15,#REF!,0),MATCH('data '!S$3,#REF!,0))=0,"",INDEX(#REF!,MATCH('data '!$B15,#REF!,0),MATCH('data '!S$3,#REF!,0)))</f>
        <v>#REF!</v>
      </c>
      <c r="T15" s="29" t="e">
        <f>IF(INDEX(#REF!,MATCH('data '!$B15,#REF!,0),MATCH('data '!T$3,#REF!,0))=0,"",INDEX(#REF!,MATCH('data '!$B15,#REF!,0),MATCH('data '!T$3,#REF!,0)))</f>
        <v>#REF!</v>
      </c>
      <c r="V15" s="25">
        <v>0</v>
      </c>
      <c r="W15" s="25" t="s">
        <v>144</v>
      </c>
      <c r="X15" s="9" t="s">
        <v>25</v>
      </c>
      <c r="Y15" s="9">
        <v>45769</v>
      </c>
      <c r="AC15" s="8" t="e">
        <f>VLOOKUP(B15,#REF!,19,0)</f>
        <v>#REF!</v>
      </c>
      <c r="AE15" s="8" t="s">
        <v>154</v>
      </c>
      <c r="AP15" s="8" t="str">
        <f t="shared" si="1"/>
        <v>BP Secured</v>
      </c>
      <c r="AQ15" s="10" t="b" cm="1">
        <f t="array" aca="1" ref="AQ15" ca="1">IF(AM15&gt;0,(TODAY()-AM15),IF(AL15&gt;0,(TODAY()-AL15),IF(AK15&gt;0,(TODAY()-AK15,IF(AI15&gt;0,(TODAY()-AI15),IF(AG15&gt;0,(TODAY()-AG15),IF(AF15&gt;0,(TODAY()-AF15),IF(X15&gt;0,(TODAY()-X15)," "))))))))</f>
        <v>0</v>
      </c>
      <c r="AT15" s="8" t="s">
        <v>155</v>
      </c>
      <c r="AU15" s="8">
        <v>45867</v>
      </c>
      <c r="AV15" s="8">
        <v>45865</v>
      </c>
      <c r="AX15" s="8">
        <v>45868</v>
      </c>
      <c r="BD15" s="2" t="str">
        <f t="shared" si="2"/>
        <v>PO Issued</v>
      </c>
      <c r="BE15" s="2">
        <v>72</v>
      </c>
      <c r="BG15" s="2" t="e">
        <v>#N/A</v>
      </c>
    </row>
    <row r="16" spans="2:60" hidden="1" x14ac:dyDescent="0.25">
      <c r="B16" s="2" t="s">
        <v>156</v>
      </c>
      <c r="C16" s="2" t="s">
        <v>157</v>
      </c>
      <c r="D16" s="44" t="s">
        <v>158</v>
      </c>
      <c r="E16" s="2" t="s">
        <v>6</v>
      </c>
      <c r="F16" s="2">
        <v>0</v>
      </c>
      <c r="G16" s="2" t="s">
        <v>1</v>
      </c>
      <c r="H16" s="2" t="s">
        <v>111</v>
      </c>
      <c r="I16" s="2" t="s">
        <v>112</v>
      </c>
      <c r="J16" s="2" t="s">
        <v>130</v>
      </c>
      <c r="K16" s="2" t="s">
        <v>159</v>
      </c>
      <c r="L16" s="2">
        <v>0</v>
      </c>
      <c r="M16" s="2">
        <v>0</v>
      </c>
      <c r="N16" s="2">
        <v>10.155546599999999</v>
      </c>
      <c r="O16" s="2">
        <v>124.8522833</v>
      </c>
      <c r="P16" s="2" t="s">
        <v>87</v>
      </c>
      <c r="Q16" s="2">
        <v>0</v>
      </c>
      <c r="R16" s="29" t="e">
        <f>IF(INDEX(#REF!,MATCH('data '!$B16,#REF!,0),MATCH('data '!R$3,#REF!,0))=0,"",INDEX(#REF!,MATCH('data '!$B16,#REF!,0),MATCH('data '!R$3,#REF!,0)))</f>
        <v>#REF!</v>
      </c>
      <c r="S16" s="29" t="e">
        <f>IF(INDEX(#REF!,MATCH('data '!$B16,#REF!,0),MATCH('data '!S$3,#REF!,0))=0,"",INDEX(#REF!,MATCH('data '!$B16,#REF!,0),MATCH('data '!S$3,#REF!,0)))</f>
        <v>#REF!</v>
      </c>
      <c r="T16" s="29" t="e">
        <f>IF(INDEX(#REF!,MATCH('data '!$B16,#REF!,0),MATCH('data '!T$3,#REF!,0))=0,"",INDEX(#REF!,MATCH('data '!$B16,#REF!,0),MATCH('data '!T$3,#REF!,0)))</f>
        <v>#REF!</v>
      </c>
      <c r="V16" s="25" t="s">
        <v>160</v>
      </c>
      <c r="W16" s="25" t="s">
        <v>144</v>
      </c>
      <c r="X16" s="43" t="s">
        <v>25</v>
      </c>
      <c r="Y16" s="43">
        <v>45930</v>
      </c>
      <c r="AC16" s="8" t="e">
        <f>VLOOKUP(B16,#REF!,19,0)</f>
        <v>#REF!</v>
      </c>
      <c r="AP16" s="8" t="str">
        <f t="shared" si="1"/>
        <v>BP Secured</v>
      </c>
      <c r="AQ16" s="10" t="b" cm="1">
        <f t="array" aca="1" ref="AQ16" ca="1">IF(AM16&gt;0,(TODAY()-AM16),IF(AL16&gt;0,(TODAY()-AL16),IF(AK16&gt;0,(TODAY()-AK16,IF(AI16&gt;0,(TODAY()-AI16),IF(AG16&gt;0,(TODAY()-AG16),IF(AF16&gt;0,(TODAY()-AF16),IF(X16&gt;0,(TODAY()-X16)," "))))))))</f>
        <v>0</v>
      </c>
      <c r="BD16" s="2" t="str">
        <f t="shared" si="2"/>
        <v>BP Secured</v>
      </c>
      <c r="BE16" s="2" t="e">
        <v>#VALUE!</v>
      </c>
      <c r="BG16" s="2" t="e">
        <v>#N/A</v>
      </c>
    </row>
    <row r="17" spans="2:60" hidden="1" x14ac:dyDescent="0.25">
      <c r="B17" s="2" t="s">
        <v>161</v>
      </c>
      <c r="C17" s="2" t="s">
        <v>162</v>
      </c>
      <c r="D17" s="44" t="s">
        <v>163</v>
      </c>
      <c r="E17" s="2" t="s">
        <v>11</v>
      </c>
      <c r="F17" s="2" t="s">
        <v>164</v>
      </c>
      <c r="G17" s="2" t="s">
        <v>1</v>
      </c>
      <c r="H17" s="2" t="s">
        <v>165</v>
      </c>
      <c r="I17" s="2" t="s">
        <v>68</v>
      </c>
      <c r="J17" s="2" t="s">
        <v>69</v>
      </c>
      <c r="K17" s="2" t="s">
        <v>166</v>
      </c>
      <c r="L17" s="2" t="s">
        <v>167</v>
      </c>
      <c r="M17" s="2">
        <v>0</v>
      </c>
      <c r="N17" s="2">
        <v>0</v>
      </c>
      <c r="O17" s="2">
        <v>0</v>
      </c>
      <c r="P17" s="2" t="s">
        <v>168</v>
      </c>
      <c r="Q17" s="2" t="s">
        <v>73</v>
      </c>
      <c r="R17" s="29" t="e">
        <f>IF(INDEX(#REF!,MATCH('data '!$B17,#REF!,0),MATCH('data '!R$3,#REF!,0))=0,"",INDEX(#REF!,MATCH('data '!$B17,#REF!,0),MATCH('data '!R$3,#REF!,0)))</f>
        <v>#REF!</v>
      </c>
      <c r="S17" s="29" t="e">
        <f>IF(INDEX(#REF!,MATCH('data '!$B17,#REF!,0),MATCH('data '!S$3,#REF!,0))=0,"",INDEX(#REF!,MATCH('data '!$B17,#REF!,0),MATCH('data '!S$3,#REF!,0)))</f>
        <v>#REF!</v>
      </c>
      <c r="T17" s="29" t="e">
        <f>IF(INDEX(#REF!,MATCH('data '!$B17,#REF!,0),MATCH('data '!T$3,#REF!,0))=0,"",INDEX(#REF!,MATCH('data '!$B17,#REF!,0),MATCH('data '!T$3,#REF!,0)))</f>
        <v>#REF!</v>
      </c>
      <c r="V17" s="25" t="s">
        <v>88</v>
      </c>
      <c r="W17" s="25" t="s">
        <v>89</v>
      </c>
      <c r="AC17" s="8" t="e">
        <f>VLOOKUP(B17,#REF!,19,0)</f>
        <v>#REF!</v>
      </c>
      <c r="AP17" s="8" t="str">
        <f t="shared" si="1"/>
        <v>Not yet endorsed</v>
      </c>
      <c r="AQ17" s="10" t="b" cm="1">
        <f t="array" aca="1" ref="AQ17" ca="1">IF(AM17&gt;0,(TODAY()-AM17),IF(AL17&gt;0,(TODAY()-AL17),IF(AK17&gt;0,(TODAY()-AK17,IF(AI17&gt;0,(TODAY()-AI17),IF(AG17&gt;0,(TODAY()-AG17),IF(AF17&gt;0,(TODAY()-AF17),IF(X17&gt;0,(TODAY()-X17)," "))))))))</f>
        <v>0</v>
      </c>
      <c r="BD17" s="2" t="str">
        <f t="shared" si="2"/>
        <v>Not yet endorsed</v>
      </c>
      <c r="BE17" s="2" t="s">
        <v>75</v>
      </c>
      <c r="BG17" s="2" t="e">
        <v>#N/A</v>
      </c>
    </row>
    <row r="18" spans="2:60" hidden="1" x14ac:dyDescent="0.25">
      <c r="B18" s="2" t="s">
        <v>169</v>
      </c>
      <c r="C18" s="2" t="s">
        <v>170</v>
      </c>
      <c r="D18" s="44" t="s">
        <v>171</v>
      </c>
      <c r="E18" s="2" t="s">
        <v>11</v>
      </c>
      <c r="F18" s="2" t="s">
        <v>172</v>
      </c>
      <c r="G18" s="2" t="s">
        <v>1</v>
      </c>
      <c r="H18" s="2" t="s">
        <v>165</v>
      </c>
      <c r="I18" s="2" t="s">
        <v>68</v>
      </c>
      <c r="J18" s="2" t="s">
        <v>173</v>
      </c>
      <c r="K18" s="2" t="s">
        <v>174</v>
      </c>
      <c r="L18" s="2" t="s">
        <v>175</v>
      </c>
      <c r="M18" s="2">
        <v>0</v>
      </c>
      <c r="N18" s="2">
        <v>0</v>
      </c>
      <c r="O18" s="2">
        <v>0</v>
      </c>
      <c r="P18" s="2" t="s">
        <v>82</v>
      </c>
      <c r="Q18" s="2" t="s">
        <v>73</v>
      </c>
      <c r="R18" s="29" t="e">
        <f>IF(INDEX(#REF!,MATCH('data '!$B18,#REF!,0),MATCH('data '!R$3,#REF!,0))=0,"",INDEX(#REF!,MATCH('data '!$B18,#REF!,0),MATCH('data '!R$3,#REF!,0)))</f>
        <v>#REF!</v>
      </c>
      <c r="S18" s="29" t="e">
        <f>IF(INDEX(#REF!,MATCH('data '!$B18,#REF!,0),MATCH('data '!S$3,#REF!,0))=0,"",INDEX(#REF!,MATCH('data '!$B18,#REF!,0),MATCH('data '!S$3,#REF!,0)))</f>
        <v>#REF!</v>
      </c>
      <c r="T18" s="29" t="e">
        <f>IF(INDEX(#REF!,MATCH('data '!$B18,#REF!,0),MATCH('data '!T$3,#REF!,0))=0,"",INDEX(#REF!,MATCH('data '!$B18,#REF!,0),MATCH('data '!T$3,#REF!,0)))</f>
        <v>#REF!</v>
      </c>
      <c r="U18" s="8" t="s">
        <v>25</v>
      </c>
      <c r="V18" s="25" t="s">
        <v>168</v>
      </c>
      <c r="W18" s="25" t="s">
        <v>176</v>
      </c>
      <c r="AC18" s="8" t="e">
        <f>VLOOKUP(B18,#REF!,19,0)</f>
        <v>#REF!</v>
      </c>
      <c r="AP18" s="8" t="str">
        <f t="shared" si="1"/>
        <v>Not yet endorsed</v>
      </c>
      <c r="AQ18" s="10" t="b" cm="1">
        <f t="array" aca="1" ref="AQ18" ca="1">IF(AM18&gt;0,(TODAY()-AM18),IF(AL18&gt;0,(TODAY()-AL18),IF(AK18&gt;0,(TODAY()-AK18,IF(AI18&gt;0,(TODAY()-AI18),IF(AG18&gt;0,(TODAY()-AG18),IF(AF18&gt;0,(TODAY()-AF18),IF(X18&gt;0,(TODAY()-X18)," "))))))))</f>
        <v>0</v>
      </c>
      <c r="BD18" s="2" t="str">
        <f t="shared" si="2"/>
        <v>TSSR Approved</v>
      </c>
      <c r="BE18" s="2" t="e">
        <v>#VALUE!</v>
      </c>
      <c r="BG18" s="2" t="e">
        <v>#N/A</v>
      </c>
    </row>
    <row r="19" spans="2:60" hidden="1" x14ac:dyDescent="0.25">
      <c r="B19" s="2" t="s">
        <v>177</v>
      </c>
      <c r="C19" s="2" t="s">
        <v>178</v>
      </c>
      <c r="D19" s="44" t="s">
        <v>179</v>
      </c>
      <c r="E19" s="2" t="s">
        <v>11</v>
      </c>
      <c r="F19" s="2" t="s">
        <v>180</v>
      </c>
      <c r="G19" s="2" t="s">
        <v>1</v>
      </c>
      <c r="H19" s="2" t="s">
        <v>165</v>
      </c>
      <c r="I19" s="2" t="s">
        <v>68</v>
      </c>
      <c r="J19" s="2" t="s">
        <v>181</v>
      </c>
      <c r="K19" s="2" t="s">
        <v>182</v>
      </c>
      <c r="L19" s="2" t="s">
        <v>183</v>
      </c>
      <c r="M19" s="2">
        <v>0</v>
      </c>
      <c r="N19" s="2">
        <v>6.9928730000000003</v>
      </c>
      <c r="O19" s="2">
        <v>121.946262</v>
      </c>
      <c r="P19" s="2" t="s">
        <v>87</v>
      </c>
      <c r="Q19" s="2" t="s">
        <v>184</v>
      </c>
      <c r="R19" s="29" t="e">
        <f>IF(INDEX(#REF!,MATCH('data '!$B19,#REF!,0),MATCH('data '!R$3,#REF!,0))=0,"",INDEX(#REF!,MATCH('data '!$B19,#REF!,0),MATCH('data '!R$3,#REF!,0)))</f>
        <v>#REF!</v>
      </c>
      <c r="S19" s="29" t="e">
        <f>IF(INDEX(#REF!,MATCH('data '!$B19,#REF!,0),MATCH('data '!S$3,#REF!,0))=0,"",INDEX(#REF!,MATCH('data '!$B19,#REF!,0),MATCH('data '!S$3,#REF!,0)))</f>
        <v>#REF!</v>
      </c>
      <c r="T19" s="29" t="e">
        <f>IF(INDEX(#REF!,MATCH('data '!$B19,#REF!,0),MATCH('data '!T$3,#REF!,0))=0,"",INDEX(#REF!,MATCH('data '!$B19,#REF!,0),MATCH('data '!T$3,#REF!,0)))</f>
        <v>#REF!</v>
      </c>
      <c r="U19" s="8" t="s">
        <v>25</v>
      </c>
      <c r="V19" s="25" t="s">
        <v>185</v>
      </c>
      <c r="W19" s="25" t="s">
        <v>144</v>
      </c>
      <c r="X19" s="43" t="s">
        <v>25</v>
      </c>
      <c r="Y19" s="43">
        <v>45856</v>
      </c>
      <c r="AA19" s="8">
        <v>45909</v>
      </c>
      <c r="AC19" s="8" t="e">
        <f>VLOOKUP(B19,#REF!,19,0)</f>
        <v>#REF!</v>
      </c>
      <c r="AP19" s="8" t="str">
        <f t="shared" si="1"/>
        <v>BP Secured</v>
      </c>
      <c r="AQ19" s="10" t="b" cm="1">
        <f t="array" aca="1" ref="AQ19" ca="1">IF(AM19&gt;0,(TODAY()-AM19),IF(AL19&gt;0,(TODAY()-AL19),IF(AK19&gt;0,(TODAY()-AK19,IF(AI19&gt;0,(TODAY()-AI19),IF(AG19&gt;0,(TODAY()-AG19),IF(AF19&gt;0,(TODAY()-AF19),IF(X19&gt;0,(TODAY()-X19)," "))))))))</f>
        <v>0</v>
      </c>
      <c r="BD19" s="2" t="str">
        <f t="shared" si="2"/>
        <v>BP Secured</v>
      </c>
      <c r="BE19" s="2" t="e">
        <v>#VALUE!</v>
      </c>
      <c r="BG19" s="2" t="e">
        <v>#N/A</v>
      </c>
    </row>
    <row r="20" spans="2:60" hidden="1" x14ac:dyDescent="0.25">
      <c r="B20" s="2" t="s">
        <v>186</v>
      </c>
      <c r="C20" s="2" t="s">
        <v>187</v>
      </c>
      <c r="D20" s="44" t="s">
        <v>188</v>
      </c>
      <c r="E20" s="2" t="s">
        <v>6</v>
      </c>
      <c r="F20" s="2">
        <v>0</v>
      </c>
      <c r="G20" s="2" t="s">
        <v>1</v>
      </c>
      <c r="H20" s="2" t="s">
        <v>111</v>
      </c>
      <c r="I20" s="2" t="s">
        <v>112</v>
      </c>
      <c r="J20" s="2" t="s">
        <v>130</v>
      </c>
      <c r="K20" s="2" t="s">
        <v>189</v>
      </c>
      <c r="L20" s="2">
        <v>0</v>
      </c>
      <c r="M20" s="2">
        <v>0</v>
      </c>
      <c r="N20" s="2">
        <v>0</v>
      </c>
      <c r="O20" s="2">
        <v>0</v>
      </c>
      <c r="P20" s="2" t="s">
        <v>88</v>
      </c>
      <c r="Q20" s="2">
        <v>0</v>
      </c>
      <c r="R20" s="29" t="e">
        <f>IF(INDEX(#REF!,MATCH('data '!$B20,#REF!,0),MATCH('data '!R$3,#REF!,0))=0,"",INDEX(#REF!,MATCH('data '!$B20,#REF!,0),MATCH('data '!R$3,#REF!,0)))</f>
        <v>#REF!</v>
      </c>
      <c r="S20" s="29" t="e">
        <f>IF(INDEX(#REF!,MATCH('data '!$B20,#REF!,0),MATCH('data '!S$3,#REF!,0))=0,"",INDEX(#REF!,MATCH('data '!$B20,#REF!,0),MATCH('data '!S$3,#REF!,0)))</f>
        <v>#REF!</v>
      </c>
      <c r="T20" s="29" t="e">
        <f>IF(INDEX(#REF!,MATCH('data '!$B20,#REF!,0),MATCH('data '!T$3,#REF!,0))=0,"",INDEX(#REF!,MATCH('data '!$B20,#REF!,0),MATCH('data '!T$3,#REF!,0)))</f>
        <v>#REF!</v>
      </c>
      <c r="V20" s="25" t="s">
        <v>88</v>
      </c>
      <c r="W20" s="25" t="s">
        <v>89</v>
      </c>
      <c r="AC20" s="8" t="e">
        <f>VLOOKUP(B20,#REF!,19,0)</f>
        <v>#REF!</v>
      </c>
      <c r="AE20" s="8" t="s">
        <v>190</v>
      </c>
      <c r="AF20" s="8">
        <v>45957</v>
      </c>
      <c r="AG20" s="8">
        <v>45957</v>
      </c>
      <c r="AH20" s="8" t="s">
        <v>191</v>
      </c>
      <c r="AI20" s="8">
        <v>45964</v>
      </c>
      <c r="AJ20" s="8" t="s">
        <v>192</v>
      </c>
      <c r="AP20" s="8" t="str">
        <f t="shared" si="1"/>
        <v>PO Issued</v>
      </c>
      <c r="AQ20" s="10" t="b" cm="1">
        <f t="array" aca="1" ref="AQ20" ca="1">IF(AM20&gt;0,(TODAY()-AM20),IF(AL20&gt;0,(TODAY()-AL20),IF(AK20&gt;0,(TODAY()-AK20,IF(AI20&gt;0,(TODAY()-AI20),IF(AG20&gt;0,(TODAY()-AG20),IF(AF20&gt;0,(TODAY()-AF20),IF(X20&gt;0,(TODAY()-X20)," "))))))))</f>
        <v>0</v>
      </c>
      <c r="BD20" s="2" t="str">
        <f t="shared" si="2"/>
        <v>Vendor Allocated</v>
      </c>
      <c r="BE20" s="2" t="s">
        <v>75</v>
      </c>
      <c r="BG20" s="2" t="e">
        <v>#N/A</v>
      </c>
    </row>
    <row r="21" spans="2:60" hidden="1" x14ac:dyDescent="0.25">
      <c r="B21" s="2" t="s">
        <v>193</v>
      </c>
      <c r="C21" s="2" t="s">
        <v>194</v>
      </c>
      <c r="D21" s="44" t="s">
        <v>195</v>
      </c>
      <c r="E21" s="2" t="s">
        <v>11</v>
      </c>
      <c r="F21" s="2">
        <v>0</v>
      </c>
      <c r="G21" s="2" t="s">
        <v>1</v>
      </c>
      <c r="H21" s="2" t="s">
        <v>67</v>
      </c>
      <c r="I21" s="2" t="s">
        <v>68</v>
      </c>
      <c r="J21" s="2" t="s">
        <v>80</v>
      </c>
      <c r="K21" s="2" t="s">
        <v>196</v>
      </c>
      <c r="L21" s="2" t="s">
        <v>197</v>
      </c>
      <c r="M21" s="2">
        <v>0</v>
      </c>
      <c r="N21" s="2">
        <v>6.4145799999999999</v>
      </c>
      <c r="O21" s="2">
        <v>125.60118</v>
      </c>
      <c r="P21" s="2" t="s">
        <v>87</v>
      </c>
      <c r="Q21" s="2" t="s">
        <v>198</v>
      </c>
      <c r="R21" s="29" t="e">
        <f>IF(INDEX(#REF!,MATCH('data '!$B21,#REF!,0),MATCH('data '!R$3,#REF!,0))=0,"",INDEX(#REF!,MATCH('data '!$B21,#REF!,0),MATCH('data '!R$3,#REF!,0)))</f>
        <v>#REF!</v>
      </c>
      <c r="S21" s="29" t="e">
        <f>IF(INDEX(#REF!,MATCH('data '!$B21,#REF!,0),MATCH('data '!S$3,#REF!,0))=0,"",INDEX(#REF!,MATCH('data '!$B21,#REF!,0),MATCH('data '!S$3,#REF!,0)))</f>
        <v>#REF!</v>
      </c>
      <c r="T21" s="29" t="e">
        <f>IF(INDEX(#REF!,MATCH('data '!$B21,#REF!,0),MATCH('data '!T$3,#REF!,0))=0,"",INDEX(#REF!,MATCH('data '!$B21,#REF!,0),MATCH('data '!T$3,#REF!,0)))</f>
        <v>#REF!</v>
      </c>
      <c r="V21" s="25" t="s">
        <v>185</v>
      </c>
      <c r="W21" s="25" t="s">
        <v>144</v>
      </c>
      <c r="X21" s="43" t="s">
        <v>25</v>
      </c>
      <c r="Y21" s="43">
        <v>45869</v>
      </c>
      <c r="Z21" s="8">
        <v>45877</v>
      </c>
      <c r="AC21" s="8" t="e">
        <f>VLOOKUP(B21,#REF!,19,0)</f>
        <v>#REF!</v>
      </c>
      <c r="AP21" s="8" t="str">
        <f t="shared" si="1"/>
        <v>BP Secured</v>
      </c>
      <c r="AQ21" s="10" t="b" cm="1">
        <f t="array" aca="1" ref="AQ21" ca="1">IF(AM21&gt;0,(TODAY()-AM21),IF(AL21&gt;0,(TODAY()-AL21),IF(AK21&gt;0,(TODAY()-AK21,IF(AI21&gt;0,(TODAY()-AI21),IF(AG21&gt;0,(TODAY()-AG21),IF(AF21&gt;0,(TODAY()-AF21),IF(X21&gt;0,(TODAY()-X21)," "))))))))</f>
        <v>0</v>
      </c>
      <c r="BD21" s="2" t="str">
        <f t="shared" si="2"/>
        <v>BP Secured</v>
      </c>
      <c r="BE21" s="2" t="e">
        <v>#VALUE!</v>
      </c>
      <c r="BG21" s="2" t="e">
        <v>#N/A</v>
      </c>
    </row>
    <row r="22" spans="2:60" hidden="1" x14ac:dyDescent="0.25">
      <c r="B22" s="2" t="s">
        <v>199</v>
      </c>
      <c r="C22" s="2" t="s">
        <v>200</v>
      </c>
      <c r="D22" s="44" t="s">
        <v>201</v>
      </c>
      <c r="E22" s="2" t="s">
        <v>6</v>
      </c>
      <c r="F22" s="2">
        <v>0</v>
      </c>
      <c r="G22" s="2" t="s">
        <v>1</v>
      </c>
      <c r="H22" s="2" t="s">
        <v>111</v>
      </c>
      <c r="I22" s="2" t="s">
        <v>112</v>
      </c>
      <c r="J22" s="2" t="s">
        <v>113</v>
      </c>
      <c r="K22" s="2" t="s">
        <v>202</v>
      </c>
      <c r="L22" s="2" t="s">
        <v>203</v>
      </c>
      <c r="M22" s="2">
        <v>0</v>
      </c>
      <c r="N22" s="2">
        <v>0</v>
      </c>
      <c r="O22" s="2">
        <v>0</v>
      </c>
      <c r="P22" s="2" t="s">
        <v>204</v>
      </c>
      <c r="Q22" s="2">
        <v>0</v>
      </c>
      <c r="R22" s="29" t="e">
        <f>IF(INDEX(#REF!,MATCH('data '!$B22,#REF!,0),MATCH('data '!R$3,#REF!,0))=0,"",INDEX(#REF!,MATCH('data '!$B22,#REF!,0),MATCH('data '!R$3,#REF!,0)))</f>
        <v>#REF!</v>
      </c>
      <c r="S22" s="29" t="e">
        <f>IF(INDEX(#REF!,MATCH('data '!$B22,#REF!,0),MATCH('data '!S$3,#REF!,0))=0,"",INDEX(#REF!,MATCH('data '!$B22,#REF!,0),MATCH('data '!S$3,#REF!,0)))</f>
        <v>#REF!</v>
      </c>
      <c r="T22" s="29" t="e">
        <f>IF(INDEX(#REF!,MATCH('data '!$B22,#REF!,0),MATCH('data '!T$3,#REF!,0))=0,"",INDEX(#REF!,MATCH('data '!$B22,#REF!,0),MATCH('data '!T$3,#REF!,0)))</f>
        <v>#REF!</v>
      </c>
      <c r="V22" s="25" t="s">
        <v>168</v>
      </c>
      <c r="W22" s="25" t="s">
        <v>176</v>
      </c>
      <c r="AC22" s="8" t="e">
        <f>VLOOKUP(B22,#REF!,19,0)</f>
        <v>#REF!</v>
      </c>
      <c r="AP22" s="8" t="str">
        <f t="shared" si="1"/>
        <v>Not yet endorsed</v>
      </c>
      <c r="AQ22" s="10" t="b" cm="1">
        <f t="array" aca="1" ref="AQ22" ca="1">IF(AM22&gt;0,(TODAY()-AM22),IF(AL22&gt;0,(TODAY()-AL22),IF(AK22&gt;0,(TODAY()-AK22,IF(AI22&gt;0,(TODAY()-AI22),IF(AG22&gt;0,(TODAY()-AG22),IF(AF22&gt;0,(TODAY()-AF22),IF(X22&gt;0,(TODAY()-X22)," "))))))))</f>
        <v>0</v>
      </c>
      <c r="BD22" s="2" t="str">
        <f t="shared" si="2"/>
        <v>Not yet endorsed</v>
      </c>
      <c r="BE22" s="2" t="s">
        <v>75</v>
      </c>
      <c r="BG22" s="2" t="e">
        <v>#N/A</v>
      </c>
    </row>
    <row r="23" spans="2:60" hidden="1" x14ac:dyDescent="0.25">
      <c r="B23" s="2" t="s">
        <v>205</v>
      </c>
      <c r="C23" s="2" t="s">
        <v>206</v>
      </c>
      <c r="D23" s="44" t="s">
        <v>207</v>
      </c>
      <c r="E23" s="2" t="s">
        <v>5</v>
      </c>
      <c r="F23" s="2" t="s">
        <v>208</v>
      </c>
      <c r="G23" s="2" t="s">
        <v>1</v>
      </c>
      <c r="H23" s="2" t="s">
        <v>139</v>
      </c>
      <c r="I23" s="2" t="s">
        <v>140</v>
      </c>
      <c r="J23" s="2" t="s">
        <v>209</v>
      </c>
      <c r="K23" s="2" t="s">
        <v>210</v>
      </c>
      <c r="L23" s="2" t="s">
        <v>211</v>
      </c>
      <c r="M23" s="2">
        <v>0</v>
      </c>
      <c r="N23" s="2">
        <v>17.473700000000001</v>
      </c>
      <c r="O23" s="2">
        <v>121.43210000000001</v>
      </c>
      <c r="P23" s="2" t="s">
        <v>125</v>
      </c>
      <c r="Q23" s="2" t="s">
        <v>73</v>
      </c>
      <c r="R23" s="29" t="e">
        <f>IF(INDEX(#REF!,MATCH('data '!$B23,#REF!,0),MATCH('data '!R$3,#REF!,0))=0,"",INDEX(#REF!,MATCH('data '!$B23,#REF!,0),MATCH('data '!R$3,#REF!,0)))</f>
        <v>#REF!</v>
      </c>
      <c r="S23" s="29" t="e">
        <f>IF(INDEX(#REF!,MATCH('data '!$B23,#REF!,0),MATCH('data '!S$3,#REF!,0))=0,"",INDEX(#REF!,MATCH('data '!$B23,#REF!,0),MATCH('data '!S$3,#REF!,0)))</f>
        <v>#REF!</v>
      </c>
      <c r="T23" s="29" t="e">
        <f>IF(INDEX(#REF!,MATCH('data '!$B23,#REF!,0),MATCH('data '!T$3,#REF!,0))=0,"",INDEX(#REF!,MATCH('data '!$B23,#REF!,0),MATCH('data '!T$3,#REF!,0)))</f>
        <v>#REF!</v>
      </c>
      <c r="V23" s="25" t="s">
        <v>74</v>
      </c>
      <c r="W23" s="25">
        <v>0</v>
      </c>
      <c r="AC23" s="8" t="e">
        <f>VLOOKUP(B23,#REF!,19,0)</f>
        <v>#REF!</v>
      </c>
      <c r="AE23" s="8" t="s">
        <v>212</v>
      </c>
      <c r="AP23" s="8" t="str">
        <f>IF(AM23&gt;0,"Tempo Energized",IF(AL23&gt;0,"Tempo Permit Released",IF(AK23&gt;0,"COOP Surveyed",IF(AI23&gt;0,"PO Issued",IF(AG23&gt;0,"PQ Raised",IF(AE23&gt;0,"Vendor Allocated",IF(X23&gt;0,"BP Secured","Not yet endorsed")))))))</f>
        <v>Vendor Allocated</v>
      </c>
      <c r="AQ23" s="10" t="b" cm="1">
        <f t="array" aca="1" ref="AQ23" ca="1">IF(AM23&gt;0,(TODAY()-AM23),IF(AL23&gt;0,(TODAY()-AL23),IF(AK23&gt;0,(TODAY()-AK23,IF(AI23&gt;0,(TODAY()-AI23),IF(AG23&gt;0,(TODAY()-AG23),IF(AE23&gt;0,(TODAY()-AE23),IF(X23&gt;0,(TODAY()-X23)," "))))))))</f>
        <v>0</v>
      </c>
      <c r="BD23" s="2" t="str">
        <f>IF(BC23&gt;0,"Permanent Energized",IF(BB23&gt;0,"Bill deposit Paid",IF(BA23&gt;0,"Line Construction Completed",IF(AZ23&gt;0,"Line Construction Started",IF(AX23&gt;0,"PO Issued",IF(AV23&gt;0,"PQ Raised",IF(AU23&gt;0,"BoQ Approved",IF(AT23&gt;0,"BoQ Submitted",IF(AE23&gt;0,"Vendor Allocated",IF(X23&gt;0,"BP Secured",IF(U23&gt;0,"TSSR Approved","Not yet endorsed")))))))))))</f>
        <v>Vendor Allocated</v>
      </c>
      <c r="BE23" s="2" t="s">
        <v>75</v>
      </c>
      <c r="BG23" s="2" t="e">
        <v>#N/A</v>
      </c>
      <c r="BH23" s="2" t="e" vm="1">
        <v>#REF!</v>
      </c>
    </row>
    <row r="24" spans="2:60" hidden="1" x14ac:dyDescent="0.25">
      <c r="B24" s="2" t="s">
        <v>213</v>
      </c>
      <c r="C24" s="2" t="s">
        <v>214</v>
      </c>
      <c r="D24" s="44" t="s">
        <v>215</v>
      </c>
      <c r="E24" s="2" t="s">
        <v>11</v>
      </c>
      <c r="F24" s="2" t="s">
        <v>216</v>
      </c>
      <c r="G24" s="2" t="s">
        <v>1</v>
      </c>
      <c r="H24" s="2" t="s">
        <v>165</v>
      </c>
      <c r="I24" s="2" t="s">
        <v>68</v>
      </c>
      <c r="J24" s="2" t="s">
        <v>69</v>
      </c>
      <c r="K24" s="2" t="s">
        <v>217</v>
      </c>
      <c r="L24" s="2" t="s">
        <v>218</v>
      </c>
      <c r="M24" s="2">
        <v>0</v>
      </c>
      <c r="N24" s="2">
        <v>6.5645383329999998</v>
      </c>
      <c r="O24" s="2">
        <v>122.1741117</v>
      </c>
      <c r="P24" s="2" t="s">
        <v>87</v>
      </c>
      <c r="Q24" s="2" t="s">
        <v>219</v>
      </c>
      <c r="R24" s="29" t="e">
        <f>IF(INDEX(#REF!,MATCH('data '!$B24,#REF!,0),MATCH('data '!R$3,#REF!,0))=0,"",INDEX(#REF!,MATCH('data '!$B24,#REF!,0),MATCH('data '!R$3,#REF!,0)))</f>
        <v>#REF!</v>
      </c>
      <c r="S24" s="29" t="e">
        <f>IF(INDEX(#REF!,MATCH('data '!$B24,#REF!,0),MATCH('data '!S$3,#REF!,0))=0,"",INDEX(#REF!,MATCH('data '!$B24,#REF!,0),MATCH('data '!S$3,#REF!,0)))</f>
        <v>#REF!</v>
      </c>
      <c r="T24" s="29" t="e">
        <f>IF(INDEX(#REF!,MATCH('data '!$B24,#REF!,0),MATCH('data '!T$3,#REF!,0))=0,"",INDEX(#REF!,MATCH('data '!$B24,#REF!,0),MATCH('data '!T$3,#REF!,0)))</f>
        <v>#REF!</v>
      </c>
      <c r="V24" s="25" t="s">
        <v>87</v>
      </c>
      <c r="W24" s="25" t="s">
        <v>144</v>
      </c>
      <c r="X24" s="43" t="s">
        <v>25</v>
      </c>
      <c r="Y24" s="43">
        <v>45873</v>
      </c>
      <c r="AC24" s="8" t="e">
        <f>VLOOKUP(B24,#REF!,19,0)</f>
        <v>#REF!</v>
      </c>
      <c r="AP24" s="8" t="str">
        <f t="shared" si="1"/>
        <v>BP Secured</v>
      </c>
      <c r="AQ24" s="10" t="b" cm="1">
        <f t="array" aca="1" ref="AQ24" ca="1">IF(AM24&gt;0,(TODAY()-AM24),IF(AL24&gt;0,(TODAY()-AL24),IF(AK24&gt;0,(TODAY()-AK24,IF(AI24&gt;0,(TODAY()-AI24),IF(AG24&gt;0,(TODAY()-AG24),IF(AF24&gt;0,(TODAY()-AF24),IF(X24&gt;0,(TODAY()-X24)," "))))))))</f>
        <v>0</v>
      </c>
      <c r="BD24" s="2" t="str">
        <f t="shared" si="2"/>
        <v>BP Secured</v>
      </c>
      <c r="BE24" s="2" t="e">
        <v>#VALUE!</v>
      </c>
      <c r="BG24" s="2" t="e">
        <v>#N/A</v>
      </c>
    </row>
    <row r="25" spans="2:60" x14ac:dyDescent="0.25">
      <c r="B25" s="7" t="s">
        <v>220</v>
      </c>
      <c r="C25" s="2" t="s">
        <v>221</v>
      </c>
      <c r="D25" s="44" t="s">
        <v>222</v>
      </c>
      <c r="E25" s="2" t="s">
        <v>3</v>
      </c>
      <c r="F25" s="2" t="s">
        <v>223</v>
      </c>
      <c r="G25" s="2" t="s">
        <v>1</v>
      </c>
      <c r="H25" s="2" t="s">
        <v>139</v>
      </c>
      <c r="I25" s="2" t="s">
        <v>140</v>
      </c>
      <c r="J25" s="2" t="s">
        <v>224</v>
      </c>
      <c r="K25" s="2" t="s">
        <v>225</v>
      </c>
      <c r="L25" s="2" t="s">
        <v>226</v>
      </c>
      <c r="M25" s="2">
        <v>0</v>
      </c>
      <c r="N25" s="2">
        <v>18.101749999999999</v>
      </c>
      <c r="O25" s="2">
        <v>121.663059</v>
      </c>
      <c r="P25" s="2" t="s">
        <v>87</v>
      </c>
      <c r="Q25" s="2" t="s">
        <v>227</v>
      </c>
      <c r="R25" s="29" t="e">
        <f>IF(INDEX(#REF!,MATCH('data '!$B25,#REF!,0),MATCH('data '!R$3,#REF!,0))=0,"",INDEX(#REF!,MATCH('data '!$B25,#REF!,0),MATCH('data '!R$3,#REF!,0)))</f>
        <v>#REF!</v>
      </c>
      <c r="S25" s="29" t="e">
        <f>IF(INDEX(#REF!,MATCH('data '!$B25,#REF!,0),MATCH('data '!S$3,#REF!,0))=0,"",INDEX(#REF!,MATCH('data '!$B25,#REF!,0),MATCH('data '!S$3,#REF!,0)))</f>
        <v>#REF!</v>
      </c>
      <c r="T25" s="29" t="e">
        <f>IF(INDEX(#REF!,MATCH('data '!$B25,#REF!,0),MATCH('data '!T$3,#REF!,0))=0,"",INDEX(#REF!,MATCH('data '!$B25,#REF!,0),MATCH('data '!T$3,#REF!,0)))</f>
        <v>#REF!</v>
      </c>
      <c r="U25" s="8" t="s">
        <v>25</v>
      </c>
      <c r="V25" s="25" t="s">
        <v>160</v>
      </c>
      <c r="W25" s="25" t="s">
        <v>144</v>
      </c>
      <c r="X25" s="9" t="s">
        <v>25</v>
      </c>
      <c r="Y25" s="9">
        <v>45842</v>
      </c>
      <c r="AC25" s="8" t="e">
        <f>VLOOKUP(B25,#REF!,19,0)</f>
        <v>#REF!</v>
      </c>
      <c r="AE25" s="8" t="s">
        <v>228</v>
      </c>
      <c r="AF25" s="8">
        <v>45908</v>
      </c>
      <c r="AG25" s="8">
        <v>45908</v>
      </c>
      <c r="AH25" s="8" t="s">
        <v>229</v>
      </c>
      <c r="AI25" s="8">
        <v>45936</v>
      </c>
      <c r="AJ25" s="8" t="s">
        <v>230</v>
      </c>
      <c r="AK25" s="8">
        <v>46010</v>
      </c>
      <c r="AL25" s="8">
        <v>45915</v>
      </c>
      <c r="AM25" s="11">
        <v>46014</v>
      </c>
      <c r="AP25" s="8" t="str">
        <f t="shared" si="1"/>
        <v>Tempo Energized</v>
      </c>
      <c r="AS25" s="8" t="s">
        <v>231</v>
      </c>
      <c r="AT25" s="8">
        <v>45931</v>
      </c>
      <c r="AU25" s="8">
        <v>45945</v>
      </c>
      <c r="AV25" s="8">
        <v>45945</v>
      </c>
      <c r="AW25" s="8" t="s">
        <v>232</v>
      </c>
      <c r="AX25" s="8">
        <v>45958</v>
      </c>
      <c r="AY25" s="8" t="s">
        <v>233</v>
      </c>
      <c r="BD25" s="2" t="str">
        <f t="shared" si="2"/>
        <v>PO Issued</v>
      </c>
      <c r="BE25" s="2">
        <v>9</v>
      </c>
      <c r="BF25" s="2" t="s">
        <v>234</v>
      </c>
      <c r="BG25" s="2" t="e">
        <v>#N/A</v>
      </c>
      <c r="BH25" s="2" t="e" vm="1">
        <v>#REF!</v>
      </c>
    </row>
    <row r="26" spans="2:60" hidden="1" x14ac:dyDescent="0.25">
      <c r="B26" s="2" t="s">
        <v>235</v>
      </c>
      <c r="C26" s="2" t="s">
        <v>236</v>
      </c>
      <c r="D26" s="44" t="s">
        <v>237</v>
      </c>
      <c r="E26" s="2" t="s">
        <v>11</v>
      </c>
      <c r="F26" s="2" t="s">
        <v>238</v>
      </c>
      <c r="G26" s="2" t="s">
        <v>1</v>
      </c>
      <c r="H26" s="2" t="s">
        <v>165</v>
      </c>
      <c r="I26" s="2" t="s">
        <v>68</v>
      </c>
      <c r="J26" s="2" t="s">
        <v>239</v>
      </c>
      <c r="K26" s="2" t="s">
        <v>240</v>
      </c>
      <c r="L26" s="2" t="s">
        <v>241</v>
      </c>
      <c r="M26" s="2">
        <v>0</v>
      </c>
      <c r="N26" s="2">
        <v>0</v>
      </c>
      <c r="O26" s="2">
        <v>0</v>
      </c>
      <c r="P26" s="2" t="s">
        <v>168</v>
      </c>
      <c r="Q26" s="2" t="s">
        <v>73</v>
      </c>
      <c r="R26" s="29" t="e">
        <f>IF(INDEX(#REF!,MATCH('data '!$B26,#REF!,0),MATCH('data '!R$3,#REF!,0))=0,"",INDEX(#REF!,MATCH('data '!$B26,#REF!,0),MATCH('data '!R$3,#REF!,0)))</f>
        <v>#REF!</v>
      </c>
      <c r="S26" s="29" t="e">
        <f>IF(INDEX(#REF!,MATCH('data '!$B26,#REF!,0),MATCH('data '!S$3,#REF!,0))=0,"",INDEX(#REF!,MATCH('data '!$B26,#REF!,0),MATCH('data '!S$3,#REF!,0)))</f>
        <v>#REF!</v>
      </c>
      <c r="T26" s="29" t="e">
        <f>IF(INDEX(#REF!,MATCH('data '!$B26,#REF!,0),MATCH('data '!T$3,#REF!,0))=0,"",INDEX(#REF!,MATCH('data '!$B26,#REF!,0),MATCH('data '!T$3,#REF!,0)))</f>
        <v>#REF!</v>
      </c>
      <c r="U26" s="8" t="s">
        <v>25</v>
      </c>
      <c r="V26" s="25" t="s">
        <v>168</v>
      </c>
      <c r="W26" s="25" t="s">
        <v>176</v>
      </c>
      <c r="AC26" s="8" t="e">
        <f>VLOOKUP(B26,#REF!,19,0)</f>
        <v>#REF!</v>
      </c>
      <c r="AP26" s="8" t="str">
        <f t="shared" si="1"/>
        <v>Not yet endorsed</v>
      </c>
      <c r="AQ26" s="10" t="b" cm="1">
        <f t="array" aca="1" ref="AQ26" ca="1">IF(AM26&gt;0,(TODAY()-AM26),IF(AL26&gt;0,(TODAY()-AL26),IF(AK26&gt;0,(TODAY()-AK26,IF(AI26&gt;0,(TODAY()-AI26),IF(AG26&gt;0,(TODAY()-AG26),IF(AF26&gt;0,(TODAY()-AF26),IF(X26&gt;0,(TODAY()-X26)," "))))))))</f>
        <v>0</v>
      </c>
      <c r="BD26" s="2" t="str">
        <f t="shared" si="2"/>
        <v>TSSR Approved</v>
      </c>
      <c r="BE26" s="2" t="e">
        <v>#VALUE!</v>
      </c>
      <c r="BG26" s="2" t="e">
        <v>#N/A</v>
      </c>
    </row>
    <row r="27" spans="2:60" hidden="1" x14ac:dyDescent="0.25">
      <c r="B27" s="2" t="s">
        <v>242</v>
      </c>
      <c r="C27" s="2" t="s">
        <v>243</v>
      </c>
      <c r="D27" s="44" t="s">
        <v>244</v>
      </c>
      <c r="E27" s="2" t="s">
        <v>4</v>
      </c>
      <c r="F27" s="2" t="s">
        <v>245</v>
      </c>
      <c r="G27" s="2" t="s">
        <v>1</v>
      </c>
      <c r="H27" s="2" t="s">
        <v>120</v>
      </c>
      <c r="I27" s="2" t="s">
        <v>140</v>
      </c>
      <c r="J27" s="2" t="s">
        <v>122</v>
      </c>
      <c r="K27" s="2" t="s">
        <v>246</v>
      </c>
      <c r="L27" s="2" t="s">
        <v>247</v>
      </c>
      <c r="M27" s="2">
        <v>0</v>
      </c>
      <c r="N27" s="2">
        <v>0</v>
      </c>
      <c r="O27" s="2">
        <v>0</v>
      </c>
      <c r="P27" s="2" t="s">
        <v>248</v>
      </c>
      <c r="Q27" s="2" t="s">
        <v>73</v>
      </c>
      <c r="R27" s="29" t="e">
        <f>IF(INDEX(#REF!,MATCH('data '!$B27,#REF!,0),MATCH('data '!R$3,#REF!,0))=0,"",INDEX(#REF!,MATCH('data '!$B27,#REF!,0),MATCH('data '!R$3,#REF!,0)))</f>
        <v>#REF!</v>
      </c>
      <c r="S27" s="29" t="e">
        <f>IF(INDEX(#REF!,MATCH('data '!$B27,#REF!,0),MATCH('data '!S$3,#REF!,0))=0,"",INDEX(#REF!,MATCH('data '!$B27,#REF!,0),MATCH('data '!S$3,#REF!,0)))</f>
        <v>#REF!</v>
      </c>
      <c r="T27" s="29" t="e">
        <f>IF(INDEX(#REF!,MATCH('data '!$B27,#REF!,0),MATCH('data '!T$3,#REF!,0))=0,"",INDEX(#REF!,MATCH('data '!$B27,#REF!,0),MATCH('data '!T$3,#REF!,0)))</f>
        <v>#REF!</v>
      </c>
      <c r="V27" s="25" t="s">
        <v>249</v>
      </c>
      <c r="W27" s="25">
        <v>0</v>
      </c>
      <c r="AC27" s="8" t="e">
        <f>VLOOKUP(B27,#REF!,19,0)</f>
        <v>#REF!</v>
      </c>
      <c r="AP27" s="8" t="str">
        <f t="shared" si="1"/>
        <v>Not yet endorsed</v>
      </c>
      <c r="AQ27" s="10" t="b" cm="1">
        <f t="array" aca="1" ref="AQ27" ca="1">IF(AM27&gt;0,(TODAY()-AM27),IF(AL27&gt;0,(TODAY()-AL27),IF(AK27&gt;0,(TODAY()-AK27,IF(AI27&gt;0,(TODAY()-AI27),IF(AG27&gt;0,(TODAY()-AG27),IF(AF27&gt;0,(TODAY()-AF27),IF(X27&gt;0,(TODAY()-X27)," "))))))))</f>
        <v>0</v>
      </c>
      <c r="BD27" s="2" t="str">
        <f t="shared" si="2"/>
        <v>Not yet endorsed</v>
      </c>
      <c r="BE27" s="2" t="s">
        <v>75</v>
      </c>
      <c r="BG27" s="2" t="e">
        <v>#N/A</v>
      </c>
    </row>
    <row r="28" spans="2:60" hidden="1" x14ac:dyDescent="0.25">
      <c r="B28" s="2" t="s">
        <v>250</v>
      </c>
      <c r="C28" s="2" t="s">
        <v>251</v>
      </c>
      <c r="D28" s="44" t="s">
        <v>252</v>
      </c>
      <c r="E28" s="2" t="s">
        <v>11</v>
      </c>
      <c r="F28" s="2" t="s">
        <v>253</v>
      </c>
      <c r="G28" s="2" t="s">
        <v>1</v>
      </c>
      <c r="H28" s="2" t="s">
        <v>165</v>
      </c>
      <c r="I28" s="2" t="s">
        <v>68</v>
      </c>
      <c r="J28" s="2" t="s">
        <v>239</v>
      </c>
      <c r="K28" s="2" t="s">
        <v>254</v>
      </c>
      <c r="L28" s="2" t="s">
        <v>255</v>
      </c>
      <c r="M28" s="2">
        <v>0</v>
      </c>
      <c r="N28" s="2">
        <v>10.072376</v>
      </c>
      <c r="O28" s="2">
        <v>125.538336</v>
      </c>
      <c r="P28" s="2" t="s">
        <v>87</v>
      </c>
      <c r="Q28" s="2" t="s">
        <v>73</v>
      </c>
      <c r="R28" s="29" t="e">
        <f>IF(INDEX(#REF!,MATCH('data '!$B28,#REF!,0),MATCH('data '!R$3,#REF!,0))=0,"",INDEX(#REF!,MATCH('data '!$B28,#REF!,0),MATCH('data '!R$3,#REF!,0)))</f>
        <v>#REF!</v>
      </c>
      <c r="S28" s="29" t="e">
        <f>IF(INDEX(#REF!,MATCH('data '!$B28,#REF!,0),MATCH('data '!S$3,#REF!,0))=0,"",INDEX(#REF!,MATCH('data '!$B28,#REF!,0),MATCH('data '!S$3,#REF!,0)))</f>
        <v>#REF!</v>
      </c>
      <c r="T28" s="29" t="e">
        <f>IF(INDEX(#REF!,MATCH('data '!$B28,#REF!,0),MATCH('data '!T$3,#REF!,0))=0,"",INDEX(#REF!,MATCH('data '!$B28,#REF!,0),MATCH('data '!T$3,#REF!,0)))</f>
        <v>#REF!</v>
      </c>
      <c r="V28" s="25" t="s">
        <v>87</v>
      </c>
      <c r="W28" s="25" t="s">
        <v>144</v>
      </c>
      <c r="X28" s="43" t="s">
        <v>25</v>
      </c>
      <c r="Y28" s="43">
        <v>45905</v>
      </c>
      <c r="AC28" s="8" t="e">
        <f>VLOOKUP(B28,#REF!,19,0)</f>
        <v>#REF!</v>
      </c>
      <c r="AP28" s="8" t="str">
        <f t="shared" si="1"/>
        <v>BP Secured</v>
      </c>
      <c r="AQ28" s="10" t="b" cm="1">
        <f t="array" aca="1" ref="AQ28" ca="1">IF(AM28&gt;0,(TODAY()-AM28),IF(AL28&gt;0,(TODAY()-AL28),IF(AK28&gt;0,(TODAY()-AK28,IF(AI28&gt;0,(TODAY()-AI28),IF(AG28&gt;0,(TODAY()-AG28),IF(AF28&gt;0,(TODAY()-AF28),IF(X28&gt;0,(TODAY()-X28)," "))))))))</f>
        <v>0</v>
      </c>
      <c r="BD28" s="2" t="str">
        <f t="shared" si="2"/>
        <v>BP Secured</v>
      </c>
      <c r="BE28" s="2" t="e">
        <v>#VALUE!</v>
      </c>
      <c r="BG28" s="2" t="e">
        <v>#N/A</v>
      </c>
    </row>
    <row r="29" spans="2:60" hidden="1" x14ac:dyDescent="0.25">
      <c r="B29" s="2" t="s">
        <v>256</v>
      </c>
      <c r="C29" s="2" t="s">
        <v>257</v>
      </c>
      <c r="D29" s="44" t="s">
        <v>258</v>
      </c>
      <c r="E29" s="2" t="s">
        <v>6</v>
      </c>
      <c r="F29" s="2">
        <v>0</v>
      </c>
      <c r="G29" s="2" t="s">
        <v>1</v>
      </c>
      <c r="H29" s="2" t="s">
        <v>111</v>
      </c>
      <c r="I29" s="2" t="s">
        <v>112</v>
      </c>
      <c r="J29" s="2" t="s">
        <v>113</v>
      </c>
      <c r="K29" s="2" t="s">
        <v>114</v>
      </c>
      <c r="L29" s="2">
        <v>0</v>
      </c>
      <c r="M29" s="2">
        <v>0</v>
      </c>
      <c r="N29" s="2">
        <v>0</v>
      </c>
      <c r="O29" s="2">
        <v>0</v>
      </c>
      <c r="P29" s="2" t="s">
        <v>82</v>
      </c>
      <c r="Q29" s="2">
        <v>0</v>
      </c>
      <c r="R29" s="29" t="e">
        <f>IF(INDEX(#REF!,MATCH('data '!$B29,#REF!,0),MATCH('data '!R$3,#REF!,0))=0,"",INDEX(#REF!,MATCH('data '!$B29,#REF!,0),MATCH('data '!R$3,#REF!,0)))</f>
        <v>#REF!</v>
      </c>
      <c r="S29" s="29" t="e">
        <f>IF(INDEX(#REF!,MATCH('data '!$B29,#REF!,0),MATCH('data '!S$3,#REF!,0))=0,"",INDEX(#REF!,MATCH('data '!$B29,#REF!,0),MATCH('data '!S$3,#REF!,0)))</f>
        <v>#REF!</v>
      </c>
      <c r="T29" s="29" t="e">
        <f>IF(INDEX(#REF!,MATCH('data '!$B29,#REF!,0),MATCH('data '!T$3,#REF!,0))=0,"",INDEX(#REF!,MATCH('data '!$B29,#REF!,0),MATCH('data '!T$3,#REF!,0)))</f>
        <v>#REF!</v>
      </c>
      <c r="V29" s="25" t="s">
        <v>82</v>
      </c>
      <c r="W29" s="25" t="s">
        <v>83</v>
      </c>
      <c r="AC29" s="8" t="e">
        <f>VLOOKUP(B29,#REF!,19,0)</f>
        <v>#REF!</v>
      </c>
      <c r="AP29" s="8" t="str">
        <f t="shared" si="1"/>
        <v>Not yet endorsed</v>
      </c>
      <c r="AQ29" s="10" t="b" cm="1">
        <f t="array" aca="1" ref="AQ29" ca="1">IF(AM29&gt;0,(TODAY()-AM29),IF(AL29&gt;0,(TODAY()-AL29),IF(AK29&gt;0,(TODAY()-AK29,IF(AI29&gt;0,(TODAY()-AI29),IF(AG29&gt;0,(TODAY()-AG29),IF(AF29&gt;0,(TODAY()-AF29),IF(X29&gt;0,(TODAY()-X29)," "))))))))</f>
        <v>0</v>
      </c>
      <c r="BD29" s="2" t="str">
        <f t="shared" si="2"/>
        <v>Not yet endorsed</v>
      </c>
      <c r="BE29" s="2" t="s">
        <v>75</v>
      </c>
      <c r="BG29" s="2" t="e">
        <v>#N/A</v>
      </c>
    </row>
    <row r="30" spans="2:60" hidden="1" x14ac:dyDescent="0.25">
      <c r="B30" s="2" t="s">
        <v>259</v>
      </c>
      <c r="C30" s="2" t="s">
        <v>260</v>
      </c>
      <c r="D30" s="44" t="s">
        <v>261</v>
      </c>
      <c r="E30" s="2" t="s">
        <v>4</v>
      </c>
      <c r="F30" s="2" t="s">
        <v>262</v>
      </c>
      <c r="G30" s="2" t="s">
        <v>1</v>
      </c>
      <c r="H30" s="2" t="s">
        <v>139</v>
      </c>
      <c r="I30" s="2" t="s">
        <v>140</v>
      </c>
      <c r="J30" s="2" t="s">
        <v>122</v>
      </c>
      <c r="K30" s="2" t="s">
        <v>263</v>
      </c>
      <c r="L30" s="2" t="s">
        <v>264</v>
      </c>
      <c r="M30" s="2">
        <v>0</v>
      </c>
      <c r="N30" s="2">
        <v>15.764825</v>
      </c>
      <c r="O30" s="2">
        <v>121.470941</v>
      </c>
      <c r="P30" s="2" t="s">
        <v>87</v>
      </c>
      <c r="Q30" s="2" t="s">
        <v>265</v>
      </c>
      <c r="R30" s="29" t="e">
        <f>IF(INDEX(#REF!,MATCH('data '!$B30,#REF!,0),MATCH('data '!R$3,#REF!,0))=0,"",INDEX(#REF!,MATCH('data '!$B30,#REF!,0),MATCH('data '!R$3,#REF!,0)))</f>
        <v>#REF!</v>
      </c>
      <c r="S30" s="29" t="e">
        <f>IF(INDEX(#REF!,MATCH('data '!$B30,#REF!,0),MATCH('data '!S$3,#REF!,0))=0,"",INDEX(#REF!,MATCH('data '!$B30,#REF!,0),MATCH('data '!S$3,#REF!,0)))</f>
        <v>#REF!</v>
      </c>
      <c r="T30" s="29" t="e">
        <f>IF(INDEX(#REF!,MATCH('data '!$B30,#REF!,0),MATCH('data '!T$3,#REF!,0))=0,"",INDEX(#REF!,MATCH('data '!$B30,#REF!,0),MATCH('data '!T$3,#REF!,0)))</f>
        <v>#REF!</v>
      </c>
      <c r="U30" s="8" t="s">
        <v>25</v>
      </c>
      <c r="V30" s="25" t="s">
        <v>266</v>
      </c>
      <c r="W30" s="25" t="s">
        <v>144</v>
      </c>
      <c r="X30" s="9" t="s">
        <v>25</v>
      </c>
      <c r="Y30" s="9">
        <v>45807</v>
      </c>
      <c r="AA30" s="8" t="s">
        <v>267</v>
      </c>
      <c r="AC30" s="8" t="e">
        <f>VLOOKUP(B30,#REF!,19,0)</f>
        <v>#REF!</v>
      </c>
      <c r="AE30" s="8" t="s">
        <v>228</v>
      </c>
      <c r="AF30" s="8">
        <v>45912</v>
      </c>
      <c r="AG30" s="8">
        <v>45943</v>
      </c>
      <c r="AH30" s="8" t="s">
        <v>268</v>
      </c>
      <c r="AI30" s="8">
        <v>45945</v>
      </c>
      <c r="AJ30" s="8" t="s">
        <v>269</v>
      </c>
      <c r="AK30" s="8">
        <v>45936</v>
      </c>
      <c r="AL30" s="8">
        <v>45940</v>
      </c>
      <c r="AM30" s="8">
        <v>46007</v>
      </c>
      <c r="AP30" s="8" t="str">
        <f t="shared" si="1"/>
        <v>Tempo Energized</v>
      </c>
      <c r="AQ30" s="10" cm="1">
        <f t="array" aca="1" ref="AQ30" ca="1">IF(AM30&gt;0,(TODAY()-AM30),IF(AL30&gt;0,(TODAY()-AL30),IF(AK30&gt;0,(TODAY()-AK30,IF(AI30&gt;0,(TODAY()-AI30),IF(AG30&gt;0,(TODAY()-AG30),IF(AF30&gt;0,(TODAY()-AF30),IF(X30&gt;0,(TODAY()-X30)," "))))))))</f>
        <v>99</v>
      </c>
      <c r="AR30" s="10" t="s">
        <v>270</v>
      </c>
      <c r="AS30" s="8" t="s">
        <v>271</v>
      </c>
      <c r="AT30" s="8">
        <v>45903</v>
      </c>
      <c r="AU30" s="8">
        <v>45929</v>
      </c>
      <c r="AV30" s="8">
        <v>45929</v>
      </c>
      <c r="AW30" s="8" t="s">
        <v>272</v>
      </c>
      <c r="AX30" s="8">
        <v>45933</v>
      </c>
      <c r="AY30" s="8" t="s">
        <v>273</v>
      </c>
      <c r="BD30" s="2" t="str">
        <f t="shared" si="2"/>
        <v>PO Issued</v>
      </c>
      <c r="BE30" s="2">
        <v>7</v>
      </c>
      <c r="BF30" s="12" t="s">
        <v>274</v>
      </c>
      <c r="BG30" s="2" t="e">
        <v>#N/A</v>
      </c>
      <c r="BH30" s="2" t="s">
        <v>275</v>
      </c>
    </row>
    <row r="31" spans="2:60" hidden="1" x14ac:dyDescent="0.25">
      <c r="B31" s="2" t="s">
        <v>276</v>
      </c>
      <c r="C31" s="2" t="s">
        <v>277</v>
      </c>
      <c r="D31" s="44" t="s">
        <v>278</v>
      </c>
      <c r="E31" s="2" t="s">
        <v>3</v>
      </c>
      <c r="F31" s="2" t="s">
        <v>279</v>
      </c>
      <c r="G31" s="2" t="s">
        <v>1</v>
      </c>
      <c r="H31" s="2" t="s">
        <v>139</v>
      </c>
      <c r="I31" s="2" t="s">
        <v>140</v>
      </c>
      <c r="J31" s="2" t="s">
        <v>141</v>
      </c>
      <c r="K31" s="2" t="s">
        <v>280</v>
      </c>
      <c r="L31" s="2" t="s">
        <v>281</v>
      </c>
      <c r="M31" s="2">
        <v>0</v>
      </c>
      <c r="N31" s="2">
        <v>17.942229999999999</v>
      </c>
      <c r="O31" s="2">
        <v>120.4962</v>
      </c>
      <c r="P31" s="2" t="s">
        <v>87</v>
      </c>
      <c r="Q31" s="2" t="s">
        <v>265</v>
      </c>
      <c r="R31" s="29" t="e">
        <f>IF(INDEX(#REF!,MATCH('data '!$B31,#REF!,0),MATCH('data '!R$3,#REF!,0))=0,"",INDEX(#REF!,MATCH('data '!$B31,#REF!,0),MATCH('data '!R$3,#REF!,0)))</f>
        <v>#REF!</v>
      </c>
      <c r="S31" s="29" t="e">
        <f>IF(INDEX(#REF!,MATCH('data '!$B31,#REF!,0),MATCH('data '!S$3,#REF!,0))=0,"",INDEX(#REF!,MATCH('data '!$B31,#REF!,0),MATCH('data '!S$3,#REF!,0)))</f>
        <v>#REF!</v>
      </c>
      <c r="T31" s="29" t="e">
        <f>IF(INDEX(#REF!,MATCH('data '!$B31,#REF!,0),MATCH('data '!T$3,#REF!,0))=0,"",INDEX(#REF!,MATCH('data '!$B31,#REF!,0),MATCH('data '!T$3,#REF!,0)))</f>
        <v>#REF!</v>
      </c>
      <c r="U31" s="8" t="s">
        <v>25</v>
      </c>
      <c r="V31" s="25" t="s">
        <v>266</v>
      </c>
      <c r="W31" s="25" t="s">
        <v>144</v>
      </c>
      <c r="X31" s="9" t="s">
        <v>25</v>
      </c>
      <c r="Y31" s="9">
        <v>45819</v>
      </c>
      <c r="Z31" s="8">
        <v>45784</v>
      </c>
      <c r="AA31" s="8" t="s">
        <v>282</v>
      </c>
      <c r="AC31" s="8" t="e">
        <f>VLOOKUP(B31,#REF!,19,0)</f>
        <v>#REF!</v>
      </c>
      <c r="AE31" s="8" t="s">
        <v>145</v>
      </c>
      <c r="AF31" s="8">
        <v>45905</v>
      </c>
      <c r="AG31" s="8">
        <v>45946</v>
      </c>
      <c r="AH31" s="8" t="s">
        <v>283</v>
      </c>
      <c r="AI31" s="8">
        <v>45950</v>
      </c>
      <c r="AJ31" s="8" t="s">
        <v>284</v>
      </c>
      <c r="AP31" s="8" t="str">
        <f t="shared" si="1"/>
        <v>PO Issued</v>
      </c>
      <c r="AQ31" s="10" t="b" cm="1">
        <f t="array" aca="1" ref="AQ31" ca="1">IF(AM31&gt;0,(TODAY()-AM31),IF(AL31&gt;0,(TODAY()-AL31),IF(AK31&gt;0,(TODAY()-AK31,IF(AI31&gt;0,(TODAY()-AI31),IF(AG31&gt;0,(TODAY()-AG31),IF(AF31&gt;0,(TODAY()-AF31),IF(X31&gt;0,(TODAY()-X31)," "))))))))</f>
        <v>0</v>
      </c>
      <c r="AT31" s="8">
        <v>45912</v>
      </c>
      <c r="AU31" s="8">
        <v>45939</v>
      </c>
      <c r="AV31" s="8">
        <v>45939</v>
      </c>
      <c r="AW31" s="8" t="s">
        <v>285</v>
      </c>
      <c r="AX31" s="8">
        <v>45943</v>
      </c>
      <c r="AY31" s="8" t="s">
        <v>286</v>
      </c>
      <c r="BD31" s="2" t="str">
        <f t="shared" si="2"/>
        <v>PO Issued</v>
      </c>
      <c r="BE31" s="2">
        <v>1</v>
      </c>
      <c r="BF31" s="2" t="s">
        <v>287</v>
      </c>
      <c r="BG31" s="2" t="e">
        <v>#N/A</v>
      </c>
      <c r="BH31" s="2" t="e" vm="1">
        <v>#REF!</v>
      </c>
    </row>
    <row r="32" spans="2:60" hidden="1" x14ac:dyDescent="0.25">
      <c r="B32" s="2" t="s">
        <v>288</v>
      </c>
      <c r="C32" s="2" t="s">
        <v>289</v>
      </c>
      <c r="D32" s="44" t="s">
        <v>290</v>
      </c>
      <c r="E32" s="2" t="s">
        <v>3</v>
      </c>
      <c r="F32" s="2" t="s">
        <v>138</v>
      </c>
      <c r="G32" s="2" t="s">
        <v>1</v>
      </c>
      <c r="H32" s="2" t="s">
        <v>139</v>
      </c>
      <c r="I32" s="2" t="s">
        <v>140</v>
      </c>
      <c r="J32" s="2" t="s">
        <v>141</v>
      </c>
      <c r="K32" s="2" t="s">
        <v>142</v>
      </c>
      <c r="L32" s="2" t="s">
        <v>291</v>
      </c>
      <c r="M32" s="2">
        <v>0</v>
      </c>
      <c r="N32" s="2">
        <v>0</v>
      </c>
      <c r="O32" s="2">
        <v>0</v>
      </c>
      <c r="P32" s="2" t="s">
        <v>82</v>
      </c>
      <c r="Q32" s="2" t="s">
        <v>73</v>
      </c>
      <c r="R32" s="29" t="e">
        <f>IF(INDEX(#REF!,MATCH('data '!$B32,#REF!,0),MATCH('data '!R$3,#REF!,0))=0,"",INDEX(#REF!,MATCH('data '!$B32,#REF!,0),MATCH('data '!R$3,#REF!,0)))</f>
        <v>#REF!</v>
      </c>
      <c r="S32" s="29" t="e">
        <f>IF(INDEX(#REF!,MATCH('data '!$B32,#REF!,0),MATCH('data '!S$3,#REF!,0))=0,"",INDEX(#REF!,MATCH('data '!$B32,#REF!,0),MATCH('data '!S$3,#REF!,0)))</f>
        <v>#REF!</v>
      </c>
      <c r="T32" s="29" t="e">
        <f>IF(INDEX(#REF!,MATCH('data '!$B32,#REF!,0),MATCH('data '!T$3,#REF!,0))=0,"",INDEX(#REF!,MATCH('data '!$B32,#REF!,0),MATCH('data '!T$3,#REF!,0)))</f>
        <v>#REF!</v>
      </c>
      <c r="U32" s="8" t="s">
        <v>25</v>
      </c>
      <c r="V32" s="25" t="s">
        <v>133</v>
      </c>
      <c r="W32" s="25" t="s">
        <v>134</v>
      </c>
      <c r="AC32" s="8" t="e">
        <f>VLOOKUP(B32,#REF!,19,0)</f>
        <v>#REF!</v>
      </c>
      <c r="AE32" s="8" t="s">
        <v>145</v>
      </c>
      <c r="AF32" s="21">
        <v>45938</v>
      </c>
      <c r="AP32" s="8" t="str">
        <f t="shared" si="1"/>
        <v>Vendor Allocated</v>
      </c>
      <c r="AQ32" s="10" t="b" cm="1">
        <f t="array" aca="1" ref="AQ32" ca="1">IF(AM32&gt;0,(TODAY()-AM32),IF(AL32&gt;0,(TODAY()-AL32),IF(AK32&gt;0,(TODAY()-AK32,IF(AI32&gt;0,(TODAY()-AI32),IF(AG32&gt;0,(TODAY()-AG32),IF(AF32&gt;0,(TODAY()-AF32),IF(X32&gt;0,(TODAY()-X32)," "))))))))</f>
        <v>0</v>
      </c>
      <c r="BD32" s="2" t="str">
        <f t="shared" si="2"/>
        <v>Vendor Allocated</v>
      </c>
      <c r="BE32" s="2">
        <v>2</v>
      </c>
      <c r="BG32" s="2" t="s">
        <v>149</v>
      </c>
      <c r="BH32" s="2" t="e" vm="1">
        <v>#REF!</v>
      </c>
    </row>
    <row r="33" spans="2:60" hidden="1" x14ac:dyDescent="0.25">
      <c r="B33" s="2" t="s">
        <v>292</v>
      </c>
      <c r="C33" s="2" t="s">
        <v>293</v>
      </c>
      <c r="D33" s="44" t="s">
        <v>294</v>
      </c>
      <c r="E33" s="2" t="s">
        <v>5</v>
      </c>
      <c r="F33" s="2" t="s">
        <v>245</v>
      </c>
      <c r="G33" s="2" t="s">
        <v>153</v>
      </c>
      <c r="H33" s="2" t="s">
        <v>120</v>
      </c>
      <c r="I33" s="2" t="s">
        <v>140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e">
        <v>#N/A</v>
      </c>
      <c r="R33" s="2" t="s">
        <v>61</v>
      </c>
      <c r="S33" s="29" t="e">
        <f>IF(INDEX(#REF!,MATCH('data '!$B33,#REF!,0),MATCH('data '!S$3,#REF!,0))=0,"",INDEX(#REF!,MATCH('data '!$B33,#REF!,0),MATCH('data '!S$3,#REF!,0)))</f>
        <v>#REF!</v>
      </c>
      <c r="T33" s="29" t="e">
        <f>IF(INDEX(#REF!,MATCH('data '!$B33,#REF!,0),MATCH('data '!T$3,#REF!,0))=0,"",INDEX(#REF!,MATCH('data '!$B33,#REF!,0),MATCH('data '!T$3,#REF!,0)))</f>
        <v>#REF!</v>
      </c>
      <c r="V33" s="25">
        <v>0</v>
      </c>
      <c r="W33" s="25" t="s">
        <v>144</v>
      </c>
      <c r="X33" s="9" t="s">
        <v>25</v>
      </c>
      <c r="Y33" s="9">
        <v>45677</v>
      </c>
      <c r="AC33" s="8" t="e">
        <f>VLOOKUP(B33,#REF!,19,0)</f>
        <v>#REF!</v>
      </c>
      <c r="AE33" s="8" t="s">
        <v>295</v>
      </c>
      <c r="AP33" s="8" t="str">
        <f t="shared" si="1"/>
        <v>BP Secured</v>
      </c>
      <c r="AQ33" s="10" t="b" cm="1">
        <f t="array" aca="1" ref="AQ33" ca="1">IF(AM33&gt;0,(TODAY()-AM33),IF(AL33&gt;0,(TODAY()-AL33),IF(AK33&gt;0,(TODAY()-AK33,IF(AI33&gt;0,(TODAY()-AI33),IF(AG33&gt;0,(TODAY()-AG33),IF(AF33&gt;0,(TODAY()-AF33),IF(X33&gt;0,(TODAY()-X33)," "))))))))</f>
        <v>0</v>
      </c>
      <c r="AS33" s="8" t="s">
        <v>296</v>
      </c>
      <c r="AT33" s="8">
        <v>45959</v>
      </c>
      <c r="AU33" s="8">
        <v>45959</v>
      </c>
      <c r="AV33" s="8">
        <v>45959</v>
      </c>
      <c r="AW33" s="8" t="s">
        <v>297</v>
      </c>
      <c r="AX33" s="8">
        <v>45964</v>
      </c>
      <c r="AY33" s="8" t="s">
        <v>298</v>
      </c>
      <c r="AZ33" s="8">
        <v>45971</v>
      </c>
      <c r="BA33" s="8">
        <v>45976</v>
      </c>
      <c r="BB33" s="8">
        <v>45981</v>
      </c>
      <c r="BC33" s="8">
        <v>45988</v>
      </c>
      <c r="BD33" s="2" t="str">
        <f t="shared" si="2"/>
        <v>Permanent Energized</v>
      </c>
      <c r="BE33" s="2" t="s">
        <v>75</v>
      </c>
      <c r="BG33" s="2" t="e">
        <v>#N/A</v>
      </c>
    </row>
    <row r="34" spans="2:60" hidden="1" x14ac:dyDescent="0.25">
      <c r="B34" s="2" t="s">
        <v>299</v>
      </c>
      <c r="C34" s="2" t="s">
        <v>300</v>
      </c>
      <c r="D34" s="44" t="s">
        <v>301</v>
      </c>
      <c r="E34" s="2" t="s">
        <v>11</v>
      </c>
      <c r="F34" s="2" t="s">
        <v>302</v>
      </c>
      <c r="G34" s="2" t="s">
        <v>1</v>
      </c>
      <c r="H34" s="2" t="s">
        <v>165</v>
      </c>
      <c r="I34" s="2" t="s">
        <v>68</v>
      </c>
      <c r="J34" s="2" t="s">
        <v>173</v>
      </c>
      <c r="K34" s="2" t="s">
        <v>303</v>
      </c>
      <c r="L34" s="2" t="s">
        <v>304</v>
      </c>
      <c r="M34" s="2" t="s">
        <v>305</v>
      </c>
      <c r="N34" s="2">
        <v>7.9762000000000004</v>
      </c>
      <c r="O34" s="2">
        <v>125.2084</v>
      </c>
      <c r="P34" s="2" t="s">
        <v>87</v>
      </c>
      <c r="Q34" s="2" t="s">
        <v>184</v>
      </c>
      <c r="R34" s="29" t="e">
        <f>IF(INDEX(#REF!,MATCH('data '!$B34,#REF!,0),MATCH('data '!R$3,#REF!,0))=0,"",INDEX(#REF!,MATCH('data '!$B34,#REF!,0),MATCH('data '!R$3,#REF!,0)))</f>
        <v>#REF!</v>
      </c>
      <c r="S34" s="29" t="e">
        <f>IF(INDEX(#REF!,MATCH('data '!$B34,#REF!,0),MATCH('data '!S$3,#REF!,0))=0,"",INDEX(#REF!,MATCH('data '!$B34,#REF!,0),MATCH('data '!S$3,#REF!,0)))</f>
        <v>#REF!</v>
      </c>
      <c r="T34" s="29" t="e">
        <f>IF(INDEX(#REF!,MATCH('data '!$B34,#REF!,0),MATCH('data '!T$3,#REF!,0))=0,"",INDEX(#REF!,MATCH('data '!$B34,#REF!,0),MATCH('data '!T$3,#REF!,0)))</f>
        <v>#REF!</v>
      </c>
      <c r="U34" s="8" t="s">
        <v>25</v>
      </c>
      <c r="V34" s="25" t="s">
        <v>185</v>
      </c>
      <c r="W34" s="25" t="s">
        <v>144</v>
      </c>
      <c r="X34" s="43" t="s">
        <v>25</v>
      </c>
      <c r="Y34" s="43">
        <v>45754</v>
      </c>
      <c r="AA34" s="8" t="s">
        <v>306</v>
      </c>
      <c r="AC34" s="8" t="e">
        <f>VLOOKUP(B34,#REF!,19,0)</f>
        <v>#REF!</v>
      </c>
      <c r="AE34" s="8" t="s">
        <v>307</v>
      </c>
      <c r="AK34" s="8">
        <v>45755</v>
      </c>
      <c r="AP34" s="8" t="str">
        <f t="shared" si="1"/>
        <v>COOP Surveyed</v>
      </c>
      <c r="AQ34" s="10" t="e" cm="1">
        <f t="array" aca="1" ref="AQ34" ca="1">IF(AM34&gt;0,(TODAY()-AM34),IF(AL34&gt;0,(TODAY()-AL34),IF(AK34&gt;0,(TODAY()-AK34,IF(AI34&gt;0,(TODAY()-AI34),IF(AG34&gt;0,(TODAY()-AG34),IF(AF34&gt;0,(TODAY()-AF34),IF(X34&gt;0,(TODAY()-X34)," "))))))))</f>
        <v>#VALUE!</v>
      </c>
      <c r="AT34" s="8" t="s">
        <v>155</v>
      </c>
      <c r="AU34" s="8">
        <v>45781</v>
      </c>
      <c r="AV34" s="8">
        <v>45783</v>
      </c>
      <c r="AX34" s="8">
        <v>45786</v>
      </c>
      <c r="BD34" s="2" t="str">
        <f t="shared" si="2"/>
        <v>PO Issued</v>
      </c>
      <c r="BE34" s="2">
        <v>154</v>
      </c>
      <c r="BG34" s="2" t="e">
        <v>#N/A</v>
      </c>
    </row>
    <row r="35" spans="2:60" hidden="1" x14ac:dyDescent="0.25">
      <c r="B35" s="2" t="s">
        <v>308</v>
      </c>
      <c r="C35" s="2" t="s">
        <v>309</v>
      </c>
      <c r="D35" s="44" t="s">
        <v>310</v>
      </c>
      <c r="E35" s="2" t="s">
        <v>11</v>
      </c>
      <c r="F35" s="2" t="s">
        <v>302</v>
      </c>
      <c r="G35" s="2" t="s">
        <v>1</v>
      </c>
      <c r="H35" s="2" t="s">
        <v>165</v>
      </c>
      <c r="I35" s="2" t="s">
        <v>68</v>
      </c>
      <c r="J35" s="2" t="s">
        <v>173</v>
      </c>
      <c r="K35" s="2" t="s">
        <v>303</v>
      </c>
      <c r="L35" s="2" t="s">
        <v>304</v>
      </c>
      <c r="M35" s="2">
        <v>0</v>
      </c>
      <c r="N35" s="2">
        <v>0</v>
      </c>
      <c r="O35" s="2">
        <v>0</v>
      </c>
      <c r="P35" s="2" t="s">
        <v>88</v>
      </c>
      <c r="Q35" s="2" t="s">
        <v>73</v>
      </c>
      <c r="R35" s="29" t="e">
        <f>IF(INDEX(#REF!,MATCH('data '!$B35,#REF!,0),MATCH('data '!R$3,#REF!,0))=0,"",INDEX(#REF!,MATCH('data '!$B35,#REF!,0),MATCH('data '!R$3,#REF!,0)))</f>
        <v>#REF!</v>
      </c>
      <c r="S35" s="29" t="e">
        <f>IF(INDEX(#REF!,MATCH('data '!$B35,#REF!,0),MATCH('data '!S$3,#REF!,0))=0,"",INDEX(#REF!,MATCH('data '!$B35,#REF!,0),MATCH('data '!S$3,#REF!,0)))</f>
        <v>#REF!</v>
      </c>
      <c r="T35" s="29" t="e">
        <f>IF(INDEX(#REF!,MATCH('data '!$B35,#REF!,0),MATCH('data '!T$3,#REF!,0))=0,"",INDEX(#REF!,MATCH('data '!$B35,#REF!,0),MATCH('data '!T$3,#REF!,0)))</f>
        <v>#REF!</v>
      </c>
      <c r="V35" s="25" t="s">
        <v>160</v>
      </c>
      <c r="W35" s="25" t="s">
        <v>144</v>
      </c>
      <c r="X35" s="61"/>
      <c r="Y35" s="61"/>
      <c r="AC35" s="8" t="e">
        <f>VLOOKUP(B35,#REF!,19,0)</f>
        <v>#REF!</v>
      </c>
      <c r="AP35" s="8" t="str">
        <f t="shared" si="1"/>
        <v>Not yet endorsed</v>
      </c>
      <c r="AQ35" s="10" t="b" cm="1">
        <f t="array" aca="1" ref="AQ35" ca="1">IF(AM35&gt;0,(TODAY()-AM35),IF(AL35&gt;0,(TODAY()-AL35),IF(AK35&gt;0,(TODAY()-AK35,IF(AI35&gt;0,(TODAY()-AI35),IF(AG35&gt;0,(TODAY()-AG35),IF(AF35&gt;0,(TODAY()-AF35),IF(X35&gt;0,(TODAY()-X35)," "))))))))</f>
        <v>0</v>
      </c>
      <c r="BD35" s="2" t="str">
        <f t="shared" si="2"/>
        <v>Not yet endorsed</v>
      </c>
      <c r="BE35" s="2" t="s">
        <v>75</v>
      </c>
      <c r="BG35" s="2" t="e">
        <v>#N/A</v>
      </c>
    </row>
    <row r="36" spans="2:60" hidden="1" x14ac:dyDescent="0.25">
      <c r="B36" s="2" t="s">
        <v>311</v>
      </c>
      <c r="C36" s="2" t="s">
        <v>312</v>
      </c>
      <c r="D36" s="44" t="s">
        <v>313</v>
      </c>
      <c r="E36" s="2" t="s">
        <v>11</v>
      </c>
      <c r="F36" s="2">
        <v>0</v>
      </c>
      <c r="G36" s="2" t="s">
        <v>1</v>
      </c>
      <c r="H36" s="2" t="s">
        <v>67</v>
      </c>
      <c r="I36" s="2" t="s">
        <v>68</v>
      </c>
      <c r="J36" s="2" t="s">
        <v>69</v>
      </c>
      <c r="K36" s="2" t="s">
        <v>70</v>
      </c>
      <c r="L36" s="2">
        <v>0</v>
      </c>
      <c r="M36" s="2">
        <v>0</v>
      </c>
      <c r="N36" s="2">
        <v>7.0474100000000002</v>
      </c>
      <c r="O36" s="2">
        <v>124.31436100000001</v>
      </c>
      <c r="P36" s="2" t="s">
        <v>87</v>
      </c>
      <c r="Q36" s="2" t="s">
        <v>314</v>
      </c>
      <c r="R36" s="29" t="e">
        <f>IF(INDEX(#REF!,MATCH('data '!$B36,#REF!,0),MATCH('data '!R$3,#REF!,0))=0,"",INDEX(#REF!,MATCH('data '!$B36,#REF!,0),MATCH('data '!R$3,#REF!,0)))</f>
        <v>#REF!</v>
      </c>
      <c r="S36" s="29" t="e">
        <f>IF(INDEX(#REF!,MATCH('data '!$B36,#REF!,0),MATCH('data '!S$3,#REF!,0))=0,"",INDEX(#REF!,MATCH('data '!$B36,#REF!,0),MATCH('data '!S$3,#REF!,0)))</f>
        <v>#REF!</v>
      </c>
      <c r="T36" s="29" t="e">
        <f>IF(INDEX(#REF!,MATCH('data '!$B36,#REF!,0),MATCH('data '!T$3,#REF!,0))=0,"",INDEX(#REF!,MATCH('data '!$B36,#REF!,0),MATCH('data '!T$3,#REF!,0)))</f>
        <v>#REF!</v>
      </c>
      <c r="V36" s="25" t="s">
        <v>87</v>
      </c>
      <c r="W36" s="25" t="s">
        <v>144</v>
      </c>
      <c r="X36" s="43" t="s">
        <v>25</v>
      </c>
      <c r="Y36" s="43">
        <v>45884</v>
      </c>
      <c r="AC36" s="8" t="e">
        <f>VLOOKUP(B36,#REF!,19,0)</f>
        <v>#REF!</v>
      </c>
      <c r="AP36" s="8" t="str">
        <f t="shared" si="1"/>
        <v>BP Secured</v>
      </c>
      <c r="AQ36" s="10" t="b" cm="1">
        <f t="array" aca="1" ref="AQ36" ca="1">IF(AM36&gt;0,(TODAY()-AM36),IF(AL36&gt;0,(TODAY()-AL36),IF(AK36&gt;0,(TODAY()-AK36,IF(AI36&gt;0,(TODAY()-AI36),IF(AG36&gt;0,(TODAY()-AG36),IF(AF36&gt;0,(TODAY()-AF36),IF(X36&gt;0,(TODAY()-X36)," "))))))))</f>
        <v>0</v>
      </c>
      <c r="BD36" s="2" t="str">
        <f t="shared" si="2"/>
        <v>BP Secured</v>
      </c>
      <c r="BE36" s="2" t="e">
        <v>#VALUE!</v>
      </c>
      <c r="BG36" s="2" t="e">
        <v>#N/A</v>
      </c>
    </row>
    <row r="37" spans="2:60" hidden="1" x14ac:dyDescent="0.25">
      <c r="B37" s="2" t="s">
        <v>315</v>
      </c>
      <c r="C37" s="2" t="s">
        <v>316</v>
      </c>
      <c r="D37" s="44" t="s">
        <v>317</v>
      </c>
      <c r="E37" s="2" t="s">
        <v>11</v>
      </c>
      <c r="F37" s="2">
        <v>0</v>
      </c>
      <c r="G37" s="2" t="s">
        <v>1</v>
      </c>
      <c r="H37" s="2" t="s">
        <v>67</v>
      </c>
      <c r="I37" s="2" t="s">
        <v>68</v>
      </c>
      <c r="J37" s="2" t="s">
        <v>69</v>
      </c>
      <c r="K37" s="2" t="s">
        <v>70</v>
      </c>
      <c r="L37" s="2">
        <v>0</v>
      </c>
      <c r="M37" s="2">
        <v>0</v>
      </c>
      <c r="N37" s="2">
        <v>0</v>
      </c>
      <c r="O37" s="2">
        <v>0</v>
      </c>
      <c r="P37" s="2" t="s">
        <v>318</v>
      </c>
      <c r="Q37" s="2">
        <v>0</v>
      </c>
      <c r="R37" s="29" t="e">
        <f>IF(INDEX(#REF!,MATCH('data '!$B37,#REF!,0),MATCH('data '!R$3,#REF!,0))=0,"",INDEX(#REF!,MATCH('data '!$B37,#REF!,0),MATCH('data '!R$3,#REF!,0)))</f>
        <v>#REF!</v>
      </c>
      <c r="S37" s="29" t="e">
        <f>IF(INDEX(#REF!,MATCH('data '!$B37,#REF!,0),MATCH('data '!S$3,#REF!,0))=0,"",INDEX(#REF!,MATCH('data '!$B37,#REF!,0),MATCH('data '!S$3,#REF!,0)))</f>
        <v>#REF!</v>
      </c>
      <c r="T37" s="29" t="e">
        <f>IF(INDEX(#REF!,MATCH('data '!$B37,#REF!,0),MATCH('data '!T$3,#REF!,0))=0,"",INDEX(#REF!,MATCH('data '!$B37,#REF!,0),MATCH('data '!T$3,#REF!,0)))</f>
        <v>#REF!</v>
      </c>
      <c r="V37" s="25" t="s">
        <v>74</v>
      </c>
      <c r="W37" s="25">
        <v>0</v>
      </c>
      <c r="AC37" s="8" t="e">
        <f>VLOOKUP(B37,#REF!,19,0)</f>
        <v>#REF!</v>
      </c>
      <c r="AP37" s="8" t="str">
        <f t="shared" si="1"/>
        <v>Not yet endorsed</v>
      </c>
      <c r="AQ37" s="10" t="b" cm="1">
        <f t="array" aca="1" ref="AQ37" ca="1">IF(AM37&gt;0,(TODAY()-AM37),IF(AL37&gt;0,(TODAY()-AL37),IF(AK37&gt;0,(TODAY()-AK37,IF(AI37&gt;0,(TODAY()-AI37),IF(AG37&gt;0,(TODAY()-AG37),IF(AF37&gt;0,(TODAY()-AF37),IF(X37&gt;0,(TODAY()-X37)," "))))))))</f>
        <v>0</v>
      </c>
      <c r="BD37" s="2" t="str">
        <f t="shared" si="2"/>
        <v>Not yet endorsed</v>
      </c>
      <c r="BE37" s="2" t="s">
        <v>75</v>
      </c>
      <c r="BG37" s="2" t="e">
        <v>#N/A</v>
      </c>
    </row>
    <row r="38" spans="2:60" hidden="1" x14ac:dyDescent="0.25">
      <c r="B38" s="2" t="s">
        <v>319</v>
      </c>
      <c r="C38" s="2" t="s">
        <v>320</v>
      </c>
      <c r="D38" s="44" t="s">
        <v>321</v>
      </c>
      <c r="E38" s="2" t="s">
        <v>11</v>
      </c>
      <c r="F38" s="2">
        <v>0</v>
      </c>
      <c r="G38" s="2" t="s">
        <v>1</v>
      </c>
      <c r="H38" s="2" t="s">
        <v>67</v>
      </c>
      <c r="I38" s="2" t="s">
        <v>68</v>
      </c>
      <c r="J38" s="2" t="s">
        <v>69</v>
      </c>
      <c r="K38" s="2" t="s">
        <v>70</v>
      </c>
      <c r="L38" s="2">
        <v>0</v>
      </c>
      <c r="M38" s="2">
        <v>0</v>
      </c>
      <c r="N38" s="2">
        <v>0</v>
      </c>
      <c r="O38" s="2">
        <v>0</v>
      </c>
      <c r="P38" s="2" t="s">
        <v>82</v>
      </c>
      <c r="Q38" s="2">
        <v>0</v>
      </c>
      <c r="R38" s="29" t="e">
        <f>IF(INDEX(#REF!,MATCH('data '!$B38,#REF!,0),MATCH('data '!R$3,#REF!,0))=0,"",INDEX(#REF!,MATCH('data '!$B38,#REF!,0),MATCH('data '!R$3,#REF!,0)))</f>
        <v>#REF!</v>
      </c>
      <c r="S38" s="29" t="e">
        <f>IF(INDEX(#REF!,MATCH('data '!$B38,#REF!,0),MATCH('data '!S$3,#REF!,0))=0,"",INDEX(#REF!,MATCH('data '!$B38,#REF!,0),MATCH('data '!S$3,#REF!,0)))</f>
        <v>#REF!</v>
      </c>
      <c r="T38" s="29" t="e">
        <f>IF(INDEX(#REF!,MATCH('data '!$B38,#REF!,0),MATCH('data '!T$3,#REF!,0))=0,"",INDEX(#REF!,MATCH('data '!$B38,#REF!,0),MATCH('data '!T$3,#REF!,0)))</f>
        <v>#REF!</v>
      </c>
      <c r="V38" s="25" t="s">
        <v>82</v>
      </c>
      <c r="W38" s="25" t="s">
        <v>83</v>
      </c>
      <c r="AC38" s="8" t="e">
        <f>VLOOKUP(B38,#REF!,19,0)</f>
        <v>#REF!</v>
      </c>
      <c r="AP38" s="8" t="str">
        <f t="shared" si="1"/>
        <v>Not yet endorsed</v>
      </c>
      <c r="AQ38" s="10" t="b" cm="1">
        <f t="array" aca="1" ref="AQ38" ca="1">IF(AM38&gt;0,(TODAY()-AM38),IF(AL38&gt;0,(TODAY()-AL38),IF(AK38&gt;0,(TODAY()-AK38,IF(AI38&gt;0,(TODAY()-AI38),IF(AG38&gt;0,(TODAY()-AG38),IF(AF38&gt;0,(TODAY()-AF38),IF(X38&gt;0,(TODAY()-X38)," "))))))))</f>
        <v>0</v>
      </c>
      <c r="BD38" s="2" t="str">
        <f t="shared" si="2"/>
        <v>Not yet endorsed</v>
      </c>
      <c r="BE38" s="2" t="s">
        <v>75</v>
      </c>
      <c r="BG38" s="2" t="e">
        <v>#N/A</v>
      </c>
    </row>
    <row r="39" spans="2:60" hidden="1" x14ac:dyDescent="0.25">
      <c r="B39" s="2" t="s">
        <v>322</v>
      </c>
      <c r="C39" s="2" t="s">
        <v>323</v>
      </c>
      <c r="D39" s="44" t="s">
        <v>324</v>
      </c>
      <c r="E39" s="2" t="s">
        <v>11</v>
      </c>
      <c r="F39" s="2" t="s">
        <v>79</v>
      </c>
      <c r="G39" s="2" t="s">
        <v>1</v>
      </c>
      <c r="H39" s="2" t="s">
        <v>67</v>
      </c>
      <c r="I39" s="2" t="s">
        <v>68</v>
      </c>
      <c r="J39" s="2" t="s">
        <v>80</v>
      </c>
      <c r="K39" s="2" t="s">
        <v>81</v>
      </c>
      <c r="L39" s="2" t="s">
        <v>93</v>
      </c>
      <c r="M39" s="2" t="s">
        <v>325</v>
      </c>
      <c r="N39" s="2">
        <v>0</v>
      </c>
      <c r="O39" s="2">
        <v>0</v>
      </c>
      <c r="P39" s="2" t="s">
        <v>82</v>
      </c>
      <c r="Q39" s="2">
        <v>0</v>
      </c>
      <c r="R39" s="29" t="e">
        <f>IF(INDEX(#REF!,MATCH('data '!$B39,#REF!,0),MATCH('data '!R$3,#REF!,0))=0,"",INDEX(#REF!,MATCH('data '!$B39,#REF!,0),MATCH('data '!R$3,#REF!,0)))</f>
        <v>#REF!</v>
      </c>
      <c r="S39" s="29" t="e">
        <f>IF(INDEX(#REF!,MATCH('data '!$B39,#REF!,0),MATCH('data '!S$3,#REF!,0))=0,"",INDEX(#REF!,MATCH('data '!$B39,#REF!,0),MATCH('data '!S$3,#REF!,0)))</f>
        <v>#REF!</v>
      </c>
      <c r="T39" s="29" t="e">
        <f>IF(INDEX(#REF!,MATCH('data '!$B39,#REF!,0),MATCH('data '!T$3,#REF!,0))=0,"",INDEX(#REF!,MATCH('data '!$B39,#REF!,0),MATCH('data '!T$3,#REF!,0)))</f>
        <v>#REF!</v>
      </c>
      <c r="V39" s="25" t="s">
        <v>82</v>
      </c>
      <c r="W39" s="25" t="s">
        <v>83</v>
      </c>
      <c r="AC39" s="8" t="e">
        <f>VLOOKUP(B39,#REF!,19,0)</f>
        <v>#REF!</v>
      </c>
      <c r="AP39" s="8" t="str">
        <f t="shared" si="1"/>
        <v>Not yet endorsed</v>
      </c>
      <c r="AQ39" s="10" t="b" cm="1">
        <f t="array" aca="1" ref="AQ39" ca="1">IF(AM39&gt;0,(TODAY()-AM39),IF(AL39&gt;0,(TODAY()-AL39),IF(AK39&gt;0,(TODAY()-AK39,IF(AI39&gt;0,(TODAY()-AI39),IF(AG39&gt;0,(TODAY()-AG39),IF(AF39&gt;0,(TODAY()-AF39),IF(X39&gt;0,(TODAY()-X39)," "))))))))</f>
        <v>0</v>
      </c>
      <c r="BD39" s="2" t="str">
        <f t="shared" si="2"/>
        <v>Not yet endorsed</v>
      </c>
      <c r="BE39" s="2" t="s">
        <v>75</v>
      </c>
      <c r="BG39" s="2" t="e">
        <v>#N/A</v>
      </c>
    </row>
    <row r="40" spans="2:60" hidden="1" x14ac:dyDescent="0.25">
      <c r="B40" s="2" t="s">
        <v>326</v>
      </c>
      <c r="C40" s="2" t="s">
        <v>327</v>
      </c>
      <c r="D40" s="44" t="s">
        <v>328</v>
      </c>
      <c r="E40" s="2" t="s">
        <v>11</v>
      </c>
      <c r="F40" s="2" t="s">
        <v>329</v>
      </c>
      <c r="G40" s="2" t="s">
        <v>1</v>
      </c>
      <c r="H40" s="2" t="s">
        <v>67</v>
      </c>
      <c r="I40" s="2" t="s">
        <v>68</v>
      </c>
      <c r="J40" s="2" t="s">
        <v>330</v>
      </c>
      <c r="K40" s="2" t="s">
        <v>331</v>
      </c>
      <c r="L40" s="2" t="s">
        <v>332</v>
      </c>
      <c r="M40" s="2" t="s">
        <v>333</v>
      </c>
      <c r="N40" s="2">
        <v>0</v>
      </c>
      <c r="O40" s="2">
        <v>0</v>
      </c>
      <c r="P40" s="2" t="s">
        <v>82</v>
      </c>
      <c r="Q40" s="2" t="s">
        <v>73</v>
      </c>
      <c r="R40" s="29" t="e">
        <f>IF(INDEX(#REF!,MATCH('data '!$B40,#REF!,0),MATCH('data '!R$3,#REF!,0))=0,"",INDEX(#REF!,MATCH('data '!$B40,#REF!,0),MATCH('data '!R$3,#REF!,0)))</f>
        <v>#REF!</v>
      </c>
      <c r="S40" s="29" t="e">
        <f>IF(INDEX(#REF!,MATCH('data '!$B40,#REF!,0),MATCH('data '!S$3,#REF!,0))=0,"",INDEX(#REF!,MATCH('data '!$B40,#REF!,0),MATCH('data '!S$3,#REF!,0)))</f>
        <v>#REF!</v>
      </c>
      <c r="T40" s="29" t="e">
        <f>IF(INDEX(#REF!,MATCH('data '!$B40,#REF!,0),MATCH('data '!T$3,#REF!,0))=0,"",INDEX(#REF!,MATCH('data '!$B40,#REF!,0),MATCH('data '!T$3,#REF!,0)))</f>
        <v>#REF!</v>
      </c>
      <c r="U40" s="8" t="s">
        <v>25</v>
      </c>
      <c r="V40" s="25" t="s">
        <v>133</v>
      </c>
      <c r="W40" s="25" t="s">
        <v>134</v>
      </c>
      <c r="AC40" s="8" t="e">
        <f>VLOOKUP(B40,#REF!,19,0)</f>
        <v>#REF!</v>
      </c>
      <c r="AP40" s="8" t="str">
        <f t="shared" si="1"/>
        <v>Not yet endorsed</v>
      </c>
      <c r="AQ40" s="10" t="b" cm="1">
        <f t="array" aca="1" ref="AQ40" ca="1">IF(AM40&gt;0,(TODAY()-AM40),IF(AL40&gt;0,(TODAY()-AL40),IF(AK40&gt;0,(TODAY()-AK40,IF(AI40&gt;0,(TODAY()-AI40),IF(AG40&gt;0,(TODAY()-AG40),IF(AF40&gt;0,(TODAY()-AF40),IF(X40&gt;0,(TODAY()-X40)," "))))))))</f>
        <v>0</v>
      </c>
      <c r="BD40" s="2" t="str">
        <f t="shared" si="2"/>
        <v>TSSR Approved</v>
      </c>
      <c r="BE40" s="2" t="e">
        <v>#VALUE!</v>
      </c>
      <c r="BG40" s="2" t="e">
        <v>#N/A</v>
      </c>
    </row>
    <row r="41" spans="2:60" hidden="1" x14ac:dyDescent="0.25">
      <c r="B41" s="2" t="s">
        <v>334</v>
      </c>
      <c r="C41" s="2" t="s">
        <v>335</v>
      </c>
      <c r="D41" s="44" t="s">
        <v>336</v>
      </c>
      <c r="E41" s="2" t="s">
        <v>11</v>
      </c>
      <c r="F41" s="2" t="s">
        <v>337</v>
      </c>
      <c r="G41" s="2" t="s">
        <v>1</v>
      </c>
      <c r="H41" s="2" t="s">
        <v>67</v>
      </c>
      <c r="I41" s="2" t="s">
        <v>68</v>
      </c>
      <c r="J41" s="2" t="s">
        <v>330</v>
      </c>
      <c r="K41" s="2" t="s">
        <v>338</v>
      </c>
      <c r="L41" s="2" t="s">
        <v>339</v>
      </c>
      <c r="M41" s="2">
        <v>0</v>
      </c>
      <c r="N41" s="2">
        <v>0</v>
      </c>
      <c r="O41" s="2">
        <v>0</v>
      </c>
      <c r="P41" s="2" t="s">
        <v>72</v>
      </c>
      <c r="Q41" s="2" t="s">
        <v>73</v>
      </c>
      <c r="R41" s="29" t="e">
        <f>IF(INDEX(#REF!,MATCH('data '!$B41,#REF!,0),MATCH('data '!R$3,#REF!,0))=0,"",INDEX(#REF!,MATCH('data '!$B41,#REF!,0),MATCH('data '!R$3,#REF!,0)))</f>
        <v>#REF!</v>
      </c>
      <c r="S41" s="29" t="e">
        <f>IF(INDEX(#REF!,MATCH('data '!$B41,#REF!,0),MATCH('data '!S$3,#REF!,0))=0,"",INDEX(#REF!,MATCH('data '!$B41,#REF!,0),MATCH('data '!S$3,#REF!,0)))</f>
        <v>#REF!</v>
      </c>
      <c r="T41" s="29" t="e">
        <f>IF(INDEX(#REF!,MATCH('data '!$B41,#REF!,0),MATCH('data '!T$3,#REF!,0))=0,"",INDEX(#REF!,MATCH('data '!$B41,#REF!,0),MATCH('data '!T$3,#REF!,0)))</f>
        <v>#REF!</v>
      </c>
      <c r="V41" s="25" t="s">
        <v>74</v>
      </c>
      <c r="W41" s="25">
        <v>0</v>
      </c>
      <c r="AC41" s="8" t="e">
        <f>VLOOKUP(B41,#REF!,19,0)</f>
        <v>#REF!</v>
      </c>
      <c r="AP41" s="8" t="str">
        <f t="shared" si="1"/>
        <v>Not yet endorsed</v>
      </c>
      <c r="AQ41" s="10" t="b" cm="1">
        <f t="array" aca="1" ref="AQ41" ca="1">IF(AM41&gt;0,(TODAY()-AM41),IF(AL41&gt;0,(TODAY()-AL41),IF(AK41&gt;0,(TODAY()-AK41,IF(AI41&gt;0,(TODAY()-AI41),IF(AG41&gt;0,(TODAY()-AG41),IF(AF41&gt;0,(TODAY()-AF41),IF(X41&gt;0,(TODAY()-X41)," "))))))))</f>
        <v>0</v>
      </c>
      <c r="BD41" s="2" t="str">
        <f t="shared" si="2"/>
        <v>Not yet endorsed</v>
      </c>
      <c r="BE41" s="2" t="s">
        <v>75</v>
      </c>
      <c r="BG41" s="2" t="e">
        <v>#N/A</v>
      </c>
    </row>
    <row r="42" spans="2:60" hidden="1" x14ac:dyDescent="0.25">
      <c r="B42" s="2" t="s">
        <v>340</v>
      </c>
      <c r="C42" s="2" t="s">
        <v>341</v>
      </c>
      <c r="D42" s="44" t="s">
        <v>342</v>
      </c>
      <c r="E42" s="2" t="s">
        <v>6</v>
      </c>
      <c r="F42" s="2" t="s">
        <v>343</v>
      </c>
      <c r="G42" s="2" t="s">
        <v>1</v>
      </c>
      <c r="H42" s="2" t="s">
        <v>111</v>
      </c>
      <c r="I42" s="2" t="s">
        <v>112</v>
      </c>
      <c r="J42" s="2" t="s">
        <v>344</v>
      </c>
      <c r="K42" s="2" t="s">
        <v>345</v>
      </c>
      <c r="L42" s="2" t="s">
        <v>346</v>
      </c>
      <c r="M42" s="2">
        <v>0</v>
      </c>
      <c r="N42" s="2">
        <v>10.755647</v>
      </c>
      <c r="O42" s="2">
        <v>122.503708</v>
      </c>
      <c r="P42" s="2" t="s">
        <v>87</v>
      </c>
      <c r="Q42" s="2" t="s">
        <v>184</v>
      </c>
      <c r="R42" s="29" t="e">
        <f>IF(INDEX(#REF!,MATCH('data '!$B42,#REF!,0),MATCH('data '!R$3,#REF!,0))=0,"",INDEX(#REF!,MATCH('data '!$B42,#REF!,0),MATCH('data '!R$3,#REF!,0)))</f>
        <v>#REF!</v>
      </c>
      <c r="S42" s="29" t="e">
        <f>IF(INDEX(#REF!,MATCH('data '!$B42,#REF!,0),MATCH('data '!S$3,#REF!,0))=0,"",INDEX(#REF!,MATCH('data '!$B42,#REF!,0),MATCH('data '!S$3,#REF!,0)))</f>
        <v>#REF!</v>
      </c>
      <c r="T42" s="29" t="e">
        <f>IF(INDEX(#REF!,MATCH('data '!$B42,#REF!,0),MATCH('data '!T$3,#REF!,0))=0,"",INDEX(#REF!,MATCH('data '!$B42,#REF!,0),MATCH('data '!T$3,#REF!,0)))</f>
        <v>#REF!</v>
      </c>
      <c r="U42" s="8" t="s">
        <v>25</v>
      </c>
      <c r="V42" s="25" t="s">
        <v>266</v>
      </c>
      <c r="W42" s="25" t="s">
        <v>144</v>
      </c>
      <c r="X42" s="9" t="s">
        <v>25</v>
      </c>
      <c r="Y42" s="9">
        <v>45762</v>
      </c>
      <c r="AA42" s="8" t="s">
        <v>347</v>
      </c>
      <c r="AB42" s="8">
        <v>45818</v>
      </c>
      <c r="AC42" s="8" t="e">
        <f>VLOOKUP(B42,#REF!,19,0)</f>
        <v>#REF!</v>
      </c>
      <c r="AP42" s="8" t="str">
        <f t="shared" si="1"/>
        <v>BP Secured</v>
      </c>
      <c r="AQ42" s="10" t="b" cm="1">
        <f t="array" aca="1" ref="AQ42" ca="1">IF(AM42&gt;0,(TODAY()-AM42),IF(AL42&gt;0,(TODAY()-AL42),IF(AK42&gt;0,(TODAY()-AK42,IF(AI42&gt;0,(TODAY()-AI42),IF(AG42&gt;0,(TODAY()-AG42),IF(AF42&gt;0,(TODAY()-AF42),IF(X42&gt;0,(TODAY()-X42)," "))))))))</f>
        <v>0</v>
      </c>
      <c r="BD42" s="2" t="str">
        <f t="shared" si="2"/>
        <v>BP Secured</v>
      </c>
      <c r="BE42" s="2" t="e">
        <v>#VALUE!</v>
      </c>
      <c r="BG42" s="2" t="e">
        <v>#N/A</v>
      </c>
    </row>
    <row r="43" spans="2:60" hidden="1" x14ac:dyDescent="0.25">
      <c r="B43" s="2" t="s">
        <v>348</v>
      </c>
      <c r="C43" s="2" t="s">
        <v>349</v>
      </c>
      <c r="D43" s="44" t="s">
        <v>350</v>
      </c>
      <c r="E43" s="2" t="s">
        <v>11</v>
      </c>
      <c r="F43" s="2" t="s">
        <v>79</v>
      </c>
      <c r="G43" s="2" t="s">
        <v>1</v>
      </c>
      <c r="H43" s="2" t="s">
        <v>67</v>
      </c>
      <c r="I43" s="2" t="s">
        <v>68</v>
      </c>
      <c r="J43" s="2" t="s">
        <v>80</v>
      </c>
      <c r="K43" s="2" t="s">
        <v>196</v>
      </c>
      <c r="L43" s="2" t="s">
        <v>197</v>
      </c>
      <c r="M43" s="2">
        <v>0</v>
      </c>
      <c r="N43" s="2">
        <v>6.4240000000000004</v>
      </c>
      <c r="O43" s="2">
        <v>125.58450000000001</v>
      </c>
      <c r="P43" s="2" t="s">
        <v>87</v>
      </c>
      <c r="Q43" s="2" t="s">
        <v>219</v>
      </c>
      <c r="R43" s="29" t="e">
        <f>IF(INDEX(#REF!,MATCH('data '!$B43,#REF!,0),MATCH('data '!R$3,#REF!,0))=0,"",INDEX(#REF!,MATCH('data '!$B43,#REF!,0),MATCH('data '!R$3,#REF!,0)))</f>
        <v>#REF!</v>
      </c>
      <c r="S43" s="29" t="e">
        <f>IF(INDEX(#REF!,MATCH('data '!$B43,#REF!,0),MATCH('data '!S$3,#REF!,0))=0,"",INDEX(#REF!,MATCH('data '!$B43,#REF!,0),MATCH('data '!S$3,#REF!,0)))</f>
        <v>#REF!</v>
      </c>
      <c r="T43" s="29" t="e">
        <f>IF(INDEX(#REF!,MATCH('data '!$B43,#REF!,0),MATCH('data '!T$3,#REF!,0))=0,"",INDEX(#REF!,MATCH('data '!$B43,#REF!,0),MATCH('data '!T$3,#REF!,0)))</f>
        <v>#REF!</v>
      </c>
      <c r="V43" s="25" t="s">
        <v>351</v>
      </c>
      <c r="W43" s="25" t="s">
        <v>144</v>
      </c>
      <c r="X43" s="43" t="s">
        <v>25</v>
      </c>
      <c r="Y43" s="43">
        <v>45856</v>
      </c>
      <c r="AC43" s="8" t="e">
        <f>VLOOKUP(B43,#REF!,19,0)</f>
        <v>#REF!</v>
      </c>
      <c r="AE43" s="8" t="s">
        <v>307</v>
      </c>
      <c r="AP43" s="8" t="str">
        <f t="shared" si="1"/>
        <v>BP Secured</v>
      </c>
      <c r="AQ43" s="10" t="b" cm="1">
        <f t="array" aca="1" ref="AQ43" ca="1">IF(AM43&gt;0,(TODAY()-AM43),IF(AL43&gt;0,(TODAY()-AL43),IF(AK43&gt;0,(TODAY()-AK43,IF(AI43&gt;0,(TODAY()-AI43),IF(AG43&gt;0,(TODAY()-AG43),IF(AF43&gt;0,(TODAY()-AF43),IF(X43&gt;0,(TODAY()-X43)," "))))))))</f>
        <v>0</v>
      </c>
      <c r="AT43" s="8">
        <v>45923</v>
      </c>
      <c r="BD43" s="2" t="str">
        <f t="shared" si="2"/>
        <v>BoQ Submitted</v>
      </c>
      <c r="BE43" s="2">
        <v>17</v>
      </c>
      <c r="BG43" s="2" t="e">
        <v>#N/A</v>
      </c>
    </row>
    <row r="44" spans="2:60" hidden="1" x14ac:dyDescent="0.25">
      <c r="B44" s="2" t="s">
        <v>352</v>
      </c>
      <c r="C44" s="2" t="s">
        <v>353</v>
      </c>
      <c r="D44" s="44" t="s">
        <v>354</v>
      </c>
      <c r="E44" s="2" t="s">
        <v>11</v>
      </c>
      <c r="F44" s="2">
        <v>0</v>
      </c>
      <c r="G44" s="2" t="s">
        <v>1</v>
      </c>
      <c r="H44" s="2" t="s">
        <v>67</v>
      </c>
      <c r="I44" s="2" t="s">
        <v>68</v>
      </c>
      <c r="J44" s="2" t="s">
        <v>69</v>
      </c>
      <c r="K44" s="2" t="s">
        <v>70</v>
      </c>
      <c r="L44" s="2">
        <v>0</v>
      </c>
      <c r="M44" s="2">
        <v>0</v>
      </c>
      <c r="N44" s="2">
        <v>0</v>
      </c>
      <c r="O44" s="2">
        <v>0</v>
      </c>
      <c r="P44" s="2" t="s">
        <v>318</v>
      </c>
      <c r="Q44" s="2">
        <v>0</v>
      </c>
      <c r="R44" s="29" t="e">
        <f>IF(INDEX(#REF!,MATCH('data '!$B44,#REF!,0),MATCH('data '!R$3,#REF!,0))=0,"",INDEX(#REF!,MATCH('data '!$B44,#REF!,0),MATCH('data '!R$3,#REF!,0)))</f>
        <v>#REF!</v>
      </c>
      <c r="S44" s="29" t="e">
        <f>IF(INDEX(#REF!,MATCH('data '!$B44,#REF!,0),MATCH('data '!S$3,#REF!,0))=0,"",INDEX(#REF!,MATCH('data '!$B44,#REF!,0),MATCH('data '!S$3,#REF!,0)))</f>
        <v>#REF!</v>
      </c>
      <c r="T44" s="29" t="e">
        <f>IF(INDEX(#REF!,MATCH('data '!$B44,#REF!,0),MATCH('data '!T$3,#REF!,0))=0,"",INDEX(#REF!,MATCH('data '!$B44,#REF!,0),MATCH('data '!T$3,#REF!,0)))</f>
        <v>#REF!</v>
      </c>
      <c r="V44" s="25" t="s">
        <v>82</v>
      </c>
      <c r="W44" s="25" t="s">
        <v>83</v>
      </c>
      <c r="AC44" s="8" t="e">
        <f>VLOOKUP(B44,#REF!,19,0)</f>
        <v>#REF!</v>
      </c>
      <c r="AP44" s="8" t="str">
        <f t="shared" si="1"/>
        <v>Not yet endorsed</v>
      </c>
      <c r="AQ44" s="10" t="b" cm="1">
        <f t="array" aca="1" ref="AQ44" ca="1">IF(AM44&gt;0,(TODAY()-AM44),IF(AL44&gt;0,(TODAY()-AL44),IF(AK44&gt;0,(TODAY()-AK44,IF(AI44&gt;0,(TODAY()-AI44),IF(AG44&gt;0,(TODAY()-AG44),IF(AF44&gt;0,(TODAY()-AF44),IF(X44&gt;0,(TODAY()-X44)," "))))))))</f>
        <v>0</v>
      </c>
      <c r="BD44" s="2" t="str">
        <f t="shared" si="2"/>
        <v>Not yet endorsed</v>
      </c>
      <c r="BE44" s="2" t="s">
        <v>75</v>
      </c>
      <c r="BG44" s="2" t="e">
        <v>#N/A</v>
      </c>
    </row>
    <row r="45" spans="2:60" hidden="1" x14ac:dyDescent="0.25">
      <c r="B45" s="2" t="s">
        <v>355</v>
      </c>
      <c r="C45" s="2" t="s">
        <v>356</v>
      </c>
      <c r="D45" s="44" t="s">
        <v>357</v>
      </c>
      <c r="E45" s="2" t="s">
        <v>4</v>
      </c>
      <c r="F45" s="2" t="s">
        <v>358</v>
      </c>
      <c r="G45" s="2" t="s">
        <v>1</v>
      </c>
      <c r="H45" s="2" t="s">
        <v>139</v>
      </c>
      <c r="I45" s="2" t="s">
        <v>140</v>
      </c>
      <c r="J45" s="2" t="s">
        <v>122</v>
      </c>
      <c r="K45" s="2" t="s">
        <v>359</v>
      </c>
      <c r="L45" s="2" t="s">
        <v>360</v>
      </c>
      <c r="M45" s="2">
        <v>0</v>
      </c>
      <c r="N45" s="2">
        <v>15.678083640000001</v>
      </c>
      <c r="O45" s="2">
        <v>120.5423493</v>
      </c>
      <c r="P45" s="2" t="s">
        <v>87</v>
      </c>
      <c r="Q45" s="2" t="s">
        <v>265</v>
      </c>
      <c r="R45" s="29" t="e">
        <f>IF(INDEX(#REF!,MATCH('data '!$B45,#REF!,0),MATCH('data '!R$3,#REF!,0))=0,"",INDEX(#REF!,MATCH('data '!$B45,#REF!,0),MATCH('data '!R$3,#REF!,0)))</f>
        <v>#REF!</v>
      </c>
      <c r="S45" s="29" t="e">
        <f>IF(INDEX(#REF!,MATCH('data '!$B45,#REF!,0),MATCH('data '!S$3,#REF!,0))=0,"",INDEX(#REF!,MATCH('data '!$B45,#REF!,0),MATCH('data '!S$3,#REF!,0)))</f>
        <v>#REF!</v>
      </c>
      <c r="T45" s="29" t="e">
        <f>IF(INDEX(#REF!,MATCH('data '!$B45,#REF!,0),MATCH('data '!T$3,#REF!,0))=0,"",INDEX(#REF!,MATCH('data '!$B45,#REF!,0),MATCH('data '!T$3,#REF!,0)))</f>
        <v>#REF!</v>
      </c>
      <c r="U45" s="8" t="s">
        <v>25</v>
      </c>
      <c r="V45" s="25" t="s">
        <v>266</v>
      </c>
      <c r="W45" s="25" t="s">
        <v>144</v>
      </c>
      <c r="X45" s="9" t="s">
        <v>25</v>
      </c>
      <c r="Y45" s="9">
        <v>45807</v>
      </c>
      <c r="Z45" s="8">
        <v>45967</v>
      </c>
      <c r="AA45" s="8">
        <v>45785</v>
      </c>
      <c r="AB45" s="8">
        <v>45933</v>
      </c>
      <c r="AC45" s="8" t="e">
        <f>VLOOKUP(B45,#REF!,19,0)</f>
        <v>#REF!</v>
      </c>
      <c r="AE45" s="8" t="s">
        <v>361</v>
      </c>
      <c r="AF45" s="8">
        <v>45814</v>
      </c>
      <c r="AH45" s="8" t="s">
        <v>362</v>
      </c>
      <c r="AP45" s="8" t="str">
        <f t="shared" si="1"/>
        <v>Vendor Allocated</v>
      </c>
      <c r="AQ45" s="10" t="b" cm="1">
        <f t="array" aca="1" ref="AQ45" ca="1">IF(AM45&gt;0,(TODAY()-AM45),IF(AL45&gt;0,(TODAY()-AL45),IF(AK45&gt;0,(TODAY()-AK45,IF(AI45&gt;0,(TODAY()-AI45),IF(AG45&gt;0,(TODAY()-AG45),IF(AF45&gt;0,(TODAY()-AF45),IF(X45&gt;0,(TODAY()-X45)," "))))))))</f>
        <v>0</v>
      </c>
      <c r="AT45" s="8">
        <v>45950</v>
      </c>
      <c r="AU45" s="8">
        <v>45967</v>
      </c>
      <c r="AV45" s="8">
        <v>45967</v>
      </c>
      <c r="AW45" s="8" t="s">
        <v>363</v>
      </c>
      <c r="AX45" s="8">
        <v>45968</v>
      </c>
      <c r="AY45" s="8" t="s">
        <v>364</v>
      </c>
      <c r="AZ45" s="8">
        <v>45988</v>
      </c>
      <c r="BD45" s="2" t="str">
        <f t="shared" si="2"/>
        <v>Line Construction Started</v>
      </c>
      <c r="BE45" s="2">
        <v>126</v>
      </c>
      <c r="BF45" s="2" t="s">
        <v>365</v>
      </c>
      <c r="BG45" s="2" t="e">
        <v>#N/A</v>
      </c>
    </row>
    <row r="46" spans="2:60" hidden="1" x14ac:dyDescent="0.25">
      <c r="B46" s="26" t="s">
        <v>366</v>
      </c>
      <c r="C46" s="26" t="s">
        <v>367</v>
      </c>
      <c r="D46" s="46" t="s">
        <v>368</v>
      </c>
      <c r="E46" s="2" t="s">
        <v>5</v>
      </c>
      <c r="F46" s="2" t="s">
        <v>369</v>
      </c>
      <c r="G46" s="2" t="s">
        <v>1</v>
      </c>
      <c r="H46" s="2" t="s">
        <v>120</v>
      </c>
      <c r="I46" s="2" t="s">
        <v>140</v>
      </c>
      <c r="J46" s="2" t="s">
        <v>141</v>
      </c>
      <c r="K46" s="2" t="s">
        <v>370</v>
      </c>
      <c r="L46" s="2" t="s">
        <v>371</v>
      </c>
      <c r="M46" s="2" t="s">
        <v>372</v>
      </c>
      <c r="N46" s="2">
        <v>16.128799999999998</v>
      </c>
      <c r="O46" s="2">
        <v>120.533</v>
      </c>
      <c r="P46" s="2" t="s">
        <v>87</v>
      </c>
      <c r="Q46" s="2" t="s">
        <v>314</v>
      </c>
      <c r="R46" s="29" t="e">
        <f>IF(INDEX(#REF!,MATCH('data '!$B46,#REF!,0),MATCH('data '!R$3,#REF!,0))=0,"",INDEX(#REF!,MATCH('data '!$B46,#REF!,0),MATCH('data '!R$3,#REF!,0)))</f>
        <v>#REF!</v>
      </c>
      <c r="S46" s="29" t="e">
        <f>IF(INDEX(#REF!,MATCH('data '!$B46,#REF!,0),MATCH('data '!S$3,#REF!,0))=0,"",INDEX(#REF!,MATCH('data '!$B46,#REF!,0),MATCH('data '!S$3,#REF!,0)))</f>
        <v>#REF!</v>
      </c>
      <c r="T46" s="29" t="e">
        <f>IF(INDEX(#REF!,MATCH('data '!$B46,#REF!,0),MATCH('data '!T$3,#REF!,0))=0,"",INDEX(#REF!,MATCH('data '!$B46,#REF!,0),MATCH('data '!T$3,#REF!,0)))</f>
        <v>#REF!</v>
      </c>
      <c r="U46" s="8" t="s">
        <v>25</v>
      </c>
      <c r="V46" s="25" t="s">
        <v>87</v>
      </c>
      <c r="W46" s="25" t="s">
        <v>144</v>
      </c>
      <c r="X46" s="9" t="s">
        <v>25</v>
      </c>
      <c r="Y46" s="9">
        <v>45897</v>
      </c>
      <c r="AC46" s="8" t="e">
        <f>VLOOKUP(B46,#REF!,19,0)</f>
        <v>#REF!</v>
      </c>
      <c r="AE46" s="8" t="s">
        <v>295</v>
      </c>
      <c r="AF46" s="8">
        <v>45908</v>
      </c>
      <c r="AG46" s="8">
        <v>45908</v>
      </c>
      <c r="AH46" s="8" t="s">
        <v>373</v>
      </c>
      <c r="AI46" s="8">
        <v>45909</v>
      </c>
      <c r="AJ46" s="8" t="s">
        <v>374</v>
      </c>
      <c r="AK46" s="8">
        <v>45916</v>
      </c>
      <c r="AL46" s="8">
        <v>45930</v>
      </c>
      <c r="AP46" s="8" t="str">
        <f t="shared" si="1"/>
        <v>Tempo Permit Released</v>
      </c>
      <c r="AR46" s="10" t="s">
        <v>375</v>
      </c>
      <c r="AS46" s="8" t="s">
        <v>376</v>
      </c>
      <c r="AT46" s="8">
        <v>45922</v>
      </c>
      <c r="AU46" s="8">
        <v>45924</v>
      </c>
      <c r="AV46" s="8">
        <v>45936</v>
      </c>
      <c r="AW46" s="8" t="s">
        <v>377</v>
      </c>
      <c r="AX46" s="8">
        <v>45939</v>
      </c>
      <c r="AY46" s="8" t="s">
        <v>378</v>
      </c>
      <c r="BD46" s="2" t="str">
        <f t="shared" si="2"/>
        <v>PO Issued</v>
      </c>
      <c r="BE46" s="2">
        <v>4</v>
      </c>
      <c r="BG46" s="2" t="e">
        <v>#N/A</v>
      </c>
      <c r="BH46" s="2" t="e" vm="1">
        <v>#REF!</v>
      </c>
    </row>
    <row r="47" spans="2:60" hidden="1" x14ac:dyDescent="0.25">
      <c r="B47" s="2" t="s">
        <v>379</v>
      </c>
      <c r="C47" s="2" t="s">
        <v>380</v>
      </c>
      <c r="D47" s="44" t="s">
        <v>381</v>
      </c>
      <c r="E47" s="2" t="s">
        <v>5</v>
      </c>
      <c r="F47" s="2" t="s">
        <v>382</v>
      </c>
      <c r="G47" s="2" t="s">
        <v>1</v>
      </c>
      <c r="H47" s="2" t="s">
        <v>120</v>
      </c>
      <c r="I47" s="2" t="s">
        <v>140</v>
      </c>
      <c r="J47" s="2" t="s">
        <v>141</v>
      </c>
      <c r="K47" s="2" t="s">
        <v>370</v>
      </c>
      <c r="L47" s="2" t="s">
        <v>75</v>
      </c>
      <c r="M47" s="2">
        <v>0</v>
      </c>
      <c r="N47" s="2">
        <v>15.804399999999999</v>
      </c>
      <c r="O47" s="2">
        <v>120.34520000000001</v>
      </c>
      <c r="P47" s="2" t="s">
        <v>87</v>
      </c>
      <c r="Q47" s="2" t="s">
        <v>219</v>
      </c>
      <c r="R47" s="29" t="e">
        <f>IF(INDEX(#REF!,MATCH('data '!$B47,#REF!,0),MATCH('data '!R$3,#REF!,0))=0,"",INDEX(#REF!,MATCH('data '!$B47,#REF!,0),MATCH('data '!R$3,#REF!,0)))</f>
        <v>#REF!</v>
      </c>
      <c r="S47" s="29" t="e">
        <f>IF(INDEX(#REF!,MATCH('data '!$B47,#REF!,0),MATCH('data '!S$3,#REF!,0))=0,"",INDEX(#REF!,MATCH('data '!$B47,#REF!,0),MATCH('data '!S$3,#REF!,0)))</f>
        <v>#REF!</v>
      </c>
      <c r="T47" s="29" t="e">
        <f>IF(INDEX(#REF!,MATCH('data '!$B47,#REF!,0),MATCH('data '!T$3,#REF!,0))=0,"",INDEX(#REF!,MATCH('data '!$B47,#REF!,0),MATCH('data '!T$3,#REF!,0)))</f>
        <v>#REF!</v>
      </c>
      <c r="U47" s="8" t="s">
        <v>25</v>
      </c>
      <c r="V47" s="25" t="s">
        <v>383</v>
      </c>
      <c r="W47" s="25" t="s">
        <v>144</v>
      </c>
      <c r="X47" s="9" t="s">
        <v>25</v>
      </c>
      <c r="Y47" s="9">
        <v>45860</v>
      </c>
      <c r="AC47" s="8" t="e">
        <f>VLOOKUP(B47,#REF!,19,0)</f>
        <v>#REF!</v>
      </c>
      <c r="AE47" s="8" t="s">
        <v>295</v>
      </c>
      <c r="AF47" s="8">
        <v>45908</v>
      </c>
      <c r="AG47" s="8">
        <v>45908</v>
      </c>
      <c r="AH47" s="8" t="s">
        <v>373</v>
      </c>
      <c r="AI47" s="8">
        <v>45909</v>
      </c>
      <c r="AJ47" s="8" t="s">
        <v>374</v>
      </c>
      <c r="AK47" s="8">
        <v>45916</v>
      </c>
      <c r="AL47" s="11">
        <v>45923</v>
      </c>
      <c r="AM47" s="8">
        <v>45947</v>
      </c>
      <c r="AP47" s="8" t="str">
        <f t="shared" si="1"/>
        <v>Tempo Energized</v>
      </c>
      <c r="AS47" s="27" t="s">
        <v>384</v>
      </c>
      <c r="AT47" s="8">
        <v>45915</v>
      </c>
      <c r="AU47" s="8">
        <v>45924</v>
      </c>
      <c r="AV47" s="8">
        <v>45936</v>
      </c>
      <c r="AW47" s="8" t="s">
        <v>377</v>
      </c>
      <c r="AX47" s="8">
        <v>45939</v>
      </c>
      <c r="AY47" s="8" t="s">
        <v>378</v>
      </c>
      <c r="AZ47" s="8">
        <v>45940</v>
      </c>
      <c r="BA47" s="8">
        <v>45945</v>
      </c>
      <c r="BD47" s="2" t="str">
        <f t="shared" si="2"/>
        <v>Line Construction Completed</v>
      </c>
      <c r="BE47" s="2">
        <v>4</v>
      </c>
      <c r="BG47" s="2" t="e">
        <v>#N/A</v>
      </c>
      <c r="BH47" s="2" t="e" vm="1">
        <v>#REF!</v>
      </c>
    </row>
    <row r="48" spans="2:60" hidden="1" x14ac:dyDescent="0.25">
      <c r="B48" s="2" t="s">
        <v>385</v>
      </c>
      <c r="C48" s="2" t="s">
        <v>386</v>
      </c>
      <c r="D48" s="44" t="s">
        <v>387</v>
      </c>
      <c r="E48" s="2" t="s">
        <v>5</v>
      </c>
      <c r="F48" s="2" t="s">
        <v>382</v>
      </c>
      <c r="G48" s="2" t="s">
        <v>1</v>
      </c>
      <c r="H48" s="2" t="s">
        <v>120</v>
      </c>
      <c r="I48" s="2" t="s">
        <v>140</v>
      </c>
      <c r="J48" s="2" t="s">
        <v>141</v>
      </c>
      <c r="K48" s="2" t="s">
        <v>370</v>
      </c>
      <c r="L48" s="2" t="s">
        <v>388</v>
      </c>
      <c r="M48" s="2">
        <v>0</v>
      </c>
      <c r="N48" s="2">
        <v>0</v>
      </c>
      <c r="O48" s="2">
        <v>0</v>
      </c>
      <c r="P48" s="2" t="s">
        <v>248</v>
      </c>
      <c r="Q48" s="2" t="s">
        <v>73</v>
      </c>
      <c r="R48" s="29" t="e">
        <f>IF(INDEX(#REF!,MATCH('data '!$B48,#REF!,0),MATCH('data '!R$3,#REF!,0))=0,"",INDEX(#REF!,MATCH('data '!$B48,#REF!,0),MATCH('data '!R$3,#REF!,0)))</f>
        <v>#REF!</v>
      </c>
      <c r="S48" s="29" t="e">
        <f>IF(INDEX(#REF!,MATCH('data '!$B48,#REF!,0),MATCH('data '!S$3,#REF!,0))=0,"",INDEX(#REF!,MATCH('data '!$B48,#REF!,0),MATCH('data '!S$3,#REF!,0)))</f>
        <v>#REF!</v>
      </c>
      <c r="T48" s="29" t="e">
        <f>IF(INDEX(#REF!,MATCH('data '!$B48,#REF!,0),MATCH('data '!T$3,#REF!,0))=0,"",INDEX(#REF!,MATCH('data '!$B48,#REF!,0),MATCH('data '!T$3,#REF!,0)))</f>
        <v>#REF!</v>
      </c>
      <c r="U48" s="8" t="s">
        <v>25</v>
      </c>
      <c r="V48" s="25" t="s">
        <v>82</v>
      </c>
      <c r="W48" s="25" t="s">
        <v>83</v>
      </c>
      <c r="AC48" s="8" t="e">
        <f>VLOOKUP(B48,#REF!,19,0)</f>
        <v>#REF!</v>
      </c>
      <c r="AE48" s="8" t="s">
        <v>389</v>
      </c>
      <c r="AP48" s="8" t="str">
        <f t="shared" si="1"/>
        <v>Not yet endorsed</v>
      </c>
      <c r="AQ48" s="10" t="b" cm="1">
        <f t="array" aca="1" ref="AQ48" ca="1">IF(AM48&gt;0,(TODAY()-AM48),IF(AL48&gt;0,(TODAY()-AL48),IF(AK48&gt;0,(TODAY()-AK48,IF(AI48&gt;0,(TODAY()-AI48),IF(AG48&gt;0,(TODAY()-AG48),IF(AF48&gt;0,(TODAY()-AF48),IF(X48&gt;0,(TODAY()-X48)," "))))))))</f>
        <v>0</v>
      </c>
      <c r="BD48" s="2" t="str">
        <f t="shared" si="2"/>
        <v>TSSR Approved</v>
      </c>
      <c r="BE48" s="2" t="e">
        <v>#VALUE!</v>
      </c>
      <c r="BG48" s="2" t="e">
        <v>#N/A</v>
      </c>
      <c r="BH48" s="2" t="e" vm="1">
        <v>#REF!</v>
      </c>
    </row>
    <row r="49" spans="1:60" hidden="1" x14ac:dyDescent="0.25">
      <c r="B49" s="2" t="s">
        <v>390</v>
      </c>
      <c r="C49" s="2" t="s">
        <v>391</v>
      </c>
      <c r="D49" s="44" t="s">
        <v>392</v>
      </c>
      <c r="E49" s="2" t="s">
        <v>5</v>
      </c>
      <c r="F49" s="2" t="s">
        <v>382</v>
      </c>
      <c r="G49" s="2" t="s">
        <v>1</v>
      </c>
      <c r="H49" s="2" t="s">
        <v>120</v>
      </c>
      <c r="I49" s="2" t="s">
        <v>140</v>
      </c>
      <c r="J49" s="2" t="s">
        <v>141</v>
      </c>
      <c r="K49" s="2" t="s">
        <v>370</v>
      </c>
      <c r="L49" s="2" t="s">
        <v>393</v>
      </c>
      <c r="M49" s="2">
        <v>0</v>
      </c>
      <c r="N49" s="2">
        <v>0</v>
      </c>
      <c r="O49" s="2">
        <v>0</v>
      </c>
      <c r="P49" s="2" t="s">
        <v>125</v>
      </c>
      <c r="Q49" s="2" t="s">
        <v>73</v>
      </c>
      <c r="R49" s="29" t="e">
        <f>IF(INDEX(#REF!,MATCH('data '!$B49,#REF!,0),MATCH('data '!R$3,#REF!,0))=0,"",INDEX(#REF!,MATCH('data '!$B49,#REF!,0),MATCH('data '!R$3,#REF!,0)))</f>
        <v>#REF!</v>
      </c>
      <c r="S49" s="29" t="e">
        <f>IF(INDEX(#REF!,MATCH('data '!$B49,#REF!,0),MATCH('data '!S$3,#REF!,0))=0,"",INDEX(#REF!,MATCH('data '!$B49,#REF!,0),MATCH('data '!S$3,#REF!,0)))</f>
        <v>#REF!</v>
      </c>
      <c r="T49" s="29" t="e">
        <f>IF(INDEX(#REF!,MATCH('data '!$B49,#REF!,0),MATCH('data '!T$3,#REF!,0))=0,"",INDEX(#REF!,MATCH('data '!$B49,#REF!,0),MATCH('data '!T$3,#REF!,0)))</f>
        <v>#REF!</v>
      </c>
      <c r="U49" s="8" t="s">
        <v>25</v>
      </c>
      <c r="V49" s="25" t="s">
        <v>204</v>
      </c>
      <c r="W49" s="25">
        <v>0</v>
      </c>
      <c r="AC49" s="8" t="e">
        <f>VLOOKUP(B49,#REF!,19,0)</f>
        <v>#REF!</v>
      </c>
      <c r="AE49" s="8" t="s">
        <v>389</v>
      </c>
      <c r="AP49" s="8" t="str">
        <f t="shared" si="1"/>
        <v>Not yet endorsed</v>
      </c>
      <c r="AQ49" s="10" t="b" cm="1">
        <f t="array" aca="1" ref="AQ49" ca="1">IF(AM49&gt;0,(TODAY()-AM49),IF(AL49&gt;0,(TODAY()-AL49),IF(AK49&gt;0,(TODAY()-AK49,IF(AI49&gt;0,(TODAY()-AI49),IF(AG49&gt;0,(TODAY()-AG49),IF(AF49&gt;0,(TODAY()-AF49),IF(X49&gt;0,(TODAY()-X49)," "))))))))</f>
        <v>0</v>
      </c>
      <c r="BD49" s="2" t="str">
        <f t="shared" si="2"/>
        <v>TSSR Approved</v>
      </c>
      <c r="BE49" s="2" t="e">
        <v>#VALUE!</v>
      </c>
      <c r="BG49" s="2" t="e">
        <v>#N/A</v>
      </c>
      <c r="BH49" s="2" t="e" vm="1">
        <v>#REF!</v>
      </c>
    </row>
    <row r="50" spans="1:60" hidden="1" x14ac:dyDescent="0.25">
      <c r="B50" s="2" t="s">
        <v>394</v>
      </c>
      <c r="C50" s="2" t="s">
        <v>395</v>
      </c>
      <c r="D50" s="44" t="s">
        <v>396</v>
      </c>
      <c r="E50" s="2" t="s">
        <v>3</v>
      </c>
      <c r="F50" s="2" t="s">
        <v>138</v>
      </c>
      <c r="G50" s="2" t="s">
        <v>1</v>
      </c>
      <c r="H50" s="2" t="s">
        <v>139</v>
      </c>
      <c r="I50" s="2" t="s">
        <v>140</v>
      </c>
      <c r="J50" s="2" t="s">
        <v>141</v>
      </c>
      <c r="K50" s="2" t="s">
        <v>142</v>
      </c>
      <c r="L50" s="7" t="s">
        <v>397</v>
      </c>
      <c r="M50" s="2">
        <v>0</v>
      </c>
      <c r="N50" s="2">
        <v>17.771899999999999</v>
      </c>
      <c r="O50" s="2">
        <v>120.4606</v>
      </c>
      <c r="P50" s="2" t="s">
        <v>87</v>
      </c>
      <c r="Q50" s="2" t="s">
        <v>227</v>
      </c>
      <c r="R50" s="29" t="e">
        <f>IF(INDEX(#REF!,MATCH('data '!$B50,#REF!,0),MATCH('data '!R$3,#REF!,0))=0,"",INDEX(#REF!,MATCH('data '!$B50,#REF!,0),MATCH('data '!R$3,#REF!,0)))</f>
        <v>#REF!</v>
      </c>
      <c r="S50" s="29" t="e">
        <f>IF(INDEX(#REF!,MATCH('data '!$B50,#REF!,0),MATCH('data '!S$3,#REF!,0))=0,"",INDEX(#REF!,MATCH('data '!$B50,#REF!,0),MATCH('data '!S$3,#REF!,0)))</f>
        <v>#REF!</v>
      </c>
      <c r="T50" s="29" t="e">
        <f>IF(INDEX(#REF!,MATCH('data '!$B50,#REF!,0),MATCH('data '!T$3,#REF!,0))=0,"",INDEX(#REF!,MATCH('data '!$B50,#REF!,0),MATCH('data '!T$3,#REF!,0)))</f>
        <v>#REF!</v>
      </c>
      <c r="V50" s="25" t="s">
        <v>383</v>
      </c>
      <c r="W50" s="25" t="s">
        <v>144</v>
      </c>
      <c r="X50" s="9" t="s">
        <v>25</v>
      </c>
      <c r="Y50" s="9">
        <v>45897</v>
      </c>
      <c r="AC50" s="8" t="e">
        <f>VLOOKUP(B50,#REF!,19,0)</f>
        <v>#REF!</v>
      </c>
      <c r="AE50" s="8" t="s">
        <v>145</v>
      </c>
      <c r="AF50" s="8">
        <v>45908</v>
      </c>
      <c r="AG50" s="8">
        <v>45908</v>
      </c>
      <c r="AH50" s="8" t="s">
        <v>398</v>
      </c>
      <c r="AI50" s="8">
        <v>45909</v>
      </c>
      <c r="AJ50" s="8" t="s">
        <v>399</v>
      </c>
      <c r="AK50" s="8">
        <v>45916</v>
      </c>
      <c r="AL50" s="8">
        <v>45959</v>
      </c>
      <c r="AM50" s="8">
        <v>45961</v>
      </c>
      <c r="AP50" s="8" t="str">
        <f t="shared" si="1"/>
        <v>Tempo Energized</v>
      </c>
      <c r="AS50" s="8" t="s">
        <v>400</v>
      </c>
      <c r="AT50" s="8">
        <v>45940</v>
      </c>
      <c r="AU50" s="8">
        <v>45980</v>
      </c>
      <c r="AV50" s="8">
        <v>45980</v>
      </c>
      <c r="AW50" s="8" t="s">
        <v>401</v>
      </c>
      <c r="AX50" s="8">
        <v>45982</v>
      </c>
      <c r="AY50" s="8" t="s">
        <v>402</v>
      </c>
      <c r="BD50" s="2" t="str">
        <f t="shared" si="2"/>
        <v>PO Issued</v>
      </c>
      <c r="BE50" s="2">
        <v>8</v>
      </c>
      <c r="BG50" s="2" t="e">
        <v>#N/A</v>
      </c>
      <c r="BH50" s="2" t="e" vm="1">
        <v>#REF!</v>
      </c>
    </row>
    <row r="51" spans="1:60" hidden="1" x14ac:dyDescent="0.25">
      <c r="B51" s="2" t="s">
        <v>403</v>
      </c>
      <c r="C51" s="2" t="s">
        <v>404</v>
      </c>
      <c r="D51" s="44" t="s">
        <v>405</v>
      </c>
      <c r="E51" s="2" t="s">
        <v>3</v>
      </c>
      <c r="F51" s="2" t="s">
        <v>138</v>
      </c>
      <c r="G51" s="2" t="s">
        <v>1</v>
      </c>
      <c r="H51" s="2" t="s">
        <v>139</v>
      </c>
      <c r="I51" s="2" t="s">
        <v>140</v>
      </c>
      <c r="J51" s="2" t="s">
        <v>141</v>
      </c>
      <c r="K51" s="2" t="s">
        <v>142</v>
      </c>
      <c r="L51" s="2" t="s">
        <v>406</v>
      </c>
      <c r="M51" s="2">
        <v>0</v>
      </c>
      <c r="N51" s="2">
        <v>0</v>
      </c>
      <c r="O51" s="2">
        <v>0</v>
      </c>
      <c r="P51" s="2" t="s">
        <v>407</v>
      </c>
      <c r="Q51" s="2" t="s">
        <v>73</v>
      </c>
      <c r="R51" s="29" t="e">
        <f>IF(INDEX(#REF!,MATCH('data '!$B51,#REF!,0),MATCH('data '!R$3,#REF!,0))=0,"",INDEX(#REF!,MATCH('data '!$B51,#REF!,0),MATCH('data '!R$3,#REF!,0)))</f>
        <v>#REF!</v>
      </c>
      <c r="S51" s="29" t="e">
        <f>IF(INDEX(#REF!,MATCH('data '!$B51,#REF!,0),MATCH('data '!S$3,#REF!,0))=0,"",INDEX(#REF!,MATCH('data '!$B51,#REF!,0),MATCH('data '!S$3,#REF!,0)))</f>
        <v>#REF!</v>
      </c>
      <c r="T51" s="29" t="e">
        <f>IF(INDEX(#REF!,MATCH('data '!$B51,#REF!,0),MATCH('data '!T$3,#REF!,0))=0,"",INDEX(#REF!,MATCH('data '!$B51,#REF!,0),MATCH('data '!T$3,#REF!,0)))</f>
        <v>#REF!</v>
      </c>
      <c r="V51" s="25" t="s">
        <v>125</v>
      </c>
      <c r="W51" s="25">
        <v>0</v>
      </c>
      <c r="AC51" s="8" t="e">
        <f>VLOOKUP(B51,#REF!,19,0)</f>
        <v>#REF!</v>
      </c>
      <c r="AP51" s="8" t="str">
        <f t="shared" si="1"/>
        <v>Not yet endorsed</v>
      </c>
      <c r="AQ51" s="10" t="b" cm="1">
        <f t="array" aca="1" ref="AQ51" ca="1">IF(AM51&gt;0,(TODAY()-AM51),IF(AL51&gt;0,(TODAY()-AL51),IF(AK51&gt;0,(TODAY()-AK51,IF(AI51&gt;0,(TODAY()-AI51),IF(AG51&gt;0,(TODAY()-AG51),IF(AF51&gt;0,(TODAY()-AF51),IF(X51&gt;0,(TODAY()-X51)," "))))))))</f>
        <v>0</v>
      </c>
      <c r="BD51" s="2" t="str">
        <f t="shared" si="2"/>
        <v>Not yet endorsed</v>
      </c>
      <c r="BE51" s="2" t="s">
        <v>75</v>
      </c>
      <c r="BG51" s="2" t="e">
        <v>#N/A</v>
      </c>
      <c r="BH51" s="2" t="e" vm="1">
        <v>#REF!</v>
      </c>
    </row>
    <row r="52" spans="1:60" hidden="1" x14ac:dyDescent="0.25">
      <c r="B52" s="2" t="s">
        <v>408</v>
      </c>
      <c r="C52" s="2" t="s">
        <v>409</v>
      </c>
      <c r="D52" s="44" t="s">
        <v>410</v>
      </c>
      <c r="E52" s="2" t="s">
        <v>6</v>
      </c>
      <c r="F52" s="2">
        <v>0</v>
      </c>
      <c r="G52" s="2" t="s">
        <v>1</v>
      </c>
      <c r="H52" s="2" t="s">
        <v>111</v>
      </c>
      <c r="I52" s="2" t="s">
        <v>112</v>
      </c>
      <c r="J52" s="2" t="s">
        <v>113</v>
      </c>
      <c r="K52" s="2" t="s">
        <v>411</v>
      </c>
      <c r="L52" s="2">
        <v>0</v>
      </c>
      <c r="M52" s="2">
        <v>0</v>
      </c>
      <c r="N52" s="2">
        <v>0</v>
      </c>
      <c r="O52" s="2">
        <v>0</v>
      </c>
      <c r="P52" s="2" t="s">
        <v>204</v>
      </c>
      <c r="Q52" s="2">
        <v>0</v>
      </c>
      <c r="R52" s="29" t="e">
        <f>IF(INDEX(#REF!,MATCH('data '!$B52,#REF!,0),MATCH('data '!R$3,#REF!,0))=0,"",INDEX(#REF!,MATCH('data '!$B52,#REF!,0),MATCH('data '!R$3,#REF!,0)))</f>
        <v>#REF!</v>
      </c>
      <c r="S52" s="29" t="e">
        <f>IF(INDEX(#REF!,MATCH('data '!$B52,#REF!,0),MATCH('data '!S$3,#REF!,0))=0,"",INDEX(#REF!,MATCH('data '!$B52,#REF!,0),MATCH('data '!S$3,#REF!,0)))</f>
        <v>#REF!</v>
      </c>
      <c r="T52" s="29" t="e">
        <f>IF(INDEX(#REF!,MATCH('data '!$B52,#REF!,0),MATCH('data '!T$3,#REF!,0))=0,"",INDEX(#REF!,MATCH('data '!$B52,#REF!,0),MATCH('data '!T$3,#REF!,0)))</f>
        <v>#REF!</v>
      </c>
      <c r="V52" s="25" t="s">
        <v>88</v>
      </c>
      <c r="W52" s="25" t="s">
        <v>89</v>
      </c>
      <c r="AC52" s="8" t="e">
        <f>VLOOKUP(B52,#REF!,19,0)</f>
        <v>#REF!</v>
      </c>
      <c r="AP52" s="8" t="str">
        <f t="shared" si="1"/>
        <v>Not yet endorsed</v>
      </c>
      <c r="AQ52" s="10" t="b" cm="1">
        <f t="array" aca="1" ref="AQ52" ca="1">IF(AM52&gt;0,(TODAY()-AM52),IF(AL52&gt;0,(TODAY()-AL52),IF(AK52&gt;0,(TODAY()-AK52,IF(AI52&gt;0,(TODAY()-AI52),IF(AG52&gt;0,(TODAY()-AG52),IF(AF52&gt;0,(TODAY()-AF52),IF(X52&gt;0,(TODAY()-X52)," "))))))))</f>
        <v>0</v>
      </c>
      <c r="BD52" s="2" t="str">
        <f t="shared" si="2"/>
        <v>Not yet endorsed</v>
      </c>
      <c r="BE52" s="2" t="s">
        <v>75</v>
      </c>
      <c r="BG52" s="2" t="e">
        <v>#N/A</v>
      </c>
    </row>
    <row r="53" spans="1:60" hidden="1" x14ac:dyDescent="0.25">
      <c r="B53" s="2" t="s">
        <v>412</v>
      </c>
      <c r="C53" s="2" t="s">
        <v>413</v>
      </c>
      <c r="D53" s="44" t="s">
        <v>414</v>
      </c>
      <c r="E53" s="2" t="s">
        <v>6</v>
      </c>
      <c r="F53" s="2">
        <v>0</v>
      </c>
      <c r="G53" s="2" t="s">
        <v>1</v>
      </c>
      <c r="H53" s="2" t="s">
        <v>111</v>
      </c>
      <c r="I53" s="2" t="s">
        <v>112</v>
      </c>
      <c r="J53" s="2" t="s">
        <v>113</v>
      </c>
      <c r="K53" s="2" t="s">
        <v>114</v>
      </c>
      <c r="L53" s="2">
        <v>0</v>
      </c>
      <c r="M53" s="2">
        <v>0</v>
      </c>
      <c r="N53" s="2">
        <v>0</v>
      </c>
      <c r="O53" s="2">
        <v>0</v>
      </c>
      <c r="P53" s="2" t="s">
        <v>133</v>
      </c>
      <c r="Q53" s="2">
        <v>0</v>
      </c>
      <c r="R53" s="29" t="e">
        <f>IF(INDEX(#REF!,MATCH('data '!$B53,#REF!,0),MATCH('data '!R$3,#REF!,0))=0,"",INDEX(#REF!,MATCH('data '!$B53,#REF!,0),MATCH('data '!R$3,#REF!,0)))</f>
        <v>#REF!</v>
      </c>
      <c r="S53" s="29" t="e">
        <f>IF(INDEX(#REF!,MATCH('data '!$B53,#REF!,0),MATCH('data '!S$3,#REF!,0))=0,"",INDEX(#REF!,MATCH('data '!$B53,#REF!,0),MATCH('data '!S$3,#REF!,0)))</f>
        <v>#REF!</v>
      </c>
      <c r="T53" s="29" t="e">
        <f>IF(INDEX(#REF!,MATCH('data '!$B53,#REF!,0),MATCH('data '!T$3,#REF!,0))=0,"",INDEX(#REF!,MATCH('data '!$B53,#REF!,0),MATCH('data '!T$3,#REF!,0)))</f>
        <v>#REF!</v>
      </c>
      <c r="V53" s="25" t="s">
        <v>168</v>
      </c>
      <c r="W53" s="25" t="s">
        <v>176</v>
      </c>
      <c r="AC53" s="8" t="e">
        <f>VLOOKUP(B53,#REF!,19,0)</f>
        <v>#REF!</v>
      </c>
      <c r="AP53" s="8" t="str">
        <f t="shared" si="1"/>
        <v>Not yet endorsed</v>
      </c>
      <c r="AQ53" s="10" t="b" cm="1">
        <f t="array" aca="1" ref="AQ53" ca="1">IF(AM53&gt;0,(TODAY()-AM53),IF(AL53&gt;0,(TODAY()-AL53),IF(AK53&gt;0,(TODAY()-AK53,IF(AI53&gt;0,(TODAY()-AI53),IF(AG53&gt;0,(TODAY()-AG53),IF(AF53&gt;0,(TODAY()-AF53),IF(X53&gt;0,(TODAY()-X53)," "))))))))</f>
        <v>0</v>
      </c>
      <c r="BD53" s="2" t="str">
        <f t="shared" si="2"/>
        <v>Not yet endorsed</v>
      </c>
      <c r="BE53" s="2" t="s">
        <v>75</v>
      </c>
      <c r="BG53" s="2" t="e">
        <v>#N/A</v>
      </c>
    </row>
    <row r="54" spans="1:60" hidden="1" x14ac:dyDescent="0.25">
      <c r="B54" s="26" t="s">
        <v>415</v>
      </c>
      <c r="C54" s="26" t="s">
        <v>416</v>
      </c>
      <c r="D54" s="44" t="s">
        <v>417</v>
      </c>
      <c r="E54" s="2" t="s">
        <v>5</v>
      </c>
      <c r="F54" s="2" t="s">
        <v>418</v>
      </c>
      <c r="G54" s="2" t="s">
        <v>153</v>
      </c>
      <c r="H54" s="2" t="s">
        <v>419</v>
      </c>
      <c r="I54" s="2" t="s">
        <v>140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 t="e">
        <v>#N/A</v>
      </c>
      <c r="R54" s="29" t="e">
        <f>IF(INDEX(#REF!,MATCH('data '!$B54,#REF!,0),MATCH('data '!R$3,#REF!,0))=0,"",INDEX(#REF!,MATCH('data '!$B54,#REF!,0),MATCH('data '!R$3,#REF!,0)))</f>
        <v>#REF!</v>
      </c>
      <c r="S54" s="29" t="e">
        <f>IF(INDEX(#REF!,MATCH('data '!$B54,#REF!,0),MATCH('data '!S$3,#REF!,0))=0,"",INDEX(#REF!,MATCH('data '!$B54,#REF!,0),MATCH('data '!S$3,#REF!,0)))</f>
        <v>#REF!</v>
      </c>
      <c r="T54" s="29" t="e">
        <f>IF(INDEX(#REF!,MATCH('data '!$B54,#REF!,0),MATCH('data '!T$3,#REF!,0))=0,"",INDEX(#REF!,MATCH('data '!$B54,#REF!,0),MATCH('data '!T$3,#REF!,0)))</f>
        <v>#REF!</v>
      </c>
      <c r="V54" s="25">
        <v>0</v>
      </c>
      <c r="W54" s="25" t="s">
        <v>144</v>
      </c>
      <c r="X54" s="61"/>
      <c r="Y54" s="61"/>
      <c r="AC54" s="8" t="e">
        <f>VLOOKUP(B54,#REF!,19,0)</f>
        <v>#REF!</v>
      </c>
      <c r="AE54" s="8" t="s">
        <v>420</v>
      </c>
      <c r="AP54" s="8" t="str">
        <f t="shared" si="1"/>
        <v>Not yet endorsed</v>
      </c>
      <c r="AQ54" s="10" t="b" cm="1">
        <f t="array" aca="1" ref="AQ54" ca="1">IF(AM54&gt;0,(TODAY()-AM54),IF(AL54&gt;0,(TODAY()-AL54),IF(AK54&gt;0,(TODAY()-AK54,IF(AI54&gt;0,(TODAY()-AI54),IF(AG54&gt;0,(TODAY()-AG54),IF(AF54&gt;0,(TODAY()-AF54),IF(X54&gt;0,(TODAY()-X54)," "))))))))</f>
        <v>0</v>
      </c>
      <c r="AS54" s="8" t="s">
        <v>421</v>
      </c>
      <c r="AU54" s="8">
        <v>45805</v>
      </c>
      <c r="AV54" s="8">
        <v>45805</v>
      </c>
      <c r="AW54" s="8" t="s">
        <v>422</v>
      </c>
      <c r="AX54" s="8">
        <v>45808</v>
      </c>
      <c r="AY54" s="8" t="s">
        <v>423</v>
      </c>
      <c r="AZ54" s="22">
        <v>45912</v>
      </c>
      <c r="BA54" s="22">
        <v>45912</v>
      </c>
      <c r="BB54" s="22">
        <v>45912</v>
      </c>
      <c r="BC54" s="22">
        <v>45912</v>
      </c>
      <c r="BD54" s="23" t="s">
        <v>61</v>
      </c>
      <c r="BE54" s="23">
        <v>28</v>
      </c>
      <c r="BF54" s="23" t="s">
        <v>424</v>
      </c>
      <c r="BG54" s="2" t="e">
        <v>#N/A</v>
      </c>
    </row>
    <row r="55" spans="1:60" hidden="1" x14ac:dyDescent="0.25">
      <c r="B55" s="26" t="s">
        <v>425</v>
      </c>
      <c r="C55" s="26" t="s">
        <v>426</v>
      </c>
      <c r="D55" s="44" t="s">
        <v>427</v>
      </c>
      <c r="E55" s="2" t="s">
        <v>5</v>
      </c>
      <c r="F55" s="2" t="s">
        <v>428</v>
      </c>
      <c r="G55" s="2" t="s">
        <v>153</v>
      </c>
      <c r="H55" s="2" t="s">
        <v>419</v>
      </c>
      <c r="I55" s="2" t="s">
        <v>140</v>
      </c>
      <c r="J55" s="2" t="e">
        <v>#N/A</v>
      </c>
      <c r="K55" s="2" t="e">
        <v>#N/A</v>
      </c>
      <c r="L55" s="2" t="e">
        <v>#N/A</v>
      </c>
      <c r="M55" s="2" t="e">
        <v>#N/A</v>
      </c>
      <c r="N55" s="2" t="e">
        <v>#N/A</v>
      </c>
      <c r="O55" s="2" t="e">
        <v>#N/A</v>
      </c>
      <c r="P55" s="2" t="e">
        <v>#N/A</v>
      </c>
      <c r="Q55" s="2" t="e">
        <v>#N/A</v>
      </c>
      <c r="R55" s="29" t="e">
        <f>IF(INDEX(#REF!,MATCH('data '!$B55,#REF!,0),MATCH('data '!R$3,#REF!,0))=0,"",INDEX(#REF!,MATCH('data '!$B55,#REF!,0),MATCH('data '!R$3,#REF!,0)))</f>
        <v>#REF!</v>
      </c>
      <c r="S55" s="29" t="e">
        <f>IF(INDEX(#REF!,MATCH('data '!$B55,#REF!,0),MATCH('data '!S$3,#REF!,0))=0,"",INDEX(#REF!,MATCH('data '!$B55,#REF!,0),MATCH('data '!S$3,#REF!,0)))</f>
        <v>#REF!</v>
      </c>
      <c r="T55" s="29" t="e">
        <f>IF(INDEX(#REF!,MATCH('data '!$B55,#REF!,0),MATCH('data '!T$3,#REF!,0))=0,"",INDEX(#REF!,MATCH('data '!$B55,#REF!,0),MATCH('data '!T$3,#REF!,0)))</f>
        <v>#REF!</v>
      </c>
      <c r="V55" s="25">
        <v>0</v>
      </c>
      <c r="W55" s="25" t="s">
        <v>144</v>
      </c>
      <c r="X55" s="9" t="s">
        <v>25</v>
      </c>
      <c r="Y55" s="9">
        <v>45498</v>
      </c>
      <c r="AB55" s="8">
        <v>45852</v>
      </c>
      <c r="AC55" s="8" t="e">
        <f>VLOOKUP(B55,#REF!,19,0)</f>
        <v>#REF!</v>
      </c>
      <c r="AE55" s="8" t="s">
        <v>420</v>
      </c>
      <c r="AP55" s="8" t="str">
        <f t="shared" si="1"/>
        <v>BP Secured</v>
      </c>
      <c r="AQ55" s="10" t="b" cm="1">
        <f t="array" aca="1" ref="AQ55" ca="1">IF(AM55&gt;0,(TODAY()-AM55),IF(AL55&gt;0,(TODAY()-AL55),IF(AK55&gt;0,(TODAY()-AK55,IF(AI55&gt;0,(TODAY()-AI55),IF(AG55&gt;0,(TODAY()-AG55),IF(AF55&gt;0,(TODAY()-AF55),IF(X55&gt;0,(TODAY()-X55)," "))))))))</f>
        <v>0</v>
      </c>
      <c r="AS55" s="8" t="s">
        <v>421</v>
      </c>
      <c r="AT55" s="8">
        <v>45805</v>
      </c>
      <c r="AU55" s="8">
        <v>45805</v>
      </c>
      <c r="AV55" s="8">
        <v>45805</v>
      </c>
      <c r="AW55" s="8" t="s">
        <v>422</v>
      </c>
      <c r="AX55" s="8">
        <v>45808</v>
      </c>
      <c r="AY55" s="8" t="s">
        <v>423</v>
      </c>
      <c r="AZ55" s="22">
        <v>45875</v>
      </c>
      <c r="BA55" s="22">
        <v>45875</v>
      </c>
      <c r="BB55" s="22">
        <v>45875</v>
      </c>
      <c r="BC55" s="22">
        <v>45875</v>
      </c>
      <c r="BD55" s="23" t="s">
        <v>61</v>
      </c>
      <c r="BE55" s="23">
        <v>65</v>
      </c>
      <c r="BF55" s="23" t="s">
        <v>424</v>
      </c>
      <c r="BG55" s="2" t="e">
        <v>#N/A</v>
      </c>
    </row>
    <row r="56" spans="1:60" hidden="1" x14ac:dyDescent="0.25">
      <c r="A56" s="48"/>
      <c r="B56" s="7" t="s">
        <v>429</v>
      </c>
      <c r="C56" s="2" t="s">
        <v>430</v>
      </c>
      <c r="D56" s="44" t="s">
        <v>431</v>
      </c>
      <c r="E56" s="2" t="s">
        <v>5</v>
      </c>
      <c r="F56" s="2" t="s">
        <v>418</v>
      </c>
      <c r="G56" s="2" t="s">
        <v>153</v>
      </c>
      <c r="H56" s="2" t="s">
        <v>419</v>
      </c>
      <c r="I56" s="2" t="s">
        <v>140</v>
      </c>
      <c r="J56" s="2" t="e">
        <v>#N/A</v>
      </c>
      <c r="K56" s="2" t="e">
        <v>#N/A</v>
      </c>
      <c r="L56" s="2" t="e">
        <v>#N/A</v>
      </c>
      <c r="M56" s="2" t="e">
        <v>#N/A</v>
      </c>
      <c r="N56" s="2" t="e">
        <v>#N/A</v>
      </c>
      <c r="O56" s="2" t="e">
        <v>#N/A</v>
      </c>
      <c r="P56" s="2" t="e">
        <v>#N/A</v>
      </c>
      <c r="Q56" s="2" t="e">
        <v>#N/A</v>
      </c>
      <c r="R56" s="29" t="e">
        <f>IF(INDEX(#REF!,MATCH('data '!$B56,#REF!,0),MATCH('data '!R$3,#REF!,0))=0,"",INDEX(#REF!,MATCH('data '!$B56,#REF!,0),MATCH('data '!R$3,#REF!,0)))</f>
        <v>#REF!</v>
      </c>
      <c r="S56" s="29" t="e">
        <f>IF(INDEX(#REF!,MATCH('data '!$B56,#REF!,0),MATCH('data '!S$3,#REF!,0))=0,"",INDEX(#REF!,MATCH('data '!$B56,#REF!,0),MATCH('data '!S$3,#REF!,0)))</f>
        <v>#REF!</v>
      </c>
      <c r="T56" s="29" t="e">
        <f>IF(INDEX(#REF!,MATCH('data '!$B56,#REF!,0),MATCH('data '!T$3,#REF!,0))=0,"",INDEX(#REF!,MATCH('data '!$B56,#REF!,0),MATCH('data '!T$3,#REF!,0)))</f>
        <v>#REF!</v>
      </c>
      <c r="V56" s="25">
        <v>0</v>
      </c>
      <c r="W56" s="25" t="s">
        <v>144</v>
      </c>
      <c r="X56" s="9" t="s">
        <v>25</v>
      </c>
      <c r="AC56" s="8" t="e">
        <f>VLOOKUP(B56,#REF!,19,0)</f>
        <v>#REF!</v>
      </c>
      <c r="AE56" s="8" t="s">
        <v>420</v>
      </c>
      <c r="AH56" s="8" t="s">
        <v>362</v>
      </c>
      <c r="AP56" s="8" t="str">
        <f t="shared" si="1"/>
        <v>BP Secured</v>
      </c>
      <c r="AQ56" s="10" t="b" cm="1">
        <f t="array" aca="1" ref="AQ56" ca="1">IF(AM56&gt;0,(TODAY()-AM56),IF(AL56&gt;0,(TODAY()-AL56),IF(AK56&gt;0,(TODAY()-AK56,IF(AI56&gt;0,(TODAY()-AI56),IF(AG56&gt;0,(TODAY()-AG56),IF(AF56&gt;0,(TODAY()-AF56),IF(X56&gt;0,(TODAY()-X56)," "))))))))</f>
        <v>0</v>
      </c>
      <c r="AS56" s="8" t="s">
        <v>421</v>
      </c>
      <c r="AT56" s="8">
        <v>45902</v>
      </c>
      <c r="AU56" s="8">
        <v>45902</v>
      </c>
      <c r="AV56" s="22">
        <v>45904</v>
      </c>
      <c r="AW56" s="23" t="s">
        <v>432</v>
      </c>
      <c r="AX56" s="22">
        <v>45904</v>
      </c>
      <c r="AY56" s="23" t="s">
        <v>432</v>
      </c>
      <c r="AZ56" s="22">
        <v>45916</v>
      </c>
      <c r="BA56" s="22">
        <v>45918</v>
      </c>
      <c r="BB56" s="57">
        <v>45976</v>
      </c>
      <c r="BC56" s="57">
        <v>45989</v>
      </c>
      <c r="BD56" s="2" t="str">
        <f t="shared" ref="BD56" si="3">IF(BC56&gt;0,"Permanent Energized",IF(BB56&gt;0,"Bill deposit Paid",IF(BA56&gt;0,"Line Construction Completed",IF(AZ56&gt;0,"Line Construction Started",IF(AX56&gt;0,"PO Issued",IF(AV56&gt;0,"PQ Raised",IF(AU56&gt;0,"BoQ Approved",IF(AT56&gt;0,"BoQ Submitted",IF(AF56&gt;0,"Vendor Allocated",IF(X56&gt;0,"BP Secured",IF(U56&gt;0,"TSSR Approved","Not yet endorsed")))))))))))</f>
        <v>Permanent Energized</v>
      </c>
      <c r="BE56" s="23">
        <v>22</v>
      </c>
      <c r="BF56" s="23" t="s">
        <v>433</v>
      </c>
      <c r="BG56" s="2" t="e">
        <v>#N/A</v>
      </c>
    </row>
    <row r="57" spans="1:60" hidden="1" x14ac:dyDescent="0.25">
      <c r="A57" s="48"/>
      <c r="B57" s="7" t="s">
        <v>434</v>
      </c>
      <c r="C57" s="2" t="s">
        <v>435</v>
      </c>
      <c r="D57" s="44" t="s">
        <v>436</v>
      </c>
      <c r="E57" s="2" t="s">
        <v>5</v>
      </c>
      <c r="F57" s="2" t="s">
        <v>437</v>
      </c>
      <c r="G57" s="2" t="s">
        <v>153</v>
      </c>
      <c r="H57" s="2" t="s">
        <v>419</v>
      </c>
      <c r="I57" s="2" t="s">
        <v>140</v>
      </c>
      <c r="J57" s="2" t="e">
        <v>#N/A</v>
      </c>
      <c r="K57" s="2" t="e">
        <v>#N/A</v>
      </c>
      <c r="L57" s="2" t="e">
        <v>#N/A</v>
      </c>
      <c r="M57" s="2" t="e">
        <v>#N/A</v>
      </c>
      <c r="N57" s="2" t="e">
        <v>#N/A</v>
      </c>
      <c r="O57" s="2" t="e">
        <v>#N/A</v>
      </c>
      <c r="P57" s="2" t="e">
        <v>#N/A</v>
      </c>
      <c r="Q57" s="2" t="e">
        <v>#N/A</v>
      </c>
      <c r="R57" s="29" t="e">
        <f>IF(INDEX(#REF!,MATCH('data '!$B57,#REF!,0),MATCH('data '!R$3,#REF!,0))=0,"",INDEX(#REF!,MATCH('data '!$B57,#REF!,0),MATCH('data '!R$3,#REF!,0)))</f>
        <v>#REF!</v>
      </c>
      <c r="S57" s="29" t="e">
        <f>IF(INDEX(#REF!,MATCH('data '!$B57,#REF!,0),MATCH('data '!S$3,#REF!,0))=0,"",INDEX(#REF!,MATCH('data '!$B57,#REF!,0),MATCH('data '!S$3,#REF!,0)))</f>
        <v>#REF!</v>
      </c>
      <c r="T57" s="29" t="e">
        <f>IF(INDEX(#REF!,MATCH('data '!$B57,#REF!,0),MATCH('data '!T$3,#REF!,0))=0,"",INDEX(#REF!,MATCH('data '!$B57,#REF!,0),MATCH('data '!T$3,#REF!,0)))</f>
        <v>#REF!</v>
      </c>
      <c r="V57" s="25">
        <v>0</v>
      </c>
      <c r="W57" s="25" t="s">
        <v>144</v>
      </c>
      <c r="X57" s="9" t="s">
        <v>25</v>
      </c>
      <c r="AC57" s="8" t="e">
        <f>VLOOKUP(B57,#REF!,19,0)</f>
        <v>#REF!</v>
      </c>
      <c r="AE57" s="8" t="s">
        <v>438</v>
      </c>
      <c r="AF57" s="21">
        <v>45938</v>
      </c>
      <c r="AH57" s="8" t="s">
        <v>362</v>
      </c>
      <c r="AP57" s="8" t="str">
        <f t="shared" si="1"/>
        <v>Vendor Allocated</v>
      </c>
      <c r="AQ57" s="10" t="b" cm="1">
        <f t="array" aca="1" ref="AQ57" ca="1">IF(AM57&gt;0,(TODAY()-AM57),IF(AL57&gt;0,(TODAY()-AL57),IF(AK57&gt;0,(TODAY()-AK57,IF(AI57&gt;0,(TODAY()-AI57),IF(AG57&gt;0,(TODAY()-AG57),IF(AF57&gt;0,(TODAY()-AF57),IF(X57&gt;0,(TODAY()-X57)," "))))))))</f>
        <v>0</v>
      </c>
      <c r="AS57" s="8" t="s">
        <v>439</v>
      </c>
      <c r="AT57" s="11"/>
      <c r="AU57" s="11"/>
      <c r="AV57" s="11"/>
      <c r="AW57" s="11"/>
      <c r="AX57" s="11"/>
      <c r="AY57" s="11"/>
      <c r="BD57" s="2" t="str">
        <f t="shared" si="2"/>
        <v>Vendor Allocated</v>
      </c>
      <c r="BE57" s="2" t="s">
        <v>75</v>
      </c>
      <c r="BF57" s="23" t="s">
        <v>440</v>
      </c>
      <c r="BG57" s="2" t="e">
        <v>#N/A</v>
      </c>
    </row>
    <row r="58" spans="1:60" hidden="1" x14ac:dyDescent="0.25">
      <c r="B58" s="2" t="s">
        <v>441</v>
      </c>
      <c r="C58" s="2" t="s">
        <v>442</v>
      </c>
      <c r="D58" s="44" t="s">
        <v>443</v>
      </c>
      <c r="E58" s="2" t="s">
        <v>11</v>
      </c>
      <c r="F58" s="2">
        <v>0</v>
      </c>
      <c r="G58" s="2" t="s">
        <v>1</v>
      </c>
      <c r="H58" s="2" t="s">
        <v>67</v>
      </c>
      <c r="I58" s="2" t="s">
        <v>68</v>
      </c>
      <c r="J58" s="2" t="s">
        <v>330</v>
      </c>
      <c r="K58" s="2" t="s">
        <v>331</v>
      </c>
      <c r="L58" s="2">
        <v>0</v>
      </c>
      <c r="M58" s="2">
        <v>0</v>
      </c>
      <c r="N58" s="2">
        <v>7.0805100000000003</v>
      </c>
      <c r="O58" s="2">
        <v>124.936514</v>
      </c>
      <c r="P58" s="2" t="s">
        <v>87</v>
      </c>
      <c r="Q58" s="2" t="s">
        <v>227</v>
      </c>
      <c r="R58" s="29" t="e">
        <f>IF(INDEX(#REF!,MATCH('data '!$B58,#REF!,0),MATCH('data '!R$3,#REF!,0))=0,"",INDEX(#REF!,MATCH('data '!$B58,#REF!,0),MATCH('data '!R$3,#REF!,0)))</f>
        <v>#REF!</v>
      </c>
      <c r="S58" s="29" t="e">
        <f>IF(INDEX(#REF!,MATCH('data '!$B58,#REF!,0),MATCH('data '!S$3,#REF!,0))=0,"",INDEX(#REF!,MATCH('data '!$B58,#REF!,0),MATCH('data '!S$3,#REF!,0)))</f>
        <v>#REF!</v>
      </c>
      <c r="T58" s="29" t="e">
        <f>IF(INDEX(#REF!,MATCH('data '!$B58,#REF!,0),MATCH('data '!T$3,#REF!,0))=0,"",INDEX(#REF!,MATCH('data '!$B58,#REF!,0),MATCH('data '!T$3,#REF!,0)))</f>
        <v>#REF!</v>
      </c>
      <c r="V58" s="25" t="s">
        <v>185</v>
      </c>
      <c r="W58" s="25" t="s">
        <v>144</v>
      </c>
      <c r="X58" s="43" t="s">
        <v>25</v>
      </c>
      <c r="Y58" s="43">
        <v>45909</v>
      </c>
      <c r="AC58" s="8" t="e">
        <f>VLOOKUP(B58,#REF!,19,0)</f>
        <v>#REF!</v>
      </c>
      <c r="AP58" s="8" t="str">
        <f t="shared" si="1"/>
        <v>BP Secured</v>
      </c>
      <c r="AQ58" s="10" t="b" cm="1">
        <f t="array" aca="1" ref="AQ58" ca="1">IF(AM58&gt;0,(TODAY()-AM58),IF(AL58&gt;0,(TODAY()-AL58),IF(AK58&gt;0,(TODAY()-AK58,IF(AI58&gt;0,(TODAY()-AI58),IF(AG58&gt;0,(TODAY()-AG58),IF(AF58&gt;0,(TODAY()-AF58),IF(X58&gt;0,(TODAY()-X58)," "))))))))</f>
        <v>0</v>
      </c>
      <c r="BD58" s="2" t="str">
        <f t="shared" si="2"/>
        <v>BP Secured</v>
      </c>
      <c r="BE58" s="2" t="e">
        <v>#VALUE!</v>
      </c>
      <c r="BG58" s="2" t="e">
        <v>#N/A</v>
      </c>
    </row>
    <row r="59" spans="1:60" hidden="1" x14ac:dyDescent="0.25">
      <c r="B59" s="2" t="s">
        <v>444</v>
      </c>
      <c r="C59" s="2" t="s">
        <v>445</v>
      </c>
      <c r="D59" s="44" t="s">
        <v>446</v>
      </c>
      <c r="E59" s="2" t="s">
        <v>11</v>
      </c>
      <c r="F59" s="2">
        <v>0</v>
      </c>
      <c r="G59" s="2" t="s">
        <v>1</v>
      </c>
      <c r="H59" s="2" t="s">
        <v>67</v>
      </c>
      <c r="I59" s="2" t="s">
        <v>68</v>
      </c>
      <c r="J59" s="2" t="s">
        <v>330</v>
      </c>
      <c r="K59" s="2" t="s">
        <v>331</v>
      </c>
      <c r="L59" s="2">
        <v>0</v>
      </c>
      <c r="M59" s="2">
        <v>0</v>
      </c>
      <c r="N59" s="2">
        <v>0</v>
      </c>
      <c r="O59" s="2">
        <v>0</v>
      </c>
      <c r="P59" s="2" t="s">
        <v>168</v>
      </c>
      <c r="Q59" s="2">
        <v>0</v>
      </c>
      <c r="R59" s="29" t="e">
        <f>IF(INDEX(#REF!,MATCH('data '!$B59,#REF!,0),MATCH('data '!R$3,#REF!,0))=0,"",INDEX(#REF!,MATCH('data '!$B59,#REF!,0),MATCH('data '!R$3,#REF!,0)))</f>
        <v>#REF!</v>
      </c>
      <c r="S59" s="29" t="e">
        <f>IF(INDEX(#REF!,MATCH('data '!$B59,#REF!,0),MATCH('data '!S$3,#REF!,0))=0,"",INDEX(#REF!,MATCH('data '!$B59,#REF!,0),MATCH('data '!S$3,#REF!,0)))</f>
        <v>#REF!</v>
      </c>
      <c r="T59" s="29" t="e">
        <f>IF(INDEX(#REF!,MATCH('data '!$B59,#REF!,0),MATCH('data '!T$3,#REF!,0))=0,"",INDEX(#REF!,MATCH('data '!$B59,#REF!,0),MATCH('data '!T$3,#REF!,0)))</f>
        <v>#REF!</v>
      </c>
      <c r="V59" s="25" t="s">
        <v>168</v>
      </c>
      <c r="W59" s="25" t="s">
        <v>176</v>
      </c>
      <c r="AC59" s="8" t="e">
        <f>VLOOKUP(B59,#REF!,19,0)</f>
        <v>#REF!</v>
      </c>
      <c r="AP59" s="8" t="str">
        <f t="shared" si="1"/>
        <v>Not yet endorsed</v>
      </c>
      <c r="AQ59" s="10" t="b" cm="1">
        <f t="array" aca="1" ref="AQ59" ca="1">IF(AM59&gt;0,(TODAY()-AM59),IF(AL59&gt;0,(TODAY()-AL59),IF(AK59&gt;0,(TODAY()-AK59,IF(AI59&gt;0,(TODAY()-AI59),IF(AG59&gt;0,(TODAY()-AG59),IF(AF59&gt;0,(TODAY()-AF59),IF(X59&gt;0,(TODAY()-X59)," "))))))))</f>
        <v>0</v>
      </c>
      <c r="BD59" s="2" t="str">
        <f t="shared" si="2"/>
        <v>Not yet endorsed</v>
      </c>
      <c r="BE59" s="2" t="s">
        <v>75</v>
      </c>
      <c r="BG59" s="2" t="e">
        <v>#N/A</v>
      </c>
    </row>
    <row r="60" spans="1:60" hidden="1" x14ac:dyDescent="0.25">
      <c r="B60" s="2" t="s">
        <v>447</v>
      </c>
      <c r="C60" s="2" t="s">
        <v>448</v>
      </c>
      <c r="D60" s="44" t="s">
        <v>449</v>
      </c>
      <c r="E60" s="2" t="s">
        <v>11</v>
      </c>
      <c r="F60" s="2" t="s">
        <v>450</v>
      </c>
      <c r="G60" s="2" t="s">
        <v>1</v>
      </c>
      <c r="H60" s="2" t="s">
        <v>165</v>
      </c>
      <c r="I60" s="2" t="s">
        <v>68</v>
      </c>
      <c r="J60" s="2" t="s">
        <v>239</v>
      </c>
      <c r="K60" s="2" t="s">
        <v>451</v>
      </c>
      <c r="L60" s="2" t="s">
        <v>452</v>
      </c>
      <c r="M60" s="2">
        <v>0</v>
      </c>
      <c r="N60" s="2">
        <v>0</v>
      </c>
      <c r="O60" s="2">
        <v>0</v>
      </c>
      <c r="P60" s="2" t="s">
        <v>116</v>
      </c>
      <c r="Q60" s="2" t="s">
        <v>73</v>
      </c>
      <c r="R60" s="29" t="e">
        <f>IF(INDEX(#REF!,MATCH('data '!$B60,#REF!,0),MATCH('data '!R$3,#REF!,0))=0,"",INDEX(#REF!,MATCH('data '!$B60,#REF!,0),MATCH('data '!R$3,#REF!,0)))</f>
        <v>#REF!</v>
      </c>
      <c r="S60" s="29" t="e">
        <f>IF(INDEX(#REF!,MATCH('data '!$B60,#REF!,0),MATCH('data '!S$3,#REF!,0))=0,"",INDEX(#REF!,MATCH('data '!$B60,#REF!,0),MATCH('data '!S$3,#REF!,0)))</f>
        <v>#REF!</v>
      </c>
      <c r="T60" s="29" t="e">
        <f>IF(INDEX(#REF!,MATCH('data '!$B60,#REF!,0),MATCH('data '!T$3,#REF!,0))=0,"",INDEX(#REF!,MATCH('data '!$B60,#REF!,0),MATCH('data '!T$3,#REF!,0)))</f>
        <v>#REF!</v>
      </c>
      <c r="U60" s="8" t="s">
        <v>25</v>
      </c>
      <c r="V60" s="25" t="s">
        <v>74</v>
      </c>
      <c r="W60" s="25">
        <v>0</v>
      </c>
      <c r="AC60" s="8" t="e">
        <f>VLOOKUP(B60,#REF!,19,0)</f>
        <v>#REF!</v>
      </c>
      <c r="AP60" s="8" t="str">
        <f t="shared" si="1"/>
        <v>Not yet endorsed</v>
      </c>
      <c r="AQ60" s="10" t="b" cm="1">
        <f t="array" aca="1" ref="AQ60" ca="1">IF(AM60&gt;0,(TODAY()-AM60),IF(AL60&gt;0,(TODAY()-AL60),IF(AK60&gt;0,(TODAY()-AK60,IF(AI60&gt;0,(TODAY()-AI60),IF(AG60&gt;0,(TODAY()-AG60),IF(AF60&gt;0,(TODAY()-AF60),IF(X60&gt;0,(TODAY()-X60)," "))))))))</f>
        <v>0</v>
      </c>
      <c r="BD60" s="2" t="str">
        <f t="shared" si="2"/>
        <v>TSSR Approved</v>
      </c>
      <c r="BE60" s="2" t="e">
        <v>#VALUE!</v>
      </c>
      <c r="BG60" s="2" t="e">
        <v>#N/A</v>
      </c>
    </row>
    <row r="61" spans="1:60" hidden="1" x14ac:dyDescent="0.25">
      <c r="B61" s="2" t="s">
        <v>453</v>
      </c>
      <c r="C61" s="2" t="s">
        <v>454</v>
      </c>
      <c r="D61" s="44" t="s">
        <v>455</v>
      </c>
      <c r="E61" s="2" t="s">
        <v>11</v>
      </c>
      <c r="F61" s="2" t="s">
        <v>456</v>
      </c>
      <c r="G61" s="2" t="s">
        <v>1</v>
      </c>
      <c r="H61" s="2" t="s">
        <v>67</v>
      </c>
      <c r="I61" s="2" t="s">
        <v>68</v>
      </c>
      <c r="J61" s="2" t="s">
        <v>80</v>
      </c>
      <c r="K61" s="2" t="s">
        <v>457</v>
      </c>
      <c r="L61" s="2" t="s">
        <v>458</v>
      </c>
      <c r="M61" s="2" t="s">
        <v>459</v>
      </c>
      <c r="N61" s="2">
        <v>7.3877350000000002</v>
      </c>
      <c r="O61" s="2">
        <v>125.98086000000001</v>
      </c>
      <c r="P61" s="2" t="s">
        <v>87</v>
      </c>
      <c r="Q61" s="2" t="s">
        <v>184</v>
      </c>
      <c r="R61" s="29" t="e">
        <f>IF(INDEX(#REF!,MATCH('data '!$B61,#REF!,0),MATCH('data '!R$3,#REF!,0))=0,"",INDEX(#REF!,MATCH('data '!$B61,#REF!,0),MATCH('data '!R$3,#REF!,0)))</f>
        <v>#REF!</v>
      </c>
      <c r="S61" s="29" t="e">
        <f>IF(INDEX(#REF!,MATCH('data '!$B61,#REF!,0),MATCH('data '!S$3,#REF!,0))=0,"",INDEX(#REF!,MATCH('data '!$B61,#REF!,0),MATCH('data '!S$3,#REF!,0)))</f>
        <v>#REF!</v>
      </c>
      <c r="T61" s="29" t="e">
        <f>IF(INDEX(#REF!,MATCH('data '!$B61,#REF!,0),MATCH('data '!T$3,#REF!,0))=0,"",INDEX(#REF!,MATCH('data '!$B61,#REF!,0),MATCH('data '!T$3,#REF!,0)))</f>
        <v>#REF!</v>
      </c>
      <c r="U61" s="8" t="s">
        <v>25</v>
      </c>
      <c r="V61" s="25" t="s">
        <v>266</v>
      </c>
      <c r="W61" s="25" t="s">
        <v>144</v>
      </c>
      <c r="X61" s="43" t="s">
        <v>25</v>
      </c>
      <c r="Y61" s="43">
        <v>45755</v>
      </c>
      <c r="AA61" s="8">
        <v>45663</v>
      </c>
      <c r="AC61" s="8" t="e">
        <f>VLOOKUP(B61,#REF!,19,0)</f>
        <v>#REF!</v>
      </c>
      <c r="AE61" s="8" t="s">
        <v>460</v>
      </c>
      <c r="AP61" s="8" t="str">
        <f t="shared" si="1"/>
        <v>BP Secured</v>
      </c>
      <c r="AQ61" s="10" t="b" cm="1">
        <f t="array" aca="1" ref="AQ61" ca="1">IF(AM61&gt;0,(TODAY()-AM61),IF(AL61&gt;0,(TODAY()-AL61),IF(AK61&gt;0,(TODAY()-AK61,IF(AI61&gt;0,(TODAY()-AI61),IF(AG61&gt;0,(TODAY()-AG61),IF(AF61&gt;0,(TODAY()-AF61),IF(X61&gt;0,(TODAY()-X61)," "))))))))</f>
        <v>0</v>
      </c>
      <c r="AT61" s="8" t="s">
        <v>155</v>
      </c>
      <c r="AU61" s="8">
        <v>45784</v>
      </c>
      <c r="AV61" s="8">
        <v>45783</v>
      </c>
      <c r="AX61" s="8">
        <v>45786</v>
      </c>
      <c r="BD61" s="2" t="str">
        <f t="shared" si="2"/>
        <v>PO Issued</v>
      </c>
      <c r="BE61" s="2">
        <v>154</v>
      </c>
      <c r="BG61" s="2" t="e">
        <v>#N/A</v>
      </c>
    </row>
    <row r="62" spans="1:60" hidden="1" x14ac:dyDescent="0.25">
      <c r="B62" s="2" t="s">
        <v>461</v>
      </c>
      <c r="C62" s="2" t="s">
        <v>462</v>
      </c>
      <c r="D62" s="44" t="s">
        <v>463</v>
      </c>
      <c r="E62" s="2" t="s">
        <v>11</v>
      </c>
      <c r="F62" s="2" t="s">
        <v>464</v>
      </c>
      <c r="G62" s="2" t="s">
        <v>1</v>
      </c>
      <c r="H62" s="2" t="s">
        <v>165</v>
      </c>
      <c r="I62" s="2" t="s">
        <v>68</v>
      </c>
      <c r="J62" s="2" t="s">
        <v>69</v>
      </c>
      <c r="K62" s="2" t="s">
        <v>465</v>
      </c>
      <c r="L62" s="2" t="s">
        <v>466</v>
      </c>
      <c r="M62" s="2">
        <v>0</v>
      </c>
      <c r="N62" s="2">
        <v>0</v>
      </c>
      <c r="O62" s="2">
        <v>0</v>
      </c>
      <c r="P62" s="2" t="s">
        <v>116</v>
      </c>
      <c r="Q62" s="2" t="s">
        <v>73</v>
      </c>
      <c r="R62" s="29" t="e">
        <f>IF(INDEX(#REF!,MATCH('data '!$B62,#REF!,0),MATCH('data '!R$3,#REF!,0))=0,"",INDEX(#REF!,MATCH('data '!$B62,#REF!,0),MATCH('data '!R$3,#REF!,0)))</f>
        <v>#REF!</v>
      </c>
      <c r="S62" s="29" t="e">
        <f>IF(INDEX(#REF!,MATCH('data '!$B62,#REF!,0),MATCH('data '!S$3,#REF!,0))=0,"",INDEX(#REF!,MATCH('data '!$B62,#REF!,0),MATCH('data '!S$3,#REF!,0)))</f>
        <v>#REF!</v>
      </c>
      <c r="T62" s="29" t="e">
        <f>IF(INDEX(#REF!,MATCH('data '!$B62,#REF!,0),MATCH('data '!T$3,#REF!,0))=0,"",INDEX(#REF!,MATCH('data '!$B62,#REF!,0),MATCH('data '!T$3,#REF!,0)))</f>
        <v>#REF!</v>
      </c>
      <c r="V62" s="25" t="s">
        <v>95</v>
      </c>
      <c r="W62" s="25">
        <v>0</v>
      </c>
      <c r="AC62" s="8" t="e">
        <f>VLOOKUP(B62,#REF!,19,0)</f>
        <v>#REF!</v>
      </c>
      <c r="AP62" s="8" t="str">
        <f t="shared" si="1"/>
        <v>Not yet endorsed</v>
      </c>
      <c r="AQ62" s="10" t="b" cm="1">
        <f t="array" aca="1" ref="AQ62" ca="1">IF(AM62&gt;0,(TODAY()-AM62),IF(AL62&gt;0,(TODAY()-AL62),IF(AK62&gt;0,(TODAY()-AK62,IF(AI62&gt;0,(TODAY()-AI62),IF(AG62&gt;0,(TODAY()-AG62),IF(AF62&gt;0,(TODAY()-AF62),IF(X62&gt;0,(TODAY()-X62)," "))))))))</f>
        <v>0</v>
      </c>
      <c r="BD62" s="2" t="str">
        <f t="shared" si="2"/>
        <v>Not yet endorsed</v>
      </c>
      <c r="BE62" s="2" t="s">
        <v>75</v>
      </c>
      <c r="BG62" s="2" t="e">
        <v>#N/A</v>
      </c>
    </row>
    <row r="63" spans="1:60" hidden="1" x14ac:dyDescent="0.25">
      <c r="B63" s="2" t="s">
        <v>467</v>
      </c>
      <c r="C63" s="2" t="s">
        <v>468</v>
      </c>
      <c r="D63" s="44" t="s">
        <v>469</v>
      </c>
      <c r="E63" s="2" t="s">
        <v>11</v>
      </c>
      <c r="F63" s="2" t="s">
        <v>302</v>
      </c>
      <c r="G63" s="2" t="s">
        <v>1</v>
      </c>
      <c r="H63" s="2" t="s">
        <v>165</v>
      </c>
      <c r="I63" s="2" t="s">
        <v>68</v>
      </c>
      <c r="J63" s="2" t="s">
        <v>173</v>
      </c>
      <c r="K63" s="2" t="s">
        <v>303</v>
      </c>
      <c r="L63" s="2" t="s">
        <v>470</v>
      </c>
      <c r="M63" s="2" t="s">
        <v>471</v>
      </c>
      <c r="N63" s="2">
        <v>8.0425930000000001</v>
      </c>
      <c r="O63" s="2">
        <v>125.11301</v>
      </c>
      <c r="P63" s="2" t="s">
        <v>87</v>
      </c>
      <c r="Q63" s="2" t="s">
        <v>184</v>
      </c>
      <c r="R63" s="29" t="e">
        <f>IF(INDEX(#REF!,MATCH('data '!$B63,#REF!,0),MATCH('data '!R$3,#REF!,0))=0,"",INDEX(#REF!,MATCH('data '!$B63,#REF!,0),MATCH('data '!R$3,#REF!,0)))</f>
        <v>#REF!</v>
      </c>
      <c r="S63" s="29" t="e">
        <f>IF(INDEX(#REF!,MATCH('data '!$B63,#REF!,0),MATCH('data '!S$3,#REF!,0))=0,"",INDEX(#REF!,MATCH('data '!$B63,#REF!,0),MATCH('data '!S$3,#REF!,0)))</f>
        <v>#REF!</v>
      </c>
      <c r="T63" s="29" t="e">
        <f>IF(INDEX(#REF!,MATCH('data '!$B63,#REF!,0),MATCH('data '!T$3,#REF!,0))=0,"",INDEX(#REF!,MATCH('data '!$B63,#REF!,0),MATCH('data '!T$3,#REF!,0)))</f>
        <v>#REF!</v>
      </c>
      <c r="U63" s="8" t="s">
        <v>25</v>
      </c>
      <c r="V63" s="25" t="s">
        <v>266</v>
      </c>
      <c r="W63" s="25" t="s">
        <v>144</v>
      </c>
      <c r="X63" s="9" t="s">
        <v>25</v>
      </c>
      <c r="Y63" s="9">
        <v>45737</v>
      </c>
      <c r="AA63" s="8">
        <v>45844</v>
      </c>
      <c r="AB63" s="8">
        <v>45926</v>
      </c>
      <c r="AC63" s="8" t="e">
        <f>VLOOKUP(B63,#REF!,19,0)</f>
        <v>#REF!</v>
      </c>
      <c r="AE63" s="8" t="s">
        <v>472</v>
      </c>
      <c r="AP63" s="8" t="str">
        <f t="shared" si="1"/>
        <v>BP Secured</v>
      </c>
      <c r="AQ63" s="10" t="b" cm="1">
        <f t="array" aca="1" ref="AQ63" ca="1">IF(AM63&gt;0,(TODAY()-AM63),IF(AL63&gt;0,(TODAY()-AL63),IF(AK63&gt;0,(TODAY()-AK63,IF(AI63&gt;0,(TODAY()-AI63),IF(AG63&gt;0,(TODAY()-AG63),IF(AF63&gt;0,(TODAY()-AF63),IF(X63&gt;0,(TODAY()-X63)," "))))))))</f>
        <v>0</v>
      </c>
      <c r="AT63" s="8" t="s">
        <v>155</v>
      </c>
      <c r="AU63" s="8">
        <v>45784</v>
      </c>
      <c r="AV63" s="8">
        <v>45783</v>
      </c>
      <c r="AX63" s="8">
        <v>45786</v>
      </c>
      <c r="BD63" s="2" t="str">
        <f t="shared" si="2"/>
        <v>PO Issued</v>
      </c>
      <c r="BE63" s="2">
        <v>154</v>
      </c>
      <c r="BG63" s="2" t="e">
        <v>#N/A</v>
      </c>
    </row>
    <row r="64" spans="1:60" hidden="1" x14ac:dyDescent="0.25">
      <c r="B64" s="2" t="s">
        <v>473</v>
      </c>
      <c r="C64" s="2" t="s">
        <v>474</v>
      </c>
      <c r="D64" s="44" t="s">
        <v>475</v>
      </c>
      <c r="E64" s="2" t="s">
        <v>11</v>
      </c>
      <c r="F64" s="2">
        <v>0</v>
      </c>
      <c r="G64" s="2" t="s">
        <v>1</v>
      </c>
      <c r="H64" s="2" t="s">
        <v>67</v>
      </c>
      <c r="I64" s="2" t="s">
        <v>68</v>
      </c>
      <c r="J64" s="2" t="s">
        <v>330</v>
      </c>
      <c r="K64" s="2" t="s">
        <v>331</v>
      </c>
      <c r="L64" s="2" t="s">
        <v>476</v>
      </c>
      <c r="M64" s="2">
        <v>0</v>
      </c>
      <c r="N64" s="2">
        <v>7.5580210000000001</v>
      </c>
      <c r="O64" s="2">
        <v>124.704784</v>
      </c>
      <c r="P64" s="2" t="s">
        <v>87</v>
      </c>
      <c r="Q64" s="2" t="s">
        <v>227</v>
      </c>
      <c r="R64" s="29" t="e">
        <f>IF(INDEX(#REF!,MATCH('data '!$B64,#REF!,0),MATCH('data '!R$3,#REF!,0))=0,"",INDEX(#REF!,MATCH('data '!$B64,#REF!,0),MATCH('data '!R$3,#REF!,0)))</f>
        <v>#REF!</v>
      </c>
      <c r="S64" s="29" t="e">
        <f>IF(INDEX(#REF!,MATCH('data '!$B64,#REF!,0),MATCH('data '!S$3,#REF!,0))=0,"",INDEX(#REF!,MATCH('data '!$B64,#REF!,0),MATCH('data '!S$3,#REF!,0)))</f>
        <v>#REF!</v>
      </c>
      <c r="T64" s="29" t="e">
        <f>IF(INDEX(#REF!,MATCH('data '!$B64,#REF!,0),MATCH('data '!T$3,#REF!,0))=0,"",INDEX(#REF!,MATCH('data '!$B64,#REF!,0),MATCH('data '!T$3,#REF!,0)))</f>
        <v>#REF!</v>
      </c>
      <c r="U64" s="8" t="s">
        <v>25</v>
      </c>
      <c r="V64" s="25" t="s">
        <v>351</v>
      </c>
      <c r="W64" s="25" t="s">
        <v>144</v>
      </c>
      <c r="X64" s="43" t="s">
        <v>25</v>
      </c>
      <c r="Y64" s="43">
        <v>45882</v>
      </c>
      <c r="Z64" s="8">
        <v>45817</v>
      </c>
      <c r="AC64" s="8" t="e">
        <f>VLOOKUP(B64,#REF!,19,0)</f>
        <v>#REF!</v>
      </c>
      <c r="AP64" s="8" t="str">
        <f t="shared" si="1"/>
        <v>BP Secured</v>
      </c>
      <c r="AQ64" s="10" t="b" cm="1">
        <f t="array" aca="1" ref="AQ64" ca="1">IF(AM64&gt;0,(TODAY()-AM64),IF(AL64&gt;0,(TODAY()-AL64),IF(AK64&gt;0,(TODAY()-AK64,IF(AI64&gt;0,(TODAY()-AI64),IF(AG64&gt;0,(TODAY()-AG64),IF(AF64&gt;0,(TODAY()-AF64),IF(X64&gt;0,(TODAY()-X64)," "))))))))</f>
        <v>0</v>
      </c>
      <c r="BD64" s="2" t="str">
        <f t="shared" si="2"/>
        <v>BP Secured</v>
      </c>
      <c r="BE64" s="2" t="e">
        <v>#VALUE!</v>
      </c>
      <c r="BG64" s="2" t="e">
        <v>#N/A</v>
      </c>
    </row>
    <row r="65" spans="1:60" hidden="1" x14ac:dyDescent="0.25">
      <c r="B65" s="2" t="s">
        <v>477</v>
      </c>
      <c r="C65" s="2" t="s">
        <v>478</v>
      </c>
      <c r="D65" s="44" t="s">
        <v>479</v>
      </c>
      <c r="E65" s="2" t="s">
        <v>11</v>
      </c>
      <c r="F65" s="2" t="s">
        <v>480</v>
      </c>
      <c r="G65" s="2" t="s">
        <v>1</v>
      </c>
      <c r="H65" s="2" t="s">
        <v>67</v>
      </c>
      <c r="I65" s="2" t="s">
        <v>68</v>
      </c>
      <c r="J65" s="2" t="s">
        <v>330</v>
      </c>
      <c r="K65" s="2" t="s">
        <v>331</v>
      </c>
      <c r="L65" s="2" t="s">
        <v>481</v>
      </c>
      <c r="M65" s="2">
        <v>0</v>
      </c>
      <c r="N65" s="2">
        <v>0</v>
      </c>
      <c r="O65" s="2">
        <v>0</v>
      </c>
      <c r="P65" s="2" t="s">
        <v>482</v>
      </c>
      <c r="Q65" s="2" t="s">
        <v>73</v>
      </c>
      <c r="R65" s="29" t="e">
        <f>IF(INDEX(#REF!,MATCH('data '!$B65,#REF!,0),MATCH('data '!R$3,#REF!,0))=0,"",INDEX(#REF!,MATCH('data '!$B65,#REF!,0),MATCH('data '!R$3,#REF!,0)))</f>
        <v>#REF!</v>
      </c>
      <c r="S65" s="29" t="e">
        <f>IF(INDEX(#REF!,MATCH('data '!$B65,#REF!,0),MATCH('data '!S$3,#REF!,0))=0,"",INDEX(#REF!,MATCH('data '!$B65,#REF!,0),MATCH('data '!S$3,#REF!,0)))</f>
        <v>#REF!</v>
      </c>
      <c r="T65" s="29" t="e">
        <f>IF(INDEX(#REF!,MATCH('data '!$B65,#REF!,0),MATCH('data '!T$3,#REF!,0))=0,"",INDEX(#REF!,MATCH('data '!$B65,#REF!,0),MATCH('data '!T$3,#REF!,0)))</f>
        <v>#REF!</v>
      </c>
      <c r="V65" s="25" t="s">
        <v>74</v>
      </c>
      <c r="W65" s="25">
        <v>0</v>
      </c>
      <c r="AC65" s="8" t="e">
        <f>VLOOKUP(B65,#REF!,19,0)</f>
        <v>#REF!</v>
      </c>
      <c r="AP65" s="8" t="str">
        <f t="shared" si="1"/>
        <v>Not yet endorsed</v>
      </c>
      <c r="AQ65" s="10" t="b" cm="1">
        <f t="array" aca="1" ref="AQ65" ca="1">IF(AM65&gt;0,(TODAY()-AM65),IF(AL65&gt;0,(TODAY()-AL65),IF(AK65&gt;0,(TODAY()-AK65,IF(AI65&gt;0,(TODAY()-AI65),IF(AG65&gt;0,(TODAY()-AG65),IF(AF65&gt;0,(TODAY()-AF65),IF(X65&gt;0,(TODAY()-X65)," "))))))))</f>
        <v>0</v>
      </c>
      <c r="BD65" s="2" t="str">
        <f t="shared" si="2"/>
        <v>Not yet endorsed</v>
      </c>
      <c r="BE65" s="2" t="s">
        <v>75</v>
      </c>
      <c r="BG65" s="2" t="e">
        <v>#N/A</v>
      </c>
    </row>
    <row r="66" spans="1:60" hidden="1" x14ac:dyDescent="0.25">
      <c r="B66" s="2" t="s">
        <v>483</v>
      </c>
      <c r="C66" s="2" t="s">
        <v>484</v>
      </c>
      <c r="D66" s="44" t="s">
        <v>485</v>
      </c>
      <c r="E66" s="2" t="s">
        <v>11</v>
      </c>
      <c r="F66" s="2">
        <v>0</v>
      </c>
      <c r="G66" s="2" t="s">
        <v>1</v>
      </c>
      <c r="H66" s="2" t="s">
        <v>67</v>
      </c>
      <c r="I66" s="2" t="s">
        <v>68</v>
      </c>
      <c r="J66" s="2" t="s">
        <v>330</v>
      </c>
      <c r="K66" s="2" t="s">
        <v>331</v>
      </c>
      <c r="L66" s="2" t="s">
        <v>486</v>
      </c>
      <c r="M66" s="2">
        <v>0</v>
      </c>
      <c r="N66" s="2">
        <v>7.2321900000000001</v>
      </c>
      <c r="O66" s="2">
        <v>124.38068</v>
      </c>
      <c r="P66" s="2" t="s">
        <v>87</v>
      </c>
      <c r="Q66" s="2" t="s">
        <v>219</v>
      </c>
      <c r="R66" s="29" t="e">
        <f>IF(INDEX(#REF!,MATCH('data '!$B66,#REF!,0),MATCH('data '!R$3,#REF!,0))=0,"",INDEX(#REF!,MATCH('data '!$B66,#REF!,0),MATCH('data '!R$3,#REF!,0)))</f>
        <v>#REF!</v>
      </c>
      <c r="S66" s="29" t="e">
        <f>IF(INDEX(#REF!,MATCH('data '!$B66,#REF!,0),MATCH('data '!S$3,#REF!,0))=0,"",INDEX(#REF!,MATCH('data '!$B66,#REF!,0),MATCH('data '!S$3,#REF!,0)))</f>
        <v>#REF!</v>
      </c>
      <c r="T66" s="29" t="e">
        <f>IF(INDEX(#REF!,MATCH('data '!$B66,#REF!,0),MATCH('data '!T$3,#REF!,0))=0,"",INDEX(#REF!,MATCH('data '!$B66,#REF!,0),MATCH('data '!T$3,#REF!,0)))</f>
        <v>#REF!</v>
      </c>
      <c r="V66" s="25" t="s">
        <v>351</v>
      </c>
      <c r="W66" s="25" t="s">
        <v>144</v>
      </c>
      <c r="X66" s="43" t="s">
        <v>25</v>
      </c>
      <c r="Y66" s="43">
        <v>45878</v>
      </c>
      <c r="AC66" s="8" t="e">
        <f>VLOOKUP(B66,#REF!,19,0)</f>
        <v>#REF!</v>
      </c>
      <c r="AP66" s="8" t="str">
        <f t="shared" si="1"/>
        <v>BP Secured</v>
      </c>
      <c r="AQ66" s="10" t="b" cm="1">
        <f t="array" aca="1" ref="AQ66" ca="1">IF(AM66&gt;0,(TODAY()-AM66),IF(AL66&gt;0,(TODAY()-AL66),IF(AK66&gt;0,(TODAY()-AK66,IF(AI66&gt;0,(TODAY()-AI66),IF(AG66&gt;0,(TODAY()-AG66),IF(AF66&gt;0,(TODAY()-AF66),IF(X66&gt;0,(TODAY()-X66)," "))))))))</f>
        <v>0</v>
      </c>
      <c r="BD66" s="2" t="str">
        <f t="shared" si="2"/>
        <v>BP Secured</v>
      </c>
      <c r="BE66" s="2" t="e">
        <v>#VALUE!</v>
      </c>
      <c r="BG66" s="2" t="e">
        <v>#N/A</v>
      </c>
    </row>
    <row r="67" spans="1:60" hidden="1" x14ac:dyDescent="0.25">
      <c r="B67" s="2" t="s">
        <v>487</v>
      </c>
      <c r="C67" s="2" t="s">
        <v>488</v>
      </c>
      <c r="D67" s="44" t="s">
        <v>489</v>
      </c>
      <c r="E67" s="2" t="s">
        <v>11</v>
      </c>
      <c r="F67" s="2">
        <v>0</v>
      </c>
      <c r="G67" s="2" t="s">
        <v>1</v>
      </c>
      <c r="H67" s="2" t="s">
        <v>67</v>
      </c>
      <c r="I67" s="2" t="s">
        <v>68</v>
      </c>
      <c r="J67" s="2" t="s">
        <v>330</v>
      </c>
      <c r="K67" s="2" t="s">
        <v>331</v>
      </c>
      <c r="L67" s="2">
        <v>0</v>
      </c>
      <c r="M67" s="2">
        <v>0</v>
      </c>
      <c r="N67" s="2">
        <v>0</v>
      </c>
      <c r="O67" s="2">
        <v>0</v>
      </c>
      <c r="P67" s="2" t="s">
        <v>490</v>
      </c>
      <c r="Q67" s="2" t="s">
        <v>73</v>
      </c>
      <c r="R67" s="29" t="e">
        <f>IF(INDEX(#REF!,MATCH('data '!$B67,#REF!,0),MATCH('data '!R$3,#REF!,0))=0,"",INDEX(#REF!,MATCH('data '!$B67,#REF!,0),MATCH('data '!R$3,#REF!,0)))</f>
        <v>#REF!</v>
      </c>
      <c r="S67" s="29" t="e">
        <f>IF(INDEX(#REF!,MATCH('data '!$B67,#REF!,0),MATCH('data '!S$3,#REF!,0))=0,"",INDEX(#REF!,MATCH('data '!$B67,#REF!,0),MATCH('data '!S$3,#REF!,0)))</f>
        <v>#REF!</v>
      </c>
      <c r="T67" s="29" t="e">
        <f>IF(INDEX(#REF!,MATCH('data '!$B67,#REF!,0),MATCH('data '!T$3,#REF!,0))=0,"",INDEX(#REF!,MATCH('data '!$B67,#REF!,0),MATCH('data '!T$3,#REF!,0)))</f>
        <v>#REF!</v>
      </c>
      <c r="U67" s="8" t="s">
        <v>25</v>
      </c>
      <c r="V67" s="25" t="s">
        <v>204</v>
      </c>
      <c r="W67" s="25">
        <v>0</v>
      </c>
      <c r="AC67" s="8" t="e">
        <f>VLOOKUP(B67,#REF!,19,0)</f>
        <v>#REF!</v>
      </c>
      <c r="AP67" s="8" t="str">
        <f t="shared" si="1"/>
        <v>Not yet endorsed</v>
      </c>
      <c r="AQ67" s="10" t="b" cm="1">
        <f t="array" aca="1" ref="AQ67" ca="1">IF(AM67&gt;0,(TODAY()-AM67),IF(AL67&gt;0,(TODAY()-AL67),IF(AK67&gt;0,(TODAY()-AK67,IF(AI67&gt;0,(TODAY()-AI67),IF(AG67&gt;0,(TODAY()-AG67),IF(AF67&gt;0,(TODAY()-AF67),IF(X67&gt;0,(TODAY()-X67)," "))))))))</f>
        <v>0</v>
      </c>
      <c r="BD67" s="2" t="str">
        <f t="shared" si="2"/>
        <v>TSSR Approved</v>
      </c>
      <c r="BE67" s="2" t="e">
        <v>#VALUE!</v>
      </c>
      <c r="BG67" s="2" t="e">
        <v>#N/A</v>
      </c>
    </row>
    <row r="68" spans="1:60" hidden="1" x14ac:dyDescent="0.25">
      <c r="B68" s="2" t="s">
        <v>491</v>
      </c>
      <c r="C68" s="2" t="s">
        <v>492</v>
      </c>
      <c r="D68" s="44" t="s">
        <v>493</v>
      </c>
      <c r="E68" s="2" t="s">
        <v>11</v>
      </c>
      <c r="F68" s="2" t="s">
        <v>79</v>
      </c>
      <c r="G68" s="2" t="s">
        <v>1</v>
      </c>
      <c r="H68" s="2" t="s">
        <v>67</v>
      </c>
      <c r="I68" s="2" t="s">
        <v>68</v>
      </c>
      <c r="J68" s="2" t="s">
        <v>330</v>
      </c>
      <c r="K68" s="2" t="s">
        <v>494</v>
      </c>
      <c r="L68" s="2" t="s">
        <v>495</v>
      </c>
      <c r="M68" s="2">
        <v>0</v>
      </c>
      <c r="N68" s="2">
        <v>6.1509999999999998</v>
      </c>
      <c r="O68" s="2">
        <v>125.2878</v>
      </c>
      <c r="P68" s="2" t="s">
        <v>87</v>
      </c>
      <c r="Q68" s="2" t="s">
        <v>265</v>
      </c>
      <c r="R68" s="29" t="e">
        <f>IF(INDEX(#REF!,MATCH('data '!$B68,#REF!,0),MATCH('data '!R$3,#REF!,0))=0,"",INDEX(#REF!,MATCH('data '!$B68,#REF!,0),MATCH('data '!R$3,#REF!,0)))</f>
        <v>#REF!</v>
      </c>
      <c r="S68" s="29" t="e">
        <f>IF(INDEX(#REF!,MATCH('data '!$B68,#REF!,0),MATCH('data '!S$3,#REF!,0))=0,"",INDEX(#REF!,MATCH('data '!$B68,#REF!,0),MATCH('data '!S$3,#REF!,0)))</f>
        <v>#REF!</v>
      </c>
      <c r="T68" s="29" t="e">
        <f>IF(INDEX(#REF!,MATCH('data '!$B68,#REF!,0),MATCH('data '!T$3,#REF!,0))=0,"",INDEX(#REF!,MATCH('data '!$B68,#REF!,0),MATCH('data '!T$3,#REF!,0)))</f>
        <v>#REF!</v>
      </c>
      <c r="U68" s="8" t="s">
        <v>25</v>
      </c>
      <c r="V68" s="25" t="s">
        <v>266</v>
      </c>
      <c r="W68" s="25" t="s">
        <v>144</v>
      </c>
      <c r="X68" s="43" t="s">
        <v>25</v>
      </c>
      <c r="Y68" s="43">
        <v>45808</v>
      </c>
      <c r="Z68" s="8">
        <v>45753</v>
      </c>
      <c r="AA68" s="8" t="s">
        <v>496</v>
      </c>
      <c r="AC68" s="8" t="e">
        <f>VLOOKUP(B68,#REF!,19,0)</f>
        <v>#REF!</v>
      </c>
      <c r="AE68" s="8" t="s">
        <v>497</v>
      </c>
      <c r="AP68" s="8" t="str">
        <f t="shared" ref="AP68:AP131" si="4">IF(AM68&gt;0,"Tempo Energized",IF(AL68&gt;0,"Tempo Permit Released",IF(AK68&gt;0,"COOP Surveyed",IF(AI68&gt;0,"PO Issued",IF(AG68&gt;0,"PQ Raised",IF(AF68&gt;0,"Vendor Allocated",IF(X68&gt;0,"BP Secured","Not yet endorsed")))))))</f>
        <v>BP Secured</v>
      </c>
      <c r="AQ68" s="10" t="b" cm="1">
        <f t="array" aca="1" ref="AQ68" ca="1">IF(AM68&gt;0,(TODAY()-AM68),IF(AL68&gt;0,(TODAY()-AL68),IF(AK68&gt;0,(TODAY()-AK68,IF(AI68&gt;0,(TODAY()-AI68),IF(AG68&gt;0,(TODAY()-AG68),IF(AF68&gt;0,(TODAY()-AF68),IF(X68&gt;0,(TODAY()-X68)," "))))))))</f>
        <v>0</v>
      </c>
      <c r="AT68" s="8">
        <v>45911</v>
      </c>
      <c r="AU68" s="8">
        <v>45915</v>
      </c>
      <c r="BD68" s="2" t="str">
        <f t="shared" ref="BD68:BD131" si="5">IF(BC68&gt;0,"Permanent Energized",IF(BB68&gt;0,"Bill deposit Paid",IF(BA68&gt;0,"Line Construction Completed",IF(AZ68&gt;0,"Line Construction Started",IF(AX68&gt;0,"PO Issued",IF(AV68&gt;0,"PQ Raised",IF(AU68&gt;0,"BoQ Approved",IF(AT68&gt;0,"BoQ Submitted",IF(AF68&gt;0,"Vendor Allocated",IF(X68&gt;0,"BP Secured",IF(U68&gt;0,"TSSR Approved","Not yet endorsed")))))))))))</f>
        <v>BoQ Approved</v>
      </c>
      <c r="BE68" s="2">
        <v>25</v>
      </c>
      <c r="BG68" s="2" t="e">
        <v>#N/A</v>
      </c>
    </row>
    <row r="69" spans="1:60" hidden="1" x14ac:dyDescent="0.25">
      <c r="B69" s="2" t="s">
        <v>498</v>
      </c>
      <c r="C69" s="2" t="s">
        <v>499</v>
      </c>
      <c r="D69" s="44" t="s">
        <v>500</v>
      </c>
      <c r="E69" s="2" t="s">
        <v>11</v>
      </c>
      <c r="F69" s="2">
        <v>0</v>
      </c>
      <c r="G69" s="2" t="s">
        <v>1</v>
      </c>
      <c r="H69" s="2" t="s">
        <v>67</v>
      </c>
      <c r="I69" s="2" t="s">
        <v>68</v>
      </c>
      <c r="J69" s="2" t="s">
        <v>330</v>
      </c>
      <c r="K69" s="2" t="s">
        <v>501</v>
      </c>
      <c r="L69" s="2">
        <v>0</v>
      </c>
      <c r="M69" s="2">
        <v>0</v>
      </c>
      <c r="N69" s="2">
        <v>6.1983949999999997</v>
      </c>
      <c r="O69" s="2">
        <v>124.208304</v>
      </c>
      <c r="P69" s="2" t="s">
        <v>87</v>
      </c>
      <c r="Q69" s="2" t="s">
        <v>227</v>
      </c>
      <c r="R69" s="29" t="e">
        <f>IF(INDEX(#REF!,MATCH('data '!$B69,#REF!,0),MATCH('data '!R$3,#REF!,0))=0,"",INDEX(#REF!,MATCH('data '!$B69,#REF!,0),MATCH('data '!R$3,#REF!,0)))</f>
        <v>#REF!</v>
      </c>
      <c r="S69" s="29" t="e">
        <f>IF(INDEX(#REF!,MATCH('data '!$B69,#REF!,0),MATCH('data '!S$3,#REF!,0))=0,"",INDEX(#REF!,MATCH('data '!$B69,#REF!,0),MATCH('data '!S$3,#REF!,0)))</f>
        <v>#REF!</v>
      </c>
      <c r="T69" s="29" t="e">
        <f>IF(INDEX(#REF!,MATCH('data '!$B69,#REF!,0),MATCH('data '!T$3,#REF!,0))=0,"",INDEX(#REF!,MATCH('data '!$B69,#REF!,0),MATCH('data '!T$3,#REF!,0)))</f>
        <v>#REF!</v>
      </c>
      <c r="V69" s="25" t="s">
        <v>160</v>
      </c>
      <c r="W69" s="25" t="s">
        <v>144</v>
      </c>
      <c r="X69" s="43" t="s">
        <v>25</v>
      </c>
      <c r="Y69" s="43">
        <v>45896</v>
      </c>
      <c r="Z69" s="8">
        <v>45847</v>
      </c>
      <c r="AC69" s="8" t="e">
        <f>VLOOKUP(B69,#REF!,19,0)</f>
        <v>#REF!</v>
      </c>
      <c r="AP69" s="8" t="str">
        <f t="shared" si="4"/>
        <v>BP Secured</v>
      </c>
      <c r="AQ69" s="10" t="b" cm="1">
        <f t="array" aca="1" ref="AQ69" ca="1">IF(AM69&gt;0,(TODAY()-AM69),IF(AL69&gt;0,(TODAY()-AL69),IF(AK69&gt;0,(TODAY()-AK69,IF(AI69&gt;0,(TODAY()-AI69),IF(AG69&gt;0,(TODAY()-AG69),IF(AF69&gt;0,(TODAY()-AF69),IF(X69&gt;0,(TODAY()-X69)," "))))))))</f>
        <v>0</v>
      </c>
      <c r="BD69" s="2" t="str">
        <f t="shared" si="5"/>
        <v>BP Secured</v>
      </c>
      <c r="BE69" s="2" t="e">
        <v>#VALUE!</v>
      </c>
      <c r="BG69" s="2" t="e">
        <v>#N/A</v>
      </c>
    </row>
    <row r="70" spans="1:60" hidden="1" x14ac:dyDescent="0.25">
      <c r="B70" s="2" t="s">
        <v>502</v>
      </c>
      <c r="C70" s="2" t="s">
        <v>503</v>
      </c>
      <c r="D70" s="44" t="s">
        <v>504</v>
      </c>
      <c r="E70" s="2" t="s">
        <v>5</v>
      </c>
      <c r="F70" s="2" t="s">
        <v>208</v>
      </c>
      <c r="G70" s="2" t="s">
        <v>1</v>
      </c>
      <c r="H70" s="2" t="s">
        <v>139</v>
      </c>
      <c r="I70" s="2" t="s">
        <v>140</v>
      </c>
      <c r="J70" s="2" t="s">
        <v>209</v>
      </c>
      <c r="K70" s="2" t="s">
        <v>505</v>
      </c>
      <c r="L70" s="2" t="s">
        <v>506</v>
      </c>
      <c r="M70" s="2">
        <v>0</v>
      </c>
      <c r="N70" s="2">
        <v>17.831600000000002</v>
      </c>
      <c r="O70" s="2">
        <v>121.2663</v>
      </c>
      <c r="P70" s="2" t="s">
        <v>87</v>
      </c>
      <c r="Q70" s="2" t="s">
        <v>227</v>
      </c>
      <c r="R70" s="29" t="e">
        <f>IF(INDEX(#REF!,MATCH('data '!$B70,#REF!,0),MATCH('data '!R$3,#REF!,0))=0,"",INDEX(#REF!,MATCH('data '!$B70,#REF!,0),MATCH('data '!R$3,#REF!,0)))</f>
        <v>#REF!</v>
      </c>
      <c r="S70" s="29" t="e">
        <f>IF(INDEX(#REF!,MATCH('data '!$B70,#REF!,0),MATCH('data '!S$3,#REF!,0))=0,"",INDEX(#REF!,MATCH('data '!$B70,#REF!,0),MATCH('data '!S$3,#REF!,0)))</f>
        <v>#REF!</v>
      </c>
      <c r="T70" s="29" t="e">
        <f>IF(INDEX(#REF!,MATCH('data '!$B70,#REF!,0),MATCH('data '!T$3,#REF!,0))=0,"",INDEX(#REF!,MATCH('data '!$B70,#REF!,0),MATCH('data '!T$3,#REF!,0)))</f>
        <v>#REF!</v>
      </c>
      <c r="V70" s="25" t="s">
        <v>160</v>
      </c>
      <c r="W70" s="25" t="s">
        <v>144</v>
      </c>
      <c r="X70" s="9" t="s">
        <v>25</v>
      </c>
      <c r="Y70" s="9">
        <v>45831</v>
      </c>
      <c r="Z70" s="8">
        <v>45755</v>
      </c>
      <c r="AC70" s="8" t="e">
        <f>VLOOKUP(B70,#REF!,19,0)</f>
        <v>#REF!</v>
      </c>
      <c r="AE70" s="8" t="s">
        <v>212</v>
      </c>
      <c r="AF70" s="8">
        <v>45908</v>
      </c>
      <c r="AG70" s="8">
        <v>45908</v>
      </c>
      <c r="AH70" s="8" t="s">
        <v>507</v>
      </c>
      <c r="AI70" s="8">
        <v>45909</v>
      </c>
      <c r="AJ70" s="8" t="s">
        <v>508</v>
      </c>
      <c r="AK70" s="8">
        <v>45916</v>
      </c>
      <c r="AL70" s="8">
        <v>45944</v>
      </c>
      <c r="AM70" s="8">
        <v>45969</v>
      </c>
      <c r="AP70" s="8" t="str">
        <f t="shared" si="4"/>
        <v>Tempo Energized</v>
      </c>
      <c r="AS70" s="8" t="s">
        <v>509</v>
      </c>
      <c r="AT70" s="11"/>
      <c r="AU70" s="11"/>
      <c r="AV70" s="11"/>
      <c r="AW70" s="11"/>
      <c r="AX70" s="11"/>
      <c r="AY70" s="11"/>
      <c r="BD70" s="2" t="str">
        <f t="shared" si="5"/>
        <v>Vendor Allocated</v>
      </c>
      <c r="BE70" s="2">
        <v>32</v>
      </c>
      <c r="BF70" s="2" t="s">
        <v>510</v>
      </c>
      <c r="BG70" s="2" t="e">
        <v>#N/A</v>
      </c>
      <c r="BH70" s="2" t="e" vm="1">
        <v>#REF!</v>
      </c>
    </row>
    <row r="71" spans="1:60" hidden="1" x14ac:dyDescent="0.25">
      <c r="B71" s="2" t="s">
        <v>511</v>
      </c>
      <c r="C71" s="2" t="s">
        <v>512</v>
      </c>
      <c r="D71" s="44" t="s">
        <v>513</v>
      </c>
      <c r="E71" s="2" t="s">
        <v>11</v>
      </c>
      <c r="F71" s="2" t="s">
        <v>514</v>
      </c>
      <c r="G71" s="2" t="s">
        <v>1</v>
      </c>
      <c r="H71" s="2" t="s">
        <v>165</v>
      </c>
      <c r="I71" s="2" t="s">
        <v>68</v>
      </c>
      <c r="J71" s="2" t="s">
        <v>239</v>
      </c>
      <c r="K71" s="2" t="s">
        <v>515</v>
      </c>
      <c r="L71" s="2" t="s">
        <v>124</v>
      </c>
      <c r="M71" s="2">
        <v>0</v>
      </c>
      <c r="N71" s="2">
        <v>8.9678559999999994</v>
      </c>
      <c r="O71" s="2">
        <v>125.977327</v>
      </c>
      <c r="P71" s="2" t="s">
        <v>87</v>
      </c>
      <c r="Q71" s="2" t="s">
        <v>184</v>
      </c>
      <c r="R71" s="29" t="e">
        <f>IF(INDEX(#REF!,MATCH('data '!$B71,#REF!,0),MATCH('data '!R$3,#REF!,0))=0,"",INDEX(#REF!,MATCH('data '!$B71,#REF!,0),MATCH('data '!R$3,#REF!,0)))</f>
        <v>#REF!</v>
      </c>
      <c r="S71" s="29" t="e">
        <f>IF(INDEX(#REF!,MATCH('data '!$B71,#REF!,0),MATCH('data '!S$3,#REF!,0))=0,"",INDEX(#REF!,MATCH('data '!$B71,#REF!,0),MATCH('data '!S$3,#REF!,0)))</f>
        <v>#REF!</v>
      </c>
      <c r="T71" s="29" t="e">
        <f>IF(INDEX(#REF!,MATCH('data '!$B71,#REF!,0),MATCH('data '!T$3,#REF!,0))=0,"",INDEX(#REF!,MATCH('data '!$B71,#REF!,0),MATCH('data '!T$3,#REF!,0)))</f>
        <v>#REF!</v>
      </c>
      <c r="U71" s="8" t="s">
        <v>25</v>
      </c>
      <c r="V71" s="25" t="s">
        <v>266</v>
      </c>
      <c r="W71" s="25" t="s">
        <v>144</v>
      </c>
      <c r="X71" s="43" t="s">
        <v>25</v>
      </c>
      <c r="Y71" s="43">
        <v>45803</v>
      </c>
      <c r="AA71" s="8" t="s">
        <v>267</v>
      </c>
      <c r="AC71" s="8" t="e">
        <f>VLOOKUP(B71,#REF!,19,0)</f>
        <v>#REF!</v>
      </c>
      <c r="AE71" s="8" t="s">
        <v>460</v>
      </c>
      <c r="AP71" s="8" t="str">
        <f t="shared" si="4"/>
        <v>BP Secured</v>
      </c>
      <c r="AQ71" s="10" t="b" cm="1">
        <f t="array" aca="1" ref="AQ71" ca="1">IF(AM71&gt;0,(TODAY()-AM71),IF(AL71&gt;0,(TODAY()-AL71),IF(AK71&gt;0,(TODAY()-AK71,IF(AI71&gt;0,(TODAY()-AI71),IF(AG71&gt;0,(TODAY()-AG71),IF(AF71&gt;0,(TODAY()-AF71),IF(X71&gt;0,(TODAY()-X71)," "))))))))</f>
        <v>0</v>
      </c>
      <c r="AT71" s="8" t="s">
        <v>155</v>
      </c>
      <c r="AU71" s="8">
        <v>45867</v>
      </c>
      <c r="AV71" s="8">
        <v>45873</v>
      </c>
      <c r="AX71" s="8">
        <v>45876</v>
      </c>
      <c r="BD71" s="2" t="str">
        <f t="shared" si="5"/>
        <v>PO Issued</v>
      </c>
      <c r="BE71" s="2">
        <v>64</v>
      </c>
      <c r="BG71" s="2" t="e">
        <v>#N/A</v>
      </c>
    </row>
    <row r="72" spans="1:60" hidden="1" x14ac:dyDescent="0.25">
      <c r="B72" s="2" t="s">
        <v>516</v>
      </c>
      <c r="C72" s="2" t="s">
        <v>517</v>
      </c>
      <c r="D72" s="44" t="s">
        <v>518</v>
      </c>
      <c r="E72" s="2" t="s">
        <v>11</v>
      </c>
      <c r="F72" s="2" t="s">
        <v>514</v>
      </c>
      <c r="G72" s="2" t="s">
        <v>1</v>
      </c>
      <c r="H72" s="2" t="s">
        <v>165</v>
      </c>
      <c r="I72" s="2" t="s">
        <v>68</v>
      </c>
      <c r="J72" s="2" t="s">
        <v>239</v>
      </c>
      <c r="K72" s="2" t="s">
        <v>515</v>
      </c>
      <c r="L72" s="2" t="s">
        <v>124</v>
      </c>
      <c r="M72" s="2" t="s">
        <v>519</v>
      </c>
      <c r="N72" s="2">
        <v>8.8659420000000004</v>
      </c>
      <c r="O72" s="2">
        <v>125.976169</v>
      </c>
      <c r="P72" s="2" t="s">
        <v>87</v>
      </c>
      <c r="Q72" s="2" t="s">
        <v>184</v>
      </c>
      <c r="R72" s="29" t="e">
        <f>IF(INDEX(#REF!,MATCH('data '!$B72,#REF!,0),MATCH('data '!R$3,#REF!,0))=0,"",INDEX(#REF!,MATCH('data '!$B72,#REF!,0),MATCH('data '!R$3,#REF!,0)))</f>
        <v>#REF!</v>
      </c>
      <c r="S72" s="29" t="e">
        <f>IF(INDEX(#REF!,MATCH('data '!$B72,#REF!,0),MATCH('data '!S$3,#REF!,0))=0,"",INDEX(#REF!,MATCH('data '!$B72,#REF!,0),MATCH('data '!S$3,#REF!,0)))</f>
        <v>#REF!</v>
      </c>
      <c r="T72" s="29" t="e">
        <f>IF(INDEX(#REF!,MATCH('data '!$B72,#REF!,0),MATCH('data '!T$3,#REF!,0))=0,"",INDEX(#REF!,MATCH('data '!$B72,#REF!,0),MATCH('data '!T$3,#REF!,0)))</f>
        <v>#REF!</v>
      </c>
      <c r="U72" s="8" t="s">
        <v>25</v>
      </c>
      <c r="V72" s="25" t="s">
        <v>266</v>
      </c>
      <c r="W72" s="25" t="s">
        <v>144</v>
      </c>
      <c r="X72" s="43" t="s">
        <v>25</v>
      </c>
      <c r="Y72" s="43">
        <v>45724</v>
      </c>
      <c r="AA72" s="8" t="s">
        <v>520</v>
      </c>
      <c r="AB72" s="8">
        <v>45926</v>
      </c>
      <c r="AC72" s="8" t="e">
        <f>VLOOKUP(B72,#REF!,19,0)</f>
        <v>#REF!</v>
      </c>
      <c r="AE72" s="8" t="s">
        <v>497</v>
      </c>
      <c r="AP72" s="8" t="str">
        <f t="shared" si="4"/>
        <v>BP Secured</v>
      </c>
      <c r="AQ72" s="10" t="b" cm="1">
        <f t="array" aca="1" ref="AQ72" ca="1">IF(AM72&gt;0,(TODAY()-AM72),IF(AL72&gt;0,(TODAY()-AL72),IF(AK72&gt;0,(TODAY()-AK72,IF(AI72&gt;0,(TODAY()-AI72),IF(AG72&gt;0,(TODAY()-AG72),IF(AF72&gt;0,(TODAY()-AF72),IF(X72&gt;0,(TODAY()-X72)," "))))))))</f>
        <v>0</v>
      </c>
      <c r="AT72" s="8" t="s">
        <v>155</v>
      </c>
      <c r="AU72" s="8">
        <v>45770</v>
      </c>
      <c r="AV72" s="8">
        <v>45769</v>
      </c>
      <c r="AX72" s="8">
        <v>45772</v>
      </c>
      <c r="BD72" s="2" t="str">
        <f t="shared" si="5"/>
        <v>PO Issued</v>
      </c>
      <c r="BE72" s="2">
        <v>168</v>
      </c>
      <c r="BG72" s="2" t="e">
        <v>#N/A</v>
      </c>
    </row>
    <row r="73" spans="1:60" hidden="1" x14ac:dyDescent="0.25">
      <c r="B73" s="2" t="s">
        <v>521</v>
      </c>
      <c r="C73" s="2" t="s">
        <v>522</v>
      </c>
      <c r="D73" s="44" t="s">
        <v>523</v>
      </c>
      <c r="E73" s="2" t="s">
        <v>4</v>
      </c>
      <c r="F73" s="2" t="s">
        <v>358</v>
      </c>
      <c r="G73" s="2" t="s">
        <v>1</v>
      </c>
      <c r="H73" s="2" t="s">
        <v>139</v>
      </c>
      <c r="I73" s="2" t="s">
        <v>140</v>
      </c>
      <c r="J73" s="2" t="s">
        <v>122</v>
      </c>
      <c r="K73" s="2" t="s">
        <v>359</v>
      </c>
      <c r="L73" s="2" t="s">
        <v>360</v>
      </c>
      <c r="M73" s="2">
        <v>0</v>
      </c>
      <c r="N73" s="2">
        <v>15.6427</v>
      </c>
      <c r="O73" s="2">
        <v>120.523246</v>
      </c>
      <c r="P73" s="2" t="s">
        <v>87</v>
      </c>
      <c r="Q73" s="2" t="s">
        <v>265</v>
      </c>
      <c r="R73" s="29" t="e">
        <f>IF(INDEX(#REF!,MATCH('data '!$B73,#REF!,0),MATCH('data '!R$3,#REF!,0))=0,"",INDEX(#REF!,MATCH('data '!$B73,#REF!,0),MATCH('data '!R$3,#REF!,0)))</f>
        <v>#REF!</v>
      </c>
      <c r="S73" s="29" t="e">
        <f>IF(INDEX(#REF!,MATCH('data '!$B73,#REF!,0),MATCH('data '!S$3,#REF!,0))=0,"",INDEX(#REF!,MATCH('data '!$B73,#REF!,0),MATCH('data '!S$3,#REF!,0)))</f>
        <v>#REF!</v>
      </c>
      <c r="T73" s="29" t="e">
        <f>IF(INDEX(#REF!,MATCH('data '!$B73,#REF!,0),MATCH('data '!T$3,#REF!,0))=0,"",INDEX(#REF!,MATCH('data '!$B73,#REF!,0),MATCH('data '!T$3,#REF!,0)))</f>
        <v>#REF!</v>
      </c>
      <c r="U73" s="8" t="s">
        <v>25</v>
      </c>
      <c r="V73" s="25" t="s">
        <v>266</v>
      </c>
      <c r="W73" s="25" t="s">
        <v>144</v>
      </c>
      <c r="X73" s="9" t="s">
        <v>25</v>
      </c>
      <c r="Y73" s="9">
        <v>45807</v>
      </c>
      <c r="AA73" s="8">
        <v>45817</v>
      </c>
      <c r="AC73" s="8" t="e">
        <f>VLOOKUP(B73,#REF!,19,0)</f>
        <v>#REF!</v>
      </c>
      <c r="AE73" s="8" t="s">
        <v>361</v>
      </c>
      <c r="AF73" s="8">
        <v>45814</v>
      </c>
      <c r="AH73" s="8" t="s">
        <v>362</v>
      </c>
      <c r="AP73" s="8" t="str">
        <f t="shared" si="4"/>
        <v>Vendor Allocated</v>
      </c>
      <c r="AQ73" s="10" t="b" cm="1">
        <f t="array" aca="1" ref="AQ73" ca="1">IF(AM73&gt;0,(TODAY()-AM73),IF(AL73&gt;0,(TODAY()-AL73),IF(AK73&gt;0,(TODAY()-AK73,IF(AI73&gt;0,(TODAY()-AI73),IF(AG73&gt;0,(TODAY()-AG73),IF(AF73&gt;0,(TODAY()-AF73),IF(X73&gt;0,(TODAY()-X73)," "))))))))</f>
        <v>0</v>
      </c>
      <c r="AT73" s="8">
        <v>45957</v>
      </c>
      <c r="AU73" s="8">
        <v>45966</v>
      </c>
      <c r="AV73" s="8">
        <v>45966</v>
      </c>
      <c r="AW73" s="8" t="s">
        <v>524</v>
      </c>
      <c r="AX73" s="8">
        <v>45966</v>
      </c>
      <c r="AY73" s="8" t="s">
        <v>525</v>
      </c>
      <c r="AZ73" s="8">
        <v>46006</v>
      </c>
      <c r="BD73" s="2" t="str">
        <f t="shared" si="5"/>
        <v>Line Construction Started</v>
      </c>
      <c r="BE73" s="2">
        <v>126</v>
      </c>
      <c r="BF73" s="2" t="s">
        <v>526</v>
      </c>
      <c r="BG73" s="2" t="e">
        <v>#N/A</v>
      </c>
    </row>
    <row r="74" spans="1:60" hidden="1" x14ac:dyDescent="0.25">
      <c r="B74" s="2" t="s">
        <v>527</v>
      </c>
      <c r="C74" s="2" t="s">
        <v>528</v>
      </c>
      <c r="D74" s="44" t="s">
        <v>529</v>
      </c>
      <c r="E74" s="2" t="s">
        <v>4</v>
      </c>
      <c r="F74" s="2" t="s">
        <v>358</v>
      </c>
      <c r="G74" s="2" t="s">
        <v>1</v>
      </c>
      <c r="H74" s="2" t="s">
        <v>139</v>
      </c>
      <c r="I74" s="2" t="s">
        <v>140</v>
      </c>
      <c r="J74" s="2" t="s">
        <v>122</v>
      </c>
      <c r="K74" s="2" t="s">
        <v>359</v>
      </c>
      <c r="L74" s="2" t="s">
        <v>360</v>
      </c>
      <c r="M74" s="2">
        <v>0</v>
      </c>
      <c r="N74" s="2">
        <v>15.630262</v>
      </c>
      <c r="O74" s="2">
        <v>120.54918600000001</v>
      </c>
      <c r="P74" s="2" t="s">
        <v>87</v>
      </c>
      <c r="Q74" s="2" t="s">
        <v>198</v>
      </c>
      <c r="R74" s="29" t="e">
        <f>IF(INDEX(#REF!,MATCH('data '!$B74,#REF!,0),MATCH('data '!R$3,#REF!,0))=0,"",INDEX(#REF!,MATCH('data '!$B74,#REF!,0),MATCH('data '!R$3,#REF!,0)))</f>
        <v>#REF!</v>
      </c>
      <c r="S74" s="29" t="e">
        <f>IF(INDEX(#REF!,MATCH('data '!$B74,#REF!,0),MATCH('data '!S$3,#REF!,0))=0,"",INDEX(#REF!,MATCH('data '!$B74,#REF!,0),MATCH('data '!S$3,#REF!,0)))</f>
        <v>#REF!</v>
      </c>
      <c r="T74" s="29" t="e">
        <f>IF(INDEX(#REF!,MATCH('data '!$B74,#REF!,0),MATCH('data '!T$3,#REF!,0))=0,"",INDEX(#REF!,MATCH('data '!$B74,#REF!,0),MATCH('data '!T$3,#REF!,0)))</f>
        <v>#REF!</v>
      </c>
      <c r="U74" s="8" t="s">
        <v>25</v>
      </c>
      <c r="V74" s="25" t="s">
        <v>185</v>
      </c>
      <c r="W74" s="25" t="s">
        <v>144</v>
      </c>
      <c r="X74" s="9" t="s">
        <v>25</v>
      </c>
      <c r="Y74" s="9">
        <v>45819</v>
      </c>
      <c r="AC74" s="8" t="e">
        <f>VLOOKUP(B74,#REF!,19,0)</f>
        <v>#REF!</v>
      </c>
      <c r="AE74" s="8" t="s">
        <v>530</v>
      </c>
      <c r="AF74" s="8">
        <v>45908</v>
      </c>
      <c r="AG74" s="8">
        <v>45908</v>
      </c>
      <c r="AH74" s="8" t="s">
        <v>531</v>
      </c>
      <c r="AI74" s="8">
        <v>45909</v>
      </c>
      <c r="AJ74" s="8" t="s">
        <v>532</v>
      </c>
      <c r="AK74" s="8">
        <v>45931</v>
      </c>
      <c r="AL74" s="8">
        <v>45915</v>
      </c>
      <c r="AM74" s="8">
        <v>45926</v>
      </c>
      <c r="AP74" s="8" t="str">
        <f t="shared" si="4"/>
        <v>Tempo Energized</v>
      </c>
      <c r="AS74" s="8" t="s">
        <v>533</v>
      </c>
      <c r="AT74" s="8">
        <v>45957</v>
      </c>
      <c r="AU74" s="8">
        <v>45966</v>
      </c>
      <c r="AV74" s="8">
        <v>45966</v>
      </c>
      <c r="AW74" s="8" t="s">
        <v>524</v>
      </c>
      <c r="AX74" s="8">
        <v>45966</v>
      </c>
      <c r="AY74" s="8" t="s">
        <v>525</v>
      </c>
      <c r="BD74" s="2" t="str">
        <f t="shared" si="5"/>
        <v>PO Issued</v>
      </c>
      <c r="BF74" s="2" t="s">
        <v>534</v>
      </c>
      <c r="BG74" s="2" t="e">
        <v>#N/A</v>
      </c>
    </row>
    <row r="75" spans="1:60" ht="16.5" hidden="1" customHeight="1" x14ac:dyDescent="0.25">
      <c r="B75" s="2" t="s">
        <v>535</v>
      </c>
      <c r="C75" s="2" t="s">
        <v>536</v>
      </c>
      <c r="D75" s="44" t="s">
        <v>537</v>
      </c>
      <c r="E75" s="2" t="s">
        <v>4</v>
      </c>
      <c r="F75" s="2" t="s">
        <v>538</v>
      </c>
      <c r="G75" s="2" t="s">
        <v>1</v>
      </c>
      <c r="H75" s="2" t="s">
        <v>139</v>
      </c>
      <c r="I75" s="2" t="s">
        <v>140</v>
      </c>
      <c r="J75" s="2" t="s">
        <v>122</v>
      </c>
      <c r="K75" s="2" t="s">
        <v>359</v>
      </c>
      <c r="L75" s="2" t="s">
        <v>539</v>
      </c>
      <c r="M75" s="2">
        <v>0</v>
      </c>
      <c r="N75" s="2">
        <v>15.472346</v>
      </c>
      <c r="O75" s="2">
        <v>120.64550800000001</v>
      </c>
      <c r="P75" s="2" t="s">
        <v>87</v>
      </c>
      <c r="Q75" s="2" t="s">
        <v>73</v>
      </c>
      <c r="R75" s="29" t="e">
        <f>IF(INDEX(#REF!,MATCH('data '!$B75,#REF!,0),MATCH('data '!R$3,#REF!,0))=0,"",INDEX(#REF!,MATCH('data '!$B75,#REF!,0),MATCH('data '!R$3,#REF!,0)))</f>
        <v>#REF!</v>
      </c>
      <c r="S75" s="29" t="e">
        <f>IF(INDEX(#REF!,MATCH('data '!$B75,#REF!,0),MATCH('data '!S$3,#REF!,0))=0,"",INDEX(#REF!,MATCH('data '!$B75,#REF!,0),MATCH('data '!S$3,#REF!,0)))</f>
        <v>#REF!</v>
      </c>
      <c r="T75" s="29" t="e">
        <f>IF(INDEX(#REF!,MATCH('data '!$B75,#REF!,0),MATCH('data '!T$3,#REF!,0))=0,"",INDEX(#REF!,MATCH('data '!$B75,#REF!,0),MATCH('data '!T$3,#REF!,0)))</f>
        <v>#REF!</v>
      </c>
      <c r="U75" s="8" t="s">
        <v>25</v>
      </c>
      <c r="V75" s="25" t="s">
        <v>160</v>
      </c>
      <c r="W75" s="25" t="s">
        <v>144</v>
      </c>
      <c r="X75" s="9" t="s">
        <v>25</v>
      </c>
      <c r="Y75" s="9">
        <v>45878</v>
      </c>
      <c r="AC75" s="8" t="e">
        <f>VLOOKUP(B75,#REF!,19,0)</f>
        <v>#REF!</v>
      </c>
      <c r="AE75" s="8" t="s">
        <v>540</v>
      </c>
      <c r="AF75" s="8">
        <v>45908</v>
      </c>
      <c r="AG75" s="8">
        <v>45908</v>
      </c>
      <c r="AH75" s="8" t="s">
        <v>373</v>
      </c>
      <c r="AI75" s="8">
        <v>45909</v>
      </c>
      <c r="AJ75" s="8" t="s">
        <v>374</v>
      </c>
      <c r="AK75" s="8">
        <v>45916</v>
      </c>
      <c r="AP75" s="8" t="str">
        <f t="shared" si="4"/>
        <v>COOP Surveyed</v>
      </c>
      <c r="AR75" s="10" t="s">
        <v>541</v>
      </c>
      <c r="AS75" s="8" t="s">
        <v>542</v>
      </c>
      <c r="AT75" s="11"/>
      <c r="AU75" s="11"/>
      <c r="AV75" s="11"/>
      <c r="AW75" s="11"/>
      <c r="AX75" s="11"/>
      <c r="AY75" s="11"/>
      <c r="BD75" s="2" t="str">
        <f t="shared" si="5"/>
        <v>Vendor Allocated</v>
      </c>
      <c r="BG75" s="2" t="e">
        <v>#N/A</v>
      </c>
    </row>
    <row r="76" spans="1:60" hidden="1" x14ac:dyDescent="0.25">
      <c r="B76" s="7" t="s">
        <v>543</v>
      </c>
      <c r="C76" s="2" t="s">
        <v>544</v>
      </c>
      <c r="D76" s="44" t="s">
        <v>545</v>
      </c>
      <c r="E76" s="2" t="s">
        <v>4</v>
      </c>
      <c r="F76" s="2" t="s">
        <v>358</v>
      </c>
      <c r="G76" s="2" t="s">
        <v>1</v>
      </c>
      <c r="H76" s="2" t="s">
        <v>139</v>
      </c>
      <c r="I76" s="2" t="s">
        <v>140</v>
      </c>
      <c r="J76" s="2" t="s">
        <v>122</v>
      </c>
      <c r="K76" s="2" t="s">
        <v>359</v>
      </c>
      <c r="L76" s="2" t="s">
        <v>546</v>
      </c>
      <c r="M76" s="2">
        <v>0</v>
      </c>
      <c r="N76" s="2">
        <v>15.619992</v>
      </c>
      <c r="O76" s="2">
        <v>120.496132</v>
      </c>
      <c r="P76" s="2" t="s">
        <v>87</v>
      </c>
      <c r="Q76" s="2" t="s">
        <v>265</v>
      </c>
      <c r="R76" s="29" t="e">
        <f>IF(INDEX(#REF!,MATCH('data '!$B76,#REF!,0),MATCH('data '!R$3,#REF!,0))=0,"",INDEX(#REF!,MATCH('data '!$B76,#REF!,0),MATCH('data '!R$3,#REF!,0)))</f>
        <v>#REF!</v>
      </c>
      <c r="S76" s="29" t="e">
        <f>IF(INDEX(#REF!,MATCH('data '!$B76,#REF!,0),MATCH('data '!S$3,#REF!,0))=0,"",INDEX(#REF!,MATCH('data '!$B76,#REF!,0),MATCH('data '!S$3,#REF!,0)))</f>
        <v>#REF!</v>
      </c>
      <c r="T76" s="29" t="e">
        <f>IF(INDEX(#REF!,MATCH('data '!$B76,#REF!,0),MATCH('data '!T$3,#REF!,0))=0,"",INDEX(#REF!,MATCH('data '!$B76,#REF!,0),MATCH('data '!T$3,#REF!,0)))</f>
        <v>#REF!</v>
      </c>
      <c r="U76" s="8" t="s">
        <v>25</v>
      </c>
      <c r="V76" s="25" t="s">
        <v>266</v>
      </c>
      <c r="W76" s="25" t="s">
        <v>144</v>
      </c>
      <c r="X76" s="9" t="s">
        <v>25</v>
      </c>
      <c r="Y76" s="9">
        <v>45838</v>
      </c>
      <c r="AB76" s="8">
        <v>45929</v>
      </c>
      <c r="AC76" s="8" t="e">
        <f>VLOOKUP(B76,#REF!,19,0)</f>
        <v>#REF!</v>
      </c>
      <c r="AE76" s="8" t="s">
        <v>547</v>
      </c>
      <c r="AF76" s="8">
        <v>45845</v>
      </c>
      <c r="AH76" s="8" t="s">
        <v>362</v>
      </c>
      <c r="AP76" s="8" t="str">
        <f t="shared" si="4"/>
        <v>Vendor Allocated</v>
      </c>
      <c r="AQ76" s="10" t="b" cm="1">
        <f t="array" aca="1" ref="AQ76" ca="1">IF(AM76&gt;0,(TODAY()-AM76),IF(AL76&gt;0,(TODAY()-AL76),IF(AK76&gt;0,(TODAY()-AK76,IF(AI76&gt;0,(TODAY()-AI76),IF(AG76&gt;0,(TODAY()-AG76),IF(AF76&gt;0,(TODAY()-AF76),IF(X76&gt;0,(TODAY()-X76)," "))))))))</f>
        <v>0</v>
      </c>
      <c r="AT76" s="8">
        <v>45975</v>
      </c>
      <c r="AU76" s="8">
        <v>46006</v>
      </c>
      <c r="AV76" s="8">
        <v>46006</v>
      </c>
      <c r="AW76" s="8" t="s">
        <v>548</v>
      </c>
      <c r="AX76" s="8">
        <v>46009</v>
      </c>
      <c r="AY76" s="8" t="s">
        <v>549</v>
      </c>
      <c r="BD76" s="2" t="str">
        <f t="shared" si="5"/>
        <v>PO Issued</v>
      </c>
      <c r="BE76" s="2">
        <v>95</v>
      </c>
      <c r="BF76" s="2" t="s">
        <v>534</v>
      </c>
      <c r="BG76" s="2" t="e">
        <v>#N/A</v>
      </c>
    </row>
    <row r="77" spans="1:60" hidden="1" x14ac:dyDescent="0.25">
      <c r="B77" s="2" t="s">
        <v>550</v>
      </c>
      <c r="C77" s="2" t="s">
        <v>551</v>
      </c>
      <c r="D77" s="44" t="s">
        <v>552</v>
      </c>
      <c r="E77" s="2" t="s">
        <v>11</v>
      </c>
      <c r="F77" s="2">
        <v>0</v>
      </c>
      <c r="G77" s="2" t="s">
        <v>1</v>
      </c>
      <c r="H77" s="2" t="s">
        <v>67</v>
      </c>
      <c r="I77" s="2" t="s">
        <v>68</v>
      </c>
      <c r="J77" s="2" t="s">
        <v>330</v>
      </c>
      <c r="K77" s="2" t="s">
        <v>501</v>
      </c>
      <c r="L77" s="2">
        <v>0</v>
      </c>
      <c r="M77" s="2">
        <v>0</v>
      </c>
      <c r="N77" s="2">
        <v>6.2234299999999996</v>
      </c>
      <c r="O77" s="2">
        <v>124.19970000000001</v>
      </c>
      <c r="P77" s="2" t="s">
        <v>87</v>
      </c>
      <c r="Q77" s="2" t="s">
        <v>227</v>
      </c>
      <c r="R77" s="29" t="e">
        <f>IF(INDEX(#REF!,MATCH('data '!$B77,#REF!,0),MATCH('data '!R$3,#REF!,0))=0,"",INDEX(#REF!,MATCH('data '!$B77,#REF!,0),MATCH('data '!R$3,#REF!,0)))</f>
        <v>#REF!</v>
      </c>
      <c r="S77" s="29" t="e">
        <f>IF(INDEX(#REF!,MATCH('data '!$B77,#REF!,0),MATCH('data '!S$3,#REF!,0))=0,"",INDEX(#REF!,MATCH('data '!$B77,#REF!,0),MATCH('data '!S$3,#REF!,0)))</f>
        <v>#REF!</v>
      </c>
      <c r="T77" s="29" t="e">
        <f>IF(INDEX(#REF!,MATCH('data '!$B77,#REF!,0),MATCH('data '!T$3,#REF!,0))=0,"",INDEX(#REF!,MATCH('data '!$B77,#REF!,0),MATCH('data '!T$3,#REF!,0)))</f>
        <v>#REF!</v>
      </c>
      <c r="V77" s="25" t="s">
        <v>160</v>
      </c>
      <c r="W77" s="25" t="s">
        <v>144</v>
      </c>
      <c r="X77" s="43" t="s">
        <v>25</v>
      </c>
      <c r="Y77" s="43">
        <v>45878</v>
      </c>
      <c r="Z77" s="8">
        <v>45697</v>
      </c>
      <c r="AC77" s="8" t="e">
        <f>VLOOKUP(B77,#REF!,19,0)</f>
        <v>#REF!</v>
      </c>
      <c r="AP77" s="8" t="str">
        <f t="shared" si="4"/>
        <v>BP Secured</v>
      </c>
      <c r="AQ77" s="10" t="b" cm="1">
        <f t="array" aca="1" ref="AQ77" ca="1">IF(AM77&gt;0,(TODAY()-AM77),IF(AL77&gt;0,(TODAY()-AL77),IF(AK77&gt;0,(TODAY()-AK77,IF(AI77&gt;0,(TODAY()-AI77),IF(AG77&gt;0,(TODAY()-AG77),IF(AF77&gt;0,(TODAY()-AF77),IF(X77&gt;0,(TODAY()-X77)," "))))))))</f>
        <v>0</v>
      </c>
      <c r="BD77" s="2" t="str">
        <f t="shared" si="5"/>
        <v>BP Secured</v>
      </c>
      <c r="BE77" s="2" t="e">
        <v>#VALUE!</v>
      </c>
      <c r="BG77" s="2" t="e">
        <v>#N/A</v>
      </c>
    </row>
    <row r="78" spans="1:60" hidden="1" x14ac:dyDescent="0.25">
      <c r="B78" s="2" t="s">
        <v>553</v>
      </c>
      <c r="C78" s="2" t="s">
        <v>554</v>
      </c>
      <c r="D78" s="44" t="s">
        <v>555</v>
      </c>
      <c r="E78" s="2" t="s">
        <v>6</v>
      </c>
      <c r="F78" s="2">
        <v>0</v>
      </c>
      <c r="G78" s="2" t="s">
        <v>1</v>
      </c>
      <c r="H78" s="2" t="s">
        <v>111</v>
      </c>
      <c r="I78" s="2" t="s">
        <v>112</v>
      </c>
      <c r="J78" s="2" t="s">
        <v>113</v>
      </c>
      <c r="K78" s="2" t="s">
        <v>114</v>
      </c>
      <c r="L78" s="2">
        <v>0</v>
      </c>
      <c r="M78" s="2">
        <v>0</v>
      </c>
      <c r="N78" s="2">
        <v>0</v>
      </c>
      <c r="O78" s="2">
        <v>0</v>
      </c>
      <c r="P78" s="2" t="s">
        <v>82</v>
      </c>
      <c r="Q78" s="2">
        <v>0</v>
      </c>
      <c r="R78" s="29" t="e">
        <f>IF(INDEX(#REF!,MATCH('data '!$B78,#REF!,0),MATCH('data '!R$3,#REF!,0))=0,"",INDEX(#REF!,MATCH('data '!$B78,#REF!,0),MATCH('data '!R$3,#REF!,0)))</f>
        <v>#REF!</v>
      </c>
      <c r="S78" s="29" t="e">
        <f>IF(INDEX(#REF!,MATCH('data '!$B78,#REF!,0),MATCH('data '!S$3,#REF!,0))=0,"",INDEX(#REF!,MATCH('data '!$B78,#REF!,0),MATCH('data '!S$3,#REF!,0)))</f>
        <v>#REF!</v>
      </c>
      <c r="T78" s="29" t="e">
        <f>IF(INDEX(#REF!,MATCH('data '!$B78,#REF!,0),MATCH('data '!T$3,#REF!,0))=0,"",INDEX(#REF!,MATCH('data '!$B78,#REF!,0),MATCH('data '!T$3,#REF!,0)))</f>
        <v>#REF!</v>
      </c>
      <c r="V78" s="25" t="s">
        <v>82</v>
      </c>
      <c r="W78" s="25" t="s">
        <v>83</v>
      </c>
      <c r="AC78" s="8" t="e">
        <f>VLOOKUP(B78,#REF!,19,0)</f>
        <v>#REF!</v>
      </c>
      <c r="AP78" s="8" t="str">
        <f t="shared" si="4"/>
        <v>Not yet endorsed</v>
      </c>
      <c r="AQ78" s="10" t="b" cm="1">
        <f t="array" aca="1" ref="AQ78" ca="1">IF(AM78&gt;0,(TODAY()-AM78),IF(AL78&gt;0,(TODAY()-AL78),IF(AK78&gt;0,(TODAY()-AK78,IF(AI78&gt;0,(TODAY()-AI78),IF(AG78&gt;0,(TODAY()-AG78),IF(AF78&gt;0,(TODAY()-AF78),IF(X78&gt;0,(TODAY()-X78)," "))))))))</f>
        <v>0</v>
      </c>
      <c r="BD78" s="2" t="str">
        <f t="shared" si="5"/>
        <v>Not yet endorsed</v>
      </c>
      <c r="BE78" s="2" t="s">
        <v>75</v>
      </c>
      <c r="BG78" s="2" t="e">
        <v>#N/A</v>
      </c>
    </row>
    <row r="79" spans="1:60" hidden="1" x14ac:dyDescent="0.25">
      <c r="A79" s="48"/>
      <c r="B79" s="7" t="s">
        <v>556</v>
      </c>
      <c r="C79" s="49" t="s">
        <v>557</v>
      </c>
      <c r="D79" s="44" t="s">
        <v>558</v>
      </c>
      <c r="E79" s="2" t="s">
        <v>3</v>
      </c>
      <c r="F79" s="2" t="s">
        <v>138</v>
      </c>
      <c r="G79" s="2" t="s">
        <v>1</v>
      </c>
      <c r="H79" s="2" t="s">
        <v>139</v>
      </c>
      <c r="I79" s="2" t="s">
        <v>140</v>
      </c>
      <c r="J79" s="2" t="s">
        <v>141</v>
      </c>
      <c r="K79" s="2" t="s">
        <v>142</v>
      </c>
      <c r="L79" s="2" t="s">
        <v>559</v>
      </c>
      <c r="M79" s="2">
        <v>0</v>
      </c>
      <c r="N79" s="2">
        <v>0</v>
      </c>
      <c r="O79" s="2">
        <v>0</v>
      </c>
      <c r="P79" s="2" t="s">
        <v>168</v>
      </c>
      <c r="Q79" s="2" t="s">
        <v>73</v>
      </c>
      <c r="R79" s="29" t="e">
        <f>IF(INDEX(#REF!,MATCH('data '!$B79,#REF!,0),MATCH('data '!R$3,#REF!,0))=0,"",INDEX(#REF!,MATCH('data '!$B79,#REF!,0),MATCH('data '!R$3,#REF!,0)))</f>
        <v>#REF!</v>
      </c>
      <c r="S79" s="29" t="e">
        <f>IF(INDEX(#REF!,MATCH('data '!$B79,#REF!,0),MATCH('data '!S$3,#REF!,0))=0,"",INDEX(#REF!,MATCH('data '!$B79,#REF!,0),MATCH('data '!S$3,#REF!,0)))</f>
        <v>#REF!</v>
      </c>
      <c r="T79" s="29" t="e">
        <f>IF(INDEX(#REF!,MATCH('data '!$B79,#REF!,0),MATCH('data '!T$3,#REF!,0))=0,"",INDEX(#REF!,MATCH('data '!$B79,#REF!,0),MATCH('data '!T$3,#REF!,0)))</f>
        <v>#REF!</v>
      </c>
      <c r="U79" s="8" t="s">
        <v>25</v>
      </c>
      <c r="V79" s="25" t="s">
        <v>560</v>
      </c>
      <c r="W79" s="25" t="s">
        <v>103</v>
      </c>
      <c r="X79" s="9" t="s">
        <v>25</v>
      </c>
      <c r="AC79" s="8" t="e">
        <f>VLOOKUP(B79,#REF!,19,0)</f>
        <v>#REF!</v>
      </c>
      <c r="AE79" s="8" t="s">
        <v>145</v>
      </c>
      <c r="AF79" s="21">
        <v>45938</v>
      </c>
      <c r="AG79" s="8">
        <v>45946</v>
      </c>
      <c r="AH79" s="8" t="s">
        <v>283</v>
      </c>
      <c r="AI79" s="8">
        <v>45950</v>
      </c>
      <c r="AJ79" s="8" t="s">
        <v>284</v>
      </c>
      <c r="AO79" s="8" t="s">
        <v>561</v>
      </c>
      <c r="AP79" s="8" t="str">
        <f t="shared" si="4"/>
        <v>PO Issued</v>
      </c>
      <c r="AQ79" s="10" t="b" cm="1">
        <f t="array" aca="1" ref="AQ79" ca="1">IF(AM79&gt;0,(TODAY()-AM79),IF(AL79&gt;0,(TODAY()-AL79),IF(AK79&gt;0,(TODAY()-AK79,IF(AI79&gt;0,(TODAY()-AI79),IF(AG79&gt;0,(TODAY()-AG79),IF(AF79&gt;0,(TODAY()-AF79),IF(X79&gt;0,(TODAY()-X79)," "))))))))</f>
        <v>0</v>
      </c>
      <c r="AT79" s="11"/>
      <c r="AU79" s="11"/>
      <c r="AV79" s="11"/>
      <c r="AW79" s="11"/>
      <c r="AX79" s="11"/>
      <c r="AY79" s="11"/>
      <c r="BD79" s="2" t="str">
        <f t="shared" si="5"/>
        <v>Vendor Allocated</v>
      </c>
      <c r="BE79" s="2">
        <v>2</v>
      </c>
      <c r="BG79" s="2" t="s">
        <v>149</v>
      </c>
      <c r="BH79" s="2" t="e" vm="1">
        <v>#REF!</v>
      </c>
    </row>
    <row r="80" spans="1:60" hidden="1" x14ac:dyDescent="0.25">
      <c r="B80" s="2" t="s">
        <v>562</v>
      </c>
      <c r="C80" s="2" t="s">
        <v>563</v>
      </c>
      <c r="D80" s="44" t="s">
        <v>564</v>
      </c>
      <c r="E80" s="2" t="s">
        <v>3</v>
      </c>
      <c r="F80" s="2" t="s">
        <v>565</v>
      </c>
      <c r="G80" s="2" t="s">
        <v>1</v>
      </c>
      <c r="H80" s="2" t="s">
        <v>120</v>
      </c>
      <c r="I80" s="2" t="s">
        <v>140</v>
      </c>
      <c r="J80" s="2" t="s">
        <v>209</v>
      </c>
      <c r="K80" s="2" t="s">
        <v>566</v>
      </c>
      <c r="L80" s="2" t="s">
        <v>567</v>
      </c>
      <c r="M80" s="2">
        <v>0</v>
      </c>
      <c r="N80" s="2">
        <v>0</v>
      </c>
      <c r="O80" s="2">
        <v>0</v>
      </c>
      <c r="P80" s="2" t="s">
        <v>568</v>
      </c>
      <c r="Q80" s="2" t="s">
        <v>73</v>
      </c>
      <c r="R80" s="29" t="e">
        <f>IF(INDEX(#REF!,MATCH('data '!$B80,#REF!,0),MATCH('data '!R$3,#REF!,0))=0,"",INDEX(#REF!,MATCH('data '!$B80,#REF!,0),MATCH('data '!R$3,#REF!,0)))</f>
        <v>#REF!</v>
      </c>
      <c r="S80" s="29" t="e">
        <f>IF(INDEX(#REF!,MATCH('data '!$B80,#REF!,0),MATCH('data '!S$3,#REF!,0))=0,"",INDEX(#REF!,MATCH('data '!$B80,#REF!,0),MATCH('data '!S$3,#REF!,0)))</f>
        <v>#REF!</v>
      </c>
      <c r="T80" s="29" t="e">
        <f>IF(INDEX(#REF!,MATCH('data '!$B80,#REF!,0),MATCH('data '!T$3,#REF!,0))=0,"",INDEX(#REF!,MATCH('data '!$B80,#REF!,0),MATCH('data '!T$3,#REF!,0)))</f>
        <v>#REF!</v>
      </c>
      <c r="V80" s="25" t="s">
        <v>204</v>
      </c>
      <c r="W80" s="25">
        <v>0</v>
      </c>
      <c r="AC80" s="8" t="e">
        <f>VLOOKUP(B80,#REF!,19,0)</f>
        <v>#REF!</v>
      </c>
      <c r="AP80" s="8" t="str">
        <f t="shared" si="4"/>
        <v>Not yet endorsed</v>
      </c>
      <c r="AQ80" s="10" t="b" cm="1">
        <f t="array" aca="1" ref="AQ80" ca="1">IF(AM80&gt;0,(TODAY()-AM80),IF(AL80&gt;0,(TODAY()-AL80),IF(AK80&gt;0,(TODAY()-AK80,IF(AI80&gt;0,(TODAY()-AI80),IF(AG80&gt;0,(TODAY()-AG80),IF(AF80&gt;0,(TODAY()-AF80),IF(X80&gt;0,(TODAY()-X80)," "))))))))</f>
        <v>0</v>
      </c>
      <c r="BD80" s="2" t="str">
        <f t="shared" si="5"/>
        <v>Not yet endorsed</v>
      </c>
      <c r="BE80" s="2" t="s">
        <v>75</v>
      </c>
      <c r="BG80" s="2" t="e">
        <v>#N/A</v>
      </c>
      <c r="BH80" s="2" t="e" vm="1">
        <v>#REF!</v>
      </c>
    </row>
    <row r="81" spans="1:60" hidden="1" x14ac:dyDescent="0.25">
      <c r="B81" s="2" t="s">
        <v>569</v>
      </c>
      <c r="C81" s="2" t="s">
        <v>570</v>
      </c>
      <c r="D81" s="44" t="s">
        <v>571</v>
      </c>
      <c r="E81" s="2" t="s">
        <v>11</v>
      </c>
      <c r="F81" s="2">
        <v>0</v>
      </c>
      <c r="G81" s="2" t="s">
        <v>1</v>
      </c>
      <c r="H81" s="2" t="s">
        <v>67</v>
      </c>
      <c r="I81" s="2" t="s">
        <v>68</v>
      </c>
      <c r="J81" s="2" t="s">
        <v>330</v>
      </c>
      <c r="K81" s="2" t="s">
        <v>331</v>
      </c>
      <c r="L81" s="2">
        <v>0</v>
      </c>
      <c r="M81" s="2">
        <v>0</v>
      </c>
      <c r="N81" s="2">
        <v>7.2730899999999998</v>
      </c>
      <c r="O81" s="2">
        <v>124.41956</v>
      </c>
      <c r="P81" s="2" t="s">
        <v>87</v>
      </c>
      <c r="Q81" s="2" t="s">
        <v>227</v>
      </c>
      <c r="R81" s="29" t="e">
        <f>IF(INDEX(#REF!,MATCH('data '!$B81,#REF!,0),MATCH('data '!R$3,#REF!,0))=0,"",INDEX(#REF!,MATCH('data '!$B81,#REF!,0),MATCH('data '!R$3,#REF!,0)))</f>
        <v>#REF!</v>
      </c>
      <c r="S81" s="29" t="e">
        <f>IF(INDEX(#REF!,MATCH('data '!$B81,#REF!,0),MATCH('data '!S$3,#REF!,0))=0,"",INDEX(#REF!,MATCH('data '!$B81,#REF!,0),MATCH('data '!S$3,#REF!,0)))</f>
        <v>#REF!</v>
      </c>
      <c r="T81" s="29" t="e">
        <f>IF(INDEX(#REF!,MATCH('data '!$B81,#REF!,0),MATCH('data '!T$3,#REF!,0))=0,"",INDEX(#REF!,MATCH('data '!$B81,#REF!,0),MATCH('data '!T$3,#REF!,0)))</f>
        <v>#REF!</v>
      </c>
      <c r="V81" s="25" t="s">
        <v>87</v>
      </c>
      <c r="W81" s="25" t="s">
        <v>144</v>
      </c>
      <c r="X81" s="43" t="s">
        <v>25</v>
      </c>
      <c r="Y81" s="43">
        <v>45896</v>
      </c>
      <c r="Z81" s="8">
        <v>45970</v>
      </c>
      <c r="AC81" s="8" t="e">
        <f>VLOOKUP(B81,#REF!,19,0)</f>
        <v>#REF!</v>
      </c>
      <c r="AP81" s="8" t="str">
        <f t="shared" si="4"/>
        <v>BP Secured</v>
      </c>
      <c r="AQ81" s="10" t="b" cm="1">
        <f t="array" aca="1" ref="AQ81" ca="1">IF(AM81&gt;0,(TODAY()-AM81),IF(AL81&gt;0,(TODAY()-AL81),IF(AK81&gt;0,(TODAY()-AK81,IF(AI81&gt;0,(TODAY()-AI81),IF(AG81&gt;0,(TODAY()-AG81),IF(AF81&gt;0,(TODAY()-AF81),IF(X81&gt;0,(TODAY()-X81)," "))))))))</f>
        <v>0</v>
      </c>
      <c r="BD81" s="2" t="str">
        <f t="shared" si="5"/>
        <v>BP Secured</v>
      </c>
      <c r="BE81" s="2" t="e">
        <v>#VALUE!</v>
      </c>
      <c r="BG81" s="2" t="e">
        <v>#N/A</v>
      </c>
    </row>
    <row r="82" spans="1:60" hidden="1" x14ac:dyDescent="0.25">
      <c r="A82" s="48"/>
      <c r="B82" s="7" t="s">
        <v>572</v>
      </c>
      <c r="C82" s="2" t="s">
        <v>573</v>
      </c>
      <c r="D82" s="44" t="s">
        <v>574</v>
      </c>
      <c r="E82" s="2" t="s">
        <v>5</v>
      </c>
      <c r="F82" s="2" t="s">
        <v>575</v>
      </c>
      <c r="G82" s="2" t="s">
        <v>153</v>
      </c>
      <c r="H82" s="2" t="s">
        <v>419</v>
      </c>
      <c r="I82" s="2" t="s">
        <v>140</v>
      </c>
      <c r="J82" s="2" t="e">
        <v>#N/A</v>
      </c>
      <c r="K82" s="2" t="e">
        <v>#N/A</v>
      </c>
      <c r="L82" s="2" t="e">
        <v>#N/A</v>
      </c>
      <c r="M82" s="2" t="e">
        <v>#N/A</v>
      </c>
      <c r="N82" s="2" t="e">
        <v>#N/A</v>
      </c>
      <c r="O82" s="2" t="e">
        <v>#N/A</v>
      </c>
      <c r="P82" s="2" t="e">
        <v>#N/A</v>
      </c>
      <c r="Q82" s="2" t="e">
        <v>#N/A</v>
      </c>
      <c r="R82" s="29" t="e">
        <f>IF(INDEX(#REF!,MATCH('data '!$B82,#REF!,0),MATCH('data '!R$3,#REF!,0))=0,"",INDEX(#REF!,MATCH('data '!$B82,#REF!,0),MATCH('data '!R$3,#REF!,0)))</f>
        <v>#REF!</v>
      </c>
      <c r="S82" s="29" t="e">
        <f>IF(INDEX(#REF!,MATCH('data '!$B82,#REF!,0),MATCH('data '!S$3,#REF!,0))=0,"",INDEX(#REF!,MATCH('data '!$B82,#REF!,0),MATCH('data '!S$3,#REF!,0)))</f>
        <v>#REF!</v>
      </c>
      <c r="T82" s="29" t="e">
        <f>IF(INDEX(#REF!,MATCH('data '!$B82,#REF!,0),MATCH('data '!T$3,#REF!,0))=0,"",INDEX(#REF!,MATCH('data '!$B82,#REF!,0),MATCH('data '!T$3,#REF!,0)))</f>
        <v>#REF!</v>
      </c>
      <c r="V82" s="25">
        <v>0</v>
      </c>
      <c r="W82" s="25" t="s">
        <v>144</v>
      </c>
      <c r="X82" s="9" t="s">
        <v>25</v>
      </c>
      <c r="AC82" s="8" t="e">
        <f>VLOOKUP(B82,#REF!,19,0)</f>
        <v>#REF!</v>
      </c>
      <c r="AE82" s="8" t="s">
        <v>438</v>
      </c>
      <c r="AF82" s="21">
        <v>45938</v>
      </c>
      <c r="AG82" s="8">
        <v>45946</v>
      </c>
      <c r="AH82" s="8" t="s">
        <v>576</v>
      </c>
      <c r="AI82" s="8">
        <v>45950</v>
      </c>
      <c r="AJ82" s="8" t="s">
        <v>577</v>
      </c>
      <c r="AP82" s="8" t="str">
        <f t="shared" si="4"/>
        <v>PO Issued</v>
      </c>
      <c r="AQ82" s="10" t="b" cm="1">
        <f t="array" aca="1" ref="AQ82" ca="1">IF(AM82&gt;0,(TODAY()-AM82),IF(AL82&gt;0,(TODAY()-AL82),IF(AK82&gt;0,(TODAY()-AK82,IF(AI82&gt;0,(TODAY()-AI82),IF(AG82&gt;0,(TODAY()-AG82),IF(AF82&gt;0,(TODAY()-AF82),IF(X82&gt;0,(TODAY()-X82)," "))))))))</f>
        <v>0</v>
      </c>
      <c r="AT82" s="11"/>
      <c r="AU82" s="11"/>
      <c r="AV82" s="11"/>
      <c r="AW82" s="11"/>
      <c r="AX82" s="11"/>
      <c r="AY82" s="11"/>
      <c r="BD82" s="2" t="str">
        <f t="shared" si="5"/>
        <v>Vendor Allocated</v>
      </c>
      <c r="BE82" s="2">
        <v>2</v>
      </c>
      <c r="BF82" s="2" t="s">
        <v>578</v>
      </c>
    </row>
    <row r="83" spans="1:60" hidden="1" x14ac:dyDescent="0.25">
      <c r="B83" s="2" t="s">
        <v>579</v>
      </c>
      <c r="C83" s="2" t="s">
        <v>580</v>
      </c>
      <c r="D83" s="44" t="s">
        <v>581</v>
      </c>
      <c r="E83" s="2" t="s">
        <v>6</v>
      </c>
      <c r="F83" s="2" t="s">
        <v>110</v>
      </c>
      <c r="G83" s="2" t="s">
        <v>1</v>
      </c>
      <c r="H83" s="2" t="s">
        <v>111</v>
      </c>
      <c r="I83" s="2" t="s">
        <v>112</v>
      </c>
      <c r="J83" s="2" t="s">
        <v>113</v>
      </c>
      <c r="K83" s="2" t="s">
        <v>114</v>
      </c>
      <c r="L83" s="2" t="s">
        <v>115</v>
      </c>
      <c r="M83" s="2">
        <v>0</v>
      </c>
      <c r="N83" s="2">
        <v>10.306953</v>
      </c>
      <c r="O83" s="2">
        <v>123.902939</v>
      </c>
      <c r="P83" s="2" t="s">
        <v>88</v>
      </c>
      <c r="Q83" s="2" t="s">
        <v>73</v>
      </c>
      <c r="R83" s="29" t="e">
        <f>IF(INDEX(#REF!,MATCH('data '!$B83,#REF!,0),MATCH('data '!R$3,#REF!,0))=0,"",INDEX(#REF!,MATCH('data '!$B83,#REF!,0),MATCH('data '!R$3,#REF!,0)))</f>
        <v>#REF!</v>
      </c>
      <c r="S83" s="29" t="e">
        <f>IF(INDEX(#REF!,MATCH('data '!$B83,#REF!,0),MATCH('data '!S$3,#REF!,0))=0,"",INDEX(#REF!,MATCH('data '!$B83,#REF!,0),MATCH('data '!S$3,#REF!,0)))</f>
        <v>#REF!</v>
      </c>
      <c r="T83" s="29" t="e">
        <f>IF(INDEX(#REF!,MATCH('data '!$B83,#REF!,0),MATCH('data '!T$3,#REF!,0))=0,"",INDEX(#REF!,MATCH('data '!$B83,#REF!,0),MATCH('data '!T$3,#REF!,0)))</f>
        <v>#REF!</v>
      </c>
      <c r="U83" s="8" t="s">
        <v>25</v>
      </c>
      <c r="V83" s="25" t="s">
        <v>88</v>
      </c>
      <c r="W83" s="25" t="s">
        <v>89</v>
      </c>
      <c r="AC83" s="8" t="e">
        <f>VLOOKUP(B83,#REF!,19,0)</f>
        <v>#REF!</v>
      </c>
      <c r="AE83" s="8" t="s">
        <v>582</v>
      </c>
      <c r="AF83" s="8">
        <v>45957</v>
      </c>
      <c r="AG83" s="8">
        <v>45957</v>
      </c>
      <c r="AH83" s="8" t="s">
        <v>583</v>
      </c>
      <c r="AI83" s="8">
        <v>45964</v>
      </c>
      <c r="AJ83" s="8" t="s">
        <v>584</v>
      </c>
      <c r="AP83" s="8" t="str">
        <f t="shared" si="4"/>
        <v>PO Issued</v>
      </c>
      <c r="AQ83" s="10" t="b" cm="1">
        <f t="array" aca="1" ref="AQ83" ca="1">IF(AM83&gt;0,(TODAY()-AM83),IF(AL83&gt;0,(TODAY()-AL83),IF(AK83&gt;0,(TODAY()-AK83,IF(AI83&gt;0,(TODAY()-AI83),IF(AG83&gt;0,(TODAY()-AG83),IF(AF83&gt;0,(TODAY()-AF83),IF(X83&gt;0,(TODAY()-X83)," "))))))))</f>
        <v>0</v>
      </c>
      <c r="BD83" s="2" t="str">
        <f t="shared" si="5"/>
        <v>Vendor Allocated</v>
      </c>
      <c r="BE83" s="2" t="e">
        <v>#VALUE!</v>
      </c>
      <c r="BG83" s="2" t="e">
        <v>#N/A</v>
      </c>
    </row>
    <row r="84" spans="1:60" hidden="1" x14ac:dyDescent="0.25">
      <c r="B84" s="2" t="s">
        <v>585</v>
      </c>
      <c r="C84" s="2" t="s">
        <v>586</v>
      </c>
      <c r="D84" s="44" t="s">
        <v>587</v>
      </c>
      <c r="E84" s="2" t="s">
        <v>11</v>
      </c>
      <c r="F84" s="2" t="s">
        <v>79</v>
      </c>
      <c r="G84" s="2" t="s">
        <v>1</v>
      </c>
      <c r="H84" s="2" t="s">
        <v>67</v>
      </c>
      <c r="I84" s="2" t="s">
        <v>68</v>
      </c>
      <c r="J84" s="2" t="s">
        <v>80</v>
      </c>
      <c r="K84" s="2" t="s">
        <v>81</v>
      </c>
      <c r="L84" s="2">
        <v>0</v>
      </c>
      <c r="M84" s="2">
        <v>0</v>
      </c>
      <c r="N84" s="2">
        <v>7.1223349999999996</v>
      </c>
      <c r="O84" s="2">
        <v>125.61841800000001</v>
      </c>
      <c r="P84" s="2" t="s">
        <v>168</v>
      </c>
      <c r="Q84" s="2" t="s">
        <v>73</v>
      </c>
      <c r="R84" s="29" t="e">
        <f>IF(INDEX(#REF!,MATCH('data '!$B84,#REF!,0),MATCH('data '!R$3,#REF!,0))=0,"",INDEX(#REF!,MATCH('data '!$B84,#REF!,0),MATCH('data '!R$3,#REF!,0)))</f>
        <v>#REF!</v>
      </c>
      <c r="S84" s="29" t="e">
        <f>IF(INDEX(#REF!,MATCH('data '!$B84,#REF!,0),MATCH('data '!S$3,#REF!,0))=0,"",INDEX(#REF!,MATCH('data '!$B84,#REF!,0),MATCH('data '!S$3,#REF!,0)))</f>
        <v>#REF!</v>
      </c>
      <c r="T84" s="29" t="e">
        <f>IF(INDEX(#REF!,MATCH('data '!$B84,#REF!,0),MATCH('data '!T$3,#REF!,0))=0,"",INDEX(#REF!,MATCH('data '!$B84,#REF!,0),MATCH('data '!T$3,#REF!,0)))</f>
        <v>#REF!</v>
      </c>
      <c r="U84" s="8" t="s">
        <v>25</v>
      </c>
      <c r="V84" s="25" t="s">
        <v>74</v>
      </c>
      <c r="W84" s="25">
        <v>0</v>
      </c>
      <c r="AC84" s="8" t="e">
        <f>VLOOKUP(B84,#REF!,19,0)</f>
        <v>#REF!</v>
      </c>
      <c r="AP84" s="8" t="str">
        <f t="shared" si="4"/>
        <v>Not yet endorsed</v>
      </c>
      <c r="AQ84" s="10" t="b" cm="1">
        <f t="array" aca="1" ref="AQ84" ca="1">IF(AM84&gt;0,(TODAY()-AM84),IF(AL84&gt;0,(TODAY()-AL84),IF(AK84&gt;0,(TODAY()-AK84,IF(AI84&gt;0,(TODAY()-AI84),IF(AG84&gt;0,(TODAY()-AG84),IF(AF84&gt;0,(TODAY()-AF84),IF(X84&gt;0,(TODAY()-X84)," "))))))))</f>
        <v>0</v>
      </c>
      <c r="BD84" s="2" t="str">
        <f t="shared" si="5"/>
        <v>TSSR Approved</v>
      </c>
      <c r="BE84" s="2" t="e">
        <v>#VALUE!</v>
      </c>
      <c r="BG84" s="2" t="e">
        <v>#N/A</v>
      </c>
    </row>
    <row r="85" spans="1:60" hidden="1" x14ac:dyDescent="0.25">
      <c r="B85" s="2" t="s">
        <v>588</v>
      </c>
      <c r="C85" s="2" t="s">
        <v>589</v>
      </c>
      <c r="D85" s="44" t="s">
        <v>590</v>
      </c>
      <c r="E85" s="2" t="s">
        <v>11</v>
      </c>
      <c r="F85" s="2" t="s">
        <v>591</v>
      </c>
      <c r="G85" s="2" t="s">
        <v>1</v>
      </c>
      <c r="H85" s="2" t="s">
        <v>165</v>
      </c>
      <c r="I85" s="2" t="s">
        <v>68</v>
      </c>
      <c r="J85" s="2" t="s">
        <v>173</v>
      </c>
      <c r="K85" s="2" t="s">
        <v>592</v>
      </c>
      <c r="L85" s="2" t="s">
        <v>593</v>
      </c>
      <c r="M85" s="2">
        <v>0</v>
      </c>
      <c r="N85" s="2">
        <v>0</v>
      </c>
      <c r="O85" s="2">
        <v>0</v>
      </c>
      <c r="P85" s="2" t="s">
        <v>133</v>
      </c>
      <c r="Q85" s="2" t="s">
        <v>73</v>
      </c>
      <c r="R85" s="29" t="e">
        <f>IF(INDEX(#REF!,MATCH('data '!$B85,#REF!,0),MATCH('data '!R$3,#REF!,0))=0,"",INDEX(#REF!,MATCH('data '!$B85,#REF!,0),MATCH('data '!R$3,#REF!,0)))</f>
        <v>#REF!</v>
      </c>
      <c r="S85" s="29" t="e">
        <f>IF(INDEX(#REF!,MATCH('data '!$B85,#REF!,0),MATCH('data '!S$3,#REF!,0))=0,"",INDEX(#REF!,MATCH('data '!$B85,#REF!,0),MATCH('data '!S$3,#REF!,0)))</f>
        <v>#REF!</v>
      </c>
      <c r="T85" s="29" t="e">
        <f>IF(INDEX(#REF!,MATCH('data '!$B85,#REF!,0),MATCH('data '!T$3,#REF!,0))=0,"",INDEX(#REF!,MATCH('data '!$B85,#REF!,0),MATCH('data '!T$3,#REF!,0)))</f>
        <v>#REF!</v>
      </c>
      <c r="V85" s="25" t="s">
        <v>88</v>
      </c>
      <c r="W85" s="25" t="s">
        <v>89</v>
      </c>
      <c r="AC85" s="8" t="e">
        <f>VLOOKUP(B85,#REF!,19,0)</f>
        <v>#REF!</v>
      </c>
      <c r="AP85" s="8" t="str">
        <f t="shared" si="4"/>
        <v>Not yet endorsed</v>
      </c>
      <c r="AQ85" s="10" t="b" cm="1">
        <f t="array" aca="1" ref="AQ85" ca="1">IF(AM85&gt;0,(TODAY()-AM85),IF(AL85&gt;0,(TODAY()-AL85),IF(AK85&gt;0,(TODAY()-AK85,IF(AI85&gt;0,(TODAY()-AI85),IF(AG85&gt;0,(TODAY()-AG85),IF(AF85&gt;0,(TODAY()-AF85),IF(X85&gt;0,(TODAY()-X85)," "))))))))</f>
        <v>0</v>
      </c>
      <c r="BD85" s="2" t="str">
        <f t="shared" si="5"/>
        <v>Not yet endorsed</v>
      </c>
      <c r="BE85" s="2" t="s">
        <v>75</v>
      </c>
      <c r="BG85" s="2" t="e">
        <v>#N/A</v>
      </c>
    </row>
    <row r="86" spans="1:60" hidden="1" x14ac:dyDescent="0.25">
      <c r="B86" s="2" t="s">
        <v>594</v>
      </c>
      <c r="C86" s="2" t="s">
        <v>595</v>
      </c>
      <c r="D86" s="44" t="s">
        <v>596</v>
      </c>
      <c r="E86" s="2" t="s">
        <v>11</v>
      </c>
      <c r="F86" s="2" t="s">
        <v>597</v>
      </c>
      <c r="G86" s="2" t="s">
        <v>1</v>
      </c>
      <c r="H86" s="2" t="s">
        <v>165</v>
      </c>
      <c r="I86" s="2" t="s">
        <v>68</v>
      </c>
      <c r="J86" s="2" t="s">
        <v>239</v>
      </c>
      <c r="K86" s="2" t="s">
        <v>598</v>
      </c>
      <c r="L86" s="2" t="s">
        <v>599</v>
      </c>
      <c r="M86" s="2">
        <v>0</v>
      </c>
      <c r="N86" s="2">
        <v>8.9304094999999997</v>
      </c>
      <c r="O86" s="2">
        <v>125.50821310000001</v>
      </c>
      <c r="P86" s="2" t="s">
        <v>87</v>
      </c>
      <c r="Q86" s="2" t="s">
        <v>73</v>
      </c>
      <c r="R86" s="29" t="e">
        <f>IF(INDEX(#REF!,MATCH('data '!$B86,#REF!,0),MATCH('data '!R$3,#REF!,0))=0,"",INDEX(#REF!,MATCH('data '!$B86,#REF!,0),MATCH('data '!R$3,#REF!,0)))</f>
        <v>#REF!</v>
      </c>
      <c r="S86" s="29" t="e">
        <f>IF(INDEX(#REF!,MATCH('data '!$B86,#REF!,0),MATCH('data '!S$3,#REF!,0))=0,"",INDEX(#REF!,MATCH('data '!$B86,#REF!,0),MATCH('data '!S$3,#REF!,0)))</f>
        <v>#REF!</v>
      </c>
      <c r="T86" s="29" t="e">
        <f>IF(INDEX(#REF!,MATCH('data '!$B86,#REF!,0),MATCH('data '!T$3,#REF!,0))=0,"",INDEX(#REF!,MATCH('data '!$B86,#REF!,0),MATCH('data '!T$3,#REF!,0)))</f>
        <v>#REF!</v>
      </c>
      <c r="U86" s="8" t="s">
        <v>25</v>
      </c>
      <c r="V86" s="25" t="s">
        <v>560</v>
      </c>
      <c r="W86" s="25" t="s">
        <v>103</v>
      </c>
      <c r="X86" s="43" t="s">
        <v>25</v>
      </c>
      <c r="Y86" s="43">
        <v>45932</v>
      </c>
      <c r="AC86" s="8" t="e">
        <f>VLOOKUP(B86,#REF!,19,0)</f>
        <v>#REF!</v>
      </c>
      <c r="AP86" s="8" t="str">
        <f t="shared" si="4"/>
        <v>BP Secured</v>
      </c>
      <c r="AQ86" s="10" t="b" cm="1">
        <f t="array" aca="1" ref="AQ86" ca="1">IF(AM86&gt;0,(TODAY()-AM86),IF(AL86&gt;0,(TODAY()-AL86),IF(AK86&gt;0,(TODAY()-AK86,IF(AI86&gt;0,(TODAY()-AI86),IF(AG86&gt;0,(TODAY()-AG86),IF(AF86&gt;0,(TODAY()-AF86),IF(X86&gt;0,(TODAY()-X86)," "))))))))</f>
        <v>0</v>
      </c>
      <c r="BD86" s="2" t="str">
        <f t="shared" si="5"/>
        <v>BP Secured</v>
      </c>
      <c r="BE86" s="2" t="e">
        <v>#VALUE!</v>
      </c>
      <c r="BG86" s="2" t="e">
        <v>#N/A</v>
      </c>
    </row>
    <row r="87" spans="1:60" hidden="1" x14ac:dyDescent="0.25">
      <c r="B87" s="2" t="s">
        <v>600</v>
      </c>
      <c r="C87" s="2" t="s">
        <v>601</v>
      </c>
      <c r="D87" s="44" t="s">
        <v>602</v>
      </c>
      <c r="E87" s="2" t="s">
        <v>11</v>
      </c>
      <c r="F87" s="2" t="s">
        <v>591</v>
      </c>
      <c r="G87" s="2" t="s">
        <v>1</v>
      </c>
      <c r="H87" s="2" t="s">
        <v>165</v>
      </c>
      <c r="I87" s="2" t="s">
        <v>68</v>
      </c>
      <c r="J87" s="2" t="s">
        <v>173</v>
      </c>
      <c r="K87" s="2" t="s">
        <v>592</v>
      </c>
      <c r="L87" s="2" t="s">
        <v>593</v>
      </c>
      <c r="M87" s="2">
        <v>0</v>
      </c>
      <c r="N87" s="2">
        <v>0</v>
      </c>
      <c r="O87" s="2">
        <v>0</v>
      </c>
      <c r="P87" s="2" t="s">
        <v>116</v>
      </c>
      <c r="Q87" s="2" t="s">
        <v>73</v>
      </c>
      <c r="R87" s="29" t="e">
        <f>IF(INDEX(#REF!,MATCH('data '!$B87,#REF!,0),MATCH('data '!R$3,#REF!,0))=0,"",INDEX(#REF!,MATCH('data '!$B87,#REF!,0),MATCH('data '!R$3,#REF!,0)))</f>
        <v>#REF!</v>
      </c>
      <c r="S87" s="29" t="e">
        <f>IF(INDEX(#REF!,MATCH('data '!$B87,#REF!,0),MATCH('data '!S$3,#REF!,0))=0,"",INDEX(#REF!,MATCH('data '!$B87,#REF!,0),MATCH('data '!S$3,#REF!,0)))</f>
        <v>#REF!</v>
      </c>
      <c r="T87" s="29" t="e">
        <f>IF(INDEX(#REF!,MATCH('data '!$B87,#REF!,0),MATCH('data '!T$3,#REF!,0))=0,"",INDEX(#REF!,MATCH('data '!$B87,#REF!,0),MATCH('data '!T$3,#REF!,0)))</f>
        <v>#REF!</v>
      </c>
      <c r="U87" s="8" t="s">
        <v>25</v>
      </c>
      <c r="V87" s="25" t="s">
        <v>74</v>
      </c>
      <c r="W87" s="25">
        <v>0</v>
      </c>
      <c r="AC87" s="8" t="e">
        <f>VLOOKUP(B87,#REF!,19,0)</f>
        <v>#REF!</v>
      </c>
      <c r="AP87" s="8" t="str">
        <f t="shared" si="4"/>
        <v>Not yet endorsed</v>
      </c>
      <c r="AQ87" s="10" t="b" cm="1">
        <f t="array" aca="1" ref="AQ87" ca="1">IF(AM87&gt;0,(TODAY()-AM87),IF(AL87&gt;0,(TODAY()-AL87),IF(AK87&gt;0,(TODAY()-AK87,IF(AI87&gt;0,(TODAY()-AI87),IF(AG87&gt;0,(TODAY()-AG87),IF(AF87&gt;0,(TODAY()-AF87),IF(X87&gt;0,(TODAY()-X87)," "))))))))</f>
        <v>0</v>
      </c>
      <c r="BD87" s="2" t="str">
        <f t="shared" si="5"/>
        <v>TSSR Approved</v>
      </c>
      <c r="BE87" s="2" t="e">
        <v>#VALUE!</v>
      </c>
      <c r="BG87" s="2" t="e">
        <v>#N/A</v>
      </c>
    </row>
    <row r="88" spans="1:60" hidden="1" x14ac:dyDescent="0.25">
      <c r="A88" s="48"/>
      <c r="B88" s="7" t="s">
        <v>603</v>
      </c>
      <c r="C88" s="2" t="s">
        <v>604</v>
      </c>
      <c r="D88" s="44" t="s">
        <v>605</v>
      </c>
      <c r="E88" s="2" t="s">
        <v>5</v>
      </c>
      <c r="F88" s="2" t="s">
        <v>575</v>
      </c>
      <c r="G88" s="2" t="s">
        <v>153</v>
      </c>
      <c r="H88" s="2" t="s">
        <v>419</v>
      </c>
      <c r="I88" s="2" t="s">
        <v>140</v>
      </c>
      <c r="J88" s="2" t="e">
        <v>#N/A</v>
      </c>
      <c r="K88" s="2" t="e">
        <v>#N/A</v>
      </c>
      <c r="L88" s="2" t="e">
        <v>#N/A</v>
      </c>
      <c r="M88" s="2" t="e">
        <v>#N/A</v>
      </c>
      <c r="N88" s="2" t="e">
        <v>#N/A</v>
      </c>
      <c r="O88" s="2" t="e">
        <v>#N/A</v>
      </c>
      <c r="P88" s="2" t="e">
        <v>#N/A</v>
      </c>
      <c r="Q88" s="2" t="e">
        <v>#N/A</v>
      </c>
      <c r="R88" s="29" t="e">
        <f>IF(INDEX(#REF!,MATCH('data '!$B88,#REF!,0),MATCH('data '!R$3,#REF!,0))=0,"",INDEX(#REF!,MATCH('data '!$B88,#REF!,0),MATCH('data '!R$3,#REF!,0)))</f>
        <v>#REF!</v>
      </c>
      <c r="S88" s="29" t="e">
        <f>IF(INDEX(#REF!,MATCH('data '!$B88,#REF!,0),MATCH('data '!S$3,#REF!,0))=0,"",INDEX(#REF!,MATCH('data '!$B88,#REF!,0),MATCH('data '!S$3,#REF!,0)))</f>
        <v>#REF!</v>
      </c>
      <c r="T88" s="29" t="e">
        <f>IF(INDEX(#REF!,MATCH('data '!$B88,#REF!,0),MATCH('data '!T$3,#REF!,0))=0,"",INDEX(#REF!,MATCH('data '!$B88,#REF!,0),MATCH('data '!T$3,#REF!,0)))</f>
        <v>#REF!</v>
      </c>
      <c r="V88" s="25">
        <v>0</v>
      </c>
      <c r="W88" s="25" t="s">
        <v>144</v>
      </c>
      <c r="X88" s="9" t="s">
        <v>25</v>
      </c>
      <c r="AC88" s="8" t="e">
        <f>VLOOKUP(B88,#REF!,19,0)</f>
        <v>#REF!</v>
      </c>
      <c r="AE88" s="8" t="s">
        <v>438</v>
      </c>
      <c r="AH88" s="8" t="s">
        <v>362</v>
      </c>
      <c r="AP88" s="8" t="str">
        <f t="shared" si="4"/>
        <v>BP Secured</v>
      </c>
      <c r="AQ88" s="10" t="b" cm="1">
        <f t="array" aca="1" ref="AQ88" ca="1">IF(AM88&gt;0,(TODAY()-AM88),IF(AL88&gt;0,(TODAY()-AL88),IF(AK88&gt;0,(TODAY()-AK88,IF(AI88&gt;0,(TODAY()-AI88),IF(AG88&gt;0,(TODAY()-AG88),IF(AF88&gt;0,(TODAY()-AF88),IF(X88&gt;0,(TODAY()-X88)," "))))))))</f>
        <v>0</v>
      </c>
      <c r="AS88" s="8" t="s">
        <v>606</v>
      </c>
      <c r="AT88" s="22">
        <v>45913</v>
      </c>
      <c r="AU88" s="22">
        <v>45913</v>
      </c>
      <c r="AV88" s="22">
        <v>45704</v>
      </c>
      <c r="AW88" s="23" t="s">
        <v>607</v>
      </c>
      <c r="AX88" s="22">
        <v>45704</v>
      </c>
      <c r="AY88" s="23" t="s">
        <v>608</v>
      </c>
      <c r="AZ88" s="22">
        <v>45918</v>
      </c>
      <c r="BA88" s="22">
        <v>45924</v>
      </c>
      <c r="BB88" s="23"/>
      <c r="BC88" s="23"/>
      <c r="BD88" s="2" t="str">
        <f t="shared" si="5"/>
        <v>Line Construction Completed</v>
      </c>
      <c r="BE88" s="2" t="s">
        <v>75</v>
      </c>
      <c r="BF88" s="23" t="s">
        <v>609</v>
      </c>
      <c r="BG88" s="2" t="e">
        <v>#N/A</v>
      </c>
    </row>
    <row r="89" spans="1:60" hidden="1" x14ac:dyDescent="0.25">
      <c r="B89" s="2" t="s">
        <v>610</v>
      </c>
      <c r="C89" s="2" t="s">
        <v>611</v>
      </c>
      <c r="D89" s="44" t="s">
        <v>612</v>
      </c>
      <c r="E89" s="2" t="s">
        <v>11</v>
      </c>
      <c r="F89" s="2" t="s">
        <v>79</v>
      </c>
      <c r="G89" s="2" t="s">
        <v>1</v>
      </c>
      <c r="H89" s="2" t="s">
        <v>67</v>
      </c>
      <c r="I89" s="2" t="s">
        <v>68</v>
      </c>
      <c r="J89" s="2" t="s">
        <v>80</v>
      </c>
      <c r="K89" s="2" t="s">
        <v>81</v>
      </c>
      <c r="L89" s="2">
        <v>0</v>
      </c>
      <c r="M89" s="2">
        <v>0</v>
      </c>
      <c r="N89" s="2">
        <v>7.1236499999999996</v>
      </c>
      <c r="O89" s="2">
        <v>125.587931</v>
      </c>
      <c r="P89" s="2" t="s">
        <v>87</v>
      </c>
      <c r="Q89" s="2" t="s">
        <v>265</v>
      </c>
      <c r="R89" s="29" t="e">
        <f>IF(INDEX(#REF!,MATCH('data '!$B89,#REF!,0),MATCH('data '!R$3,#REF!,0))=0,"",INDEX(#REF!,MATCH('data '!$B89,#REF!,0),MATCH('data '!R$3,#REF!,0)))</f>
        <v>#REF!</v>
      </c>
      <c r="S89" s="29" t="e">
        <f>IF(INDEX(#REF!,MATCH('data '!$B89,#REF!,0),MATCH('data '!S$3,#REF!,0))=0,"",INDEX(#REF!,MATCH('data '!$B89,#REF!,0),MATCH('data '!S$3,#REF!,0)))</f>
        <v>#REF!</v>
      </c>
      <c r="T89" s="29" t="e">
        <f>IF(INDEX(#REF!,MATCH('data '!$B89,#REF!,0),MATCH('data '!T$3,#REF!,0))=0,"",INDEX(#REF!,MATCH('data '!$B89,#REF!,0),MATCH('data '!T$3,#REF!,0)))</f>
        <v>#REF!</v>
      </c>
      <c r="U89" s="8" t="s">
        <v>25</v>
      </c>
      <c r="V89" s="25" t="s">
        <v>185</v>
      </c>
      <c r="W89" s="25" t="s">
        <v>144</v>
      </c>
      <c r="X89" s="43" t="s">
        <v>25</v>
      </c>
      <c r="Y89" s="43">
        <v>45896</v>
      </c>
      <c r="Z89" s="8">
        <v>45970</v>
      </c>
      <c r="AA89" s="8">
        <v>45667</v>
      </c>
      <c r="AC89" s="8" t="e">
        <f>VLOOKUP(B89,#REF!,19,0)</f>
        <v>#REF!</v>
      </c>
      <c r="AE89" s="8" t="s">
        <v>307</v>
      </c>
      <c r="AP89" s="8" t="str">
        <f t="shared" si="4"/>
        <v>BP Secured</v>
      </c>
      <c r="AQ89" s="10" t="b" cm="1">
        <f t="array" aca="1" ref="AQ89" ca="1">IF(AM89&gt;0,(TODAY()-AM89),IF(AL89&gt;0,(TODAY()-AL89),IF(AK89&gt;0,(TODAY()-AK89,IF(AI89&gt;0,(TODAY()-AI89),IF(AG89&gt;0,(TODAY()-AG89),IF(AF89&gt;0,(TODAY()-AF89),IF(X89&gt;0,(TODAY()-X89)," "))))))))</f>
        <v>0</v>
      </c>
      <c r="AT89" s="8">
        <v>45923</v>
      </c>
      <c r="BD89" s="2" t="str">
        <f t="shared" si="5"/>
        <v>BoQ Submitted</v>
      </c>
      <c r="BE89" s="2">
        <v>17</v>
      </c>
      <c r="BG89" s="2" t="e">
        <v>#N/A</v>
      </c>
    </row>
    <row r="90" spans="1:60" hidden="1" x14ac:dyDescent="0.25">
      <c r="B90" s="2" t="s">
        <v>613</v>
      </c>
      <c r="C90" s="2" t="s">
        <v>614</v>
      </c>
      <c r="D90" s="44" t="s">
        <v>615</v>
      </c>
      <c r="E90" s="2" t="s">
        <v>4</v>
      </c>
      <c r="F90" s="2">
        <v>0</v>
      </c>
      <c r="G90" s="2" t="s">
        <v>1</v>
      </c>
      <c r="H90" s="2" t="s">
        <v>120</v>
      </c>
      <c r="I90" s="2" t="s">
        <v>121</v>
      </c>
      <c r="J90" s="2" t="s">
        <v>122</v>
      </c>
      <c r="K90" s="2" t="s">
        <v>123</v>
      </c>
      <c r="L90" s="2" t="s">
        <v>616</v>
      </c>
      <c r="M90" s="2">
        <v>0</v>
      </c>
      <c r="N90" s="2">
        <v>0</v>
      </c>
      <c r="O90" s="2">
        <v>0</v>
      </c>
      <c r="P90" s="2" t="s">
        <v>125</v>
      </c>
      <c r="Q90" s="2">
        <v>0</v>
      </c>
      <c r="R90" s="29" t="e">
        <f>IF(INDEX(#REF!,MATCH('data '!$B90,#REF!,0),MATCH('data '!R$3,#REF!,0))=0,"",INDEX(#REF!,MATCH('data '!$B90,#REF!,0),MATCH('data '!R$3,#REF!,0)))</f>
        <v>#REF!</v>
      </c>
      <c r="S90" s="29" t="e">
        <f>IF(INDEX(#REF!,MATCH('data '!$B90,#REF!,0),MATCH('data '!S$3,#REF!,0))=0,"",INDEX(#REF!,MATCH('data '!$B90,#REF!,0),MATCH('data '!S$3,#REF!,0)))</f>
        <v>#REF!</v>
      </c>
      <c r="T90" s="29" t="e">
        <f>IF(INDEX(#REF!,MATCH('data '!$B90,#REF!,0),MATCH('data '!T$3,#REF!,0))=0,"",INDEX(#REF!,MATCH('data '!$B90,#REF!,0),MATCH('data '!T$3,#REF!,0)))</f>
        <v>#REF!</v>
      </c>
      <c r="V90" s="25" t="s">
        <v>204</v>
      </c>
      <c r="W90" s="25">
        <v>0</v>
      </c>
      <c r="AC90" s="8" t="e">
        <f>VLOOKUP(B90,#REF!,19,0)</f>
        <v>#REF!</v>
      </c>
      <c r="AP90" s="8" t="str">
        <f t="shared" si="4"/>
        <v>Not yet endorsed</v>
      </c>
      <c r="AQ90" s="10" t="b" cm="1">
        <f t="array" aca="1" ref="AQ90" ca="1">IF(AM90&gt;0,(TODAY()-AM90),IF(AL90&gt;0,(TODAY()-AL90),IF(AK90&gt;0,(TODAY()-AK90,IF(AI90&gt;0,(TODAY()-AI90),IF(AG90&gt;0,(TODAY()-AG90),IF(AF90&gt;0,(TODAY()-AF90),IF(X90&gt;0,(TODAY()-X90)," "))))))))</f>
        <v>0</v>
      </c>
      <c r="BD90" s="2" t="str">
        <f t="shared" si="5"/>
        <v>Not yet endorsed</v>
      </c>
      <c r="BE90" s="2" t="s">
        <v>75</v>
      </c>
      <c r="BG90" s="2" t="e">
        <v>#N/A</v>
      </c>
    </row>
    <row r="91" spans="1:60" hidden="1" x14ac:dyDescent="0.25">
      <c r="B91" s="2" t="s">
        <v>617</v>
      </c>
      <c r="C91" s="2" t="s">
        <v>618</v>
      </c>
      <c r="D91" s="44" t="s">
        <v>619</v>
      </c>
      <c r="E91" s="2" t="s">
        <v>6</v>
      </c>
      <c r="F91" s="2">
        <v>0</v>
      </c>
      <c r="G91" s="2" t="s">
        <v>1</v>
      </c>
      <c r="H91" s="2" t="s">
        <v>111</v>
      </c>
      <c r="I91" s="2" t="s">
        <v>112</v>
      </c>
      <c r="J91" s="2" t="s">
        <v>344</v>
      </c>
      <c r="K91" s="2" t="s">
        <v>620</v>
      </c>
      <c r="L91" s="2">
        <v>0</v>
      </c>
      <c r="M91" s="2">
        <v>0</v>
      </c>
      <c r="N91" s="2">
        <v>0</v>
      </c>
      <c r="O91" s="2">
        <v>0</v>
      </c>
      <c r="P91" s="2" t="s">
        <v>82</v>
      </c>
      <c r="Q91" s="2">
        <v>0</v>
      </c>
      <c r="R91" s="29" t="e">
        <f>IF(INDEX(#REF!,MATCH('data '!$B91,#REF!,0),MATCH('data '!R$3,#REF!,0))=0,"",INDEX(#REF!,MATCH('data '!$B91,#REF!,0),MATCH('data '!R$3,#REF!,0)))</f>
        <v>#REF!</v>
      </c>
      <c r="S91" s="29" t="e">
        <f>IF(INDEX(#REF!,MATCH('data '!$B91,#REF!,0),MATCH('data '!S$3,#REF!,0))=0,"",INDEX(#REF!,MATCH('data '!$B91,#REF!,0),MATCH('data '!S$3,#REF!,0)))</f>
        <v>#REF!</v>
      </c>
      <c r="T91" s="29" t="e">
        <f>IF(INDEX(#REF!,MATCH('data '!$B91,#REF!,0),MATCH('data '!T$3,#REF!,0))=0,"",INDEX(#REF!,MATCH('data '!$B91,#REF!,0),MATCH('data '!T$3,#REF!,0)))</f>
        <v>#REF!</v>
      </c>
      <c r="V91" s="25" t="s">
        <v>160</v>
      </c>
      <c r="W91" s="25" t="s">
        <v>144</v>
      </c>
      <c r="X91" s="61"/>
      <c r="Y91" s="61"/>
      <c r="AC91" s="8" t="e">
        <f>VLOOKUP(B91,#REF!,19,0)</f>
        <v>#REF!</v>
      </c>
      <c r="AE91" s="8" t="s">
        <v>621</v>
      </c>
      <c r="AF91" s="8">
        <v>45957</v>
      </c>
      <c r="AG91" s="8">
        <v>45957</v>
      </c>
      <c r="AH91" s="8" t="s">
        <v>622</v>
      </c>
      <c r="AI91" s="8">
        <v>45964</v>
      </c>
      <c r="AJ91" s="8" t="s">
        <v>623</v>
      </c>
      <c r="AP91" s="8" t="str">
        <f t="shared" si="4"/>
        <v>PO Issued</v>
      </c>
      <c r="AQ91" s="10" t="b" cm="1">
        <f t="array" aca="1" ref="AQ91" ca="1">IF(AM91&gt;0,(TODAY()-AM91),IF(AL91&gt;0,(TODAY()-AL91),IF(AK91&gt;0,(TODAY()-AK91,IF(AI91&gt;0,(TODAY()-AI91),IF(AG91&gt;0,(TODAY()-AG91),IF(AF91&gt;0,(TODAY()-AF91),IF(X91&gt;0,(TODAY()-X91)," "))))))))</f>
        <v>0</v>
      </c>
      <c r="BD91" s="2" t="str">
        <f t="shared" si="5"/>
        <v>Vendor Allocated</v>
      </c>
      <c r="BE91" s="2" t="s">
        <v>75</v>
      </c>
      <c r="BG91" s="2" t="e">
        <v>#N/A</v>
      </c>
    </row>
    <row r="92" spans="1:60" hidden="1" x14ac:dyDescent="0.25">
      <c r="B92" s="2" t="s">
        <v>624</v>
      </c>
      <c r="C92" s="2" t="s">
        <v>625</v>
      </c>
      <c r="D92" s="44" t="s">
        <v>626</v>
      </c>
      <c r="E92" s="2" t="s">
        <v>6</v>
      </c>
      <c r="F92" s="2" t="s">
        <v>110</v>
      </c>
      <c r="G92" s="2" t="s">
        <v>1</v>
      </c>
      <c r="H92" s="2" t="s">
        <v>111</v>
      </c>
      <c r="I92" s="2" t="s">
        <v>112</v>
      </c>
      <c r="J92" s="2" t="s">
        <v>113</v>
      </c>
      <c r="K92" s="2" t="s">
        <v>114</v>
      </c>
      <c r="L92" s="2" t="s">
        <v>115</v>
      </c>
      <c r="M92" s="2">
        <v>0</v>
      </c>
      <c r="N92" s="2">
        <v>0</v>
      </c>
      <c r="O92" s="2">
        <v>0</v>
      </c>
      <c r="P92" s="2" t="s">
        <v>168</v>
      </c>
      <c r="Q92" s="2" t="s">
        <v>73</v>
      </c>
      <c r="R92" s="29" t="e">
        <f>IF(INDEX(#REF!,MATCH('data '!$B92,#REF!,0),MATCH('data '!R$3,#REF!,0))=0,"",INDEX(#REF!,MATCH('data '!$B92,#REF!,0),MATCH('data '!R$3,#REF!,0)))</f>
        <v>#REF!</v>
      </c>
      <c r="S92" s="29" t="e">
        <f>IF(INDEX(#REF!,MATCH('data '!$B92,#REF!,0),MATCH('data '!S$3,#REF!,0))=0,"",INDEX(#REF!,MATCH('data '!$B92,#REF!,0),MATCH('data '!S$3,#REF!,0)))</f>
        <v>#REF!</v>
      </c>
      <c r="T92" s="29" t="e">
        <f>IF(INDEX(#REF!,MATCH('data '!$B92,#REF!,0),MATCH('data '!T$3,#REF!,0))=0,"",INDEX(#REF!,MATCH('data '!$B92,#REF!,0),MATCH('data '!T$3,#REF!,0)))</f>
        <v>#REF!</v>
      </c>
      <c r="U92" s="8" t="s">
        <v>25</v>
      </c>
      <c r="V92" s="25" t="s">
        <v>168</v>
      </c>
      <c r="W92" s="25" t="s">
        <v>176</v>
      </c>
      <c r="AC92" s="8" t="e">
        <f>VLOOKUP(B92,#REF!,19,0)</f>
        <v>#REF!</v>
      </c>
      <c r="AP92" s="8" t="str">
        <f t="shared" si="4"/>
        <v>Not yet endorsed</v>
      </c>
      <c r="AQ92" s="10" t="b" cm="1">
        <f t="array" aca="1" ref="AQ92" ca="1">IF(AM92&gt;0,(TODAY()-AM92),IF(AL92&gt;0,(TODAY()-AL92),IF(AK92&gt;0,(TODAY()-AK92,IF(AI92&gt;0,(TODAY()-AI92),IF(AG92&gt;0,(TODAY()-AG92),IF(AF92&gt;0,(TODAY()-AF92),IF(X92&gt;0,(TODAY()-X92)," "))))))))</f>
        <v>0</v>
      </c>
      <c r="BD92" s="2" t="str">
        <f t="shared" si="5"/>
        <v>TSSR Approved</v>
      </c>
      <c r="BE92" s="2" t="e">
        <v>#VALUE!</v>
      </c>
      <c r="BG92" s="2" t="e">
        <v>#N/A</v>
      </c>
    </row>
    <row r="93" spans="1:60" hidden="1" x14ac:dyDescent="0.25">
      <c r="B93" s="2" t="s">
        <v>627</v>
      </c>
      <c r="C93" s="2" t="s">
        <v>628</v>
      </c>
      <c r="D93" s="44" t="s">
        <v>629</v>
      </c>
      <c r="E93" s="2" t="s">
        <v>6</v>
      </c>
      <c r="F93" s="2" t="s">
        <v>110</v>
      </c>
      <c r="G93" s="2" t="s">
        <v>1</v>
      </c>
      <c r="H93" s="2" t="s">
        <v>111</v>
      </c>
      <c r="I93" s="2" t="s">
        <v>112</v>
      </c>
      <c r="J93" s="2" t="s">
        <v>113</v>
      </c>
      <c r="K93" s="2" t="s">
        <v>114</v>
      </c>
      <c r="L93" s="2" t="s">
        <v>115</v>
      </c>
      <c r="M93" s="2">
        <v>0</v>
      </c>
      <c r="N93" s="2">
        <v>0</v>
      </c>
      <c r="O93" s="2">
        <v>0</v>
      </c>
      <c r="P93" s="2" t="s">
        <v>72</v>
      </c>
      <c r="Q93" s="2" t="s">
        <v>73</v>
      </c>
      <c r="R93" s="29" t="e">
        <f>IF(INDEX(#REF!,MATCH('data '!$B93,#REF!,0),MATCH('data '!R$3,#REF!,0))=0,"",INDEX(#REF!,MATCH('data '!$B93,#REF!,0),MATCH('data '!R$3,#REF!,0)))</f>
        <v>#REF!</v>
      </c>
      <c r="S93" s="29" t="e">
        <f>IF(INDEX(#REF!,MATCH('data '!$B93,#REF!,0),MATCH('data '!S$3,#REF!,0))=0,"",INDEX(#REF!,MATCH('data '!$B93,#REF!,0),MATCH('data '!S$3,#REF!,0)))</f>
        <v>#REF!</v>
      </c>
      <c r="T93" s="29" t="e">
        <f>IF(INDEX(#REF!,MATCH('data '!$B93,#REF!,0),MATCH('data '!T$3,#REF!,0))=0,"",INDEX(#REF!,MATCH('data '!$B93,#REF!,0),MATCH('data '!T$3,#REF!,0)))</f>
        <v>#REF!</v>
      </c>
      <c r="U93" s="8" t="s">
        <v>25</v>
      </c>
      <c r="V93" s="25" t="s">
        <v>74</v>
      </c>
      <c r="W93" s="25">
        <v>0</v>
      </c>
      <c r="AC93" s="8" t="e">
        <f>VLOOKUP(B93,#REF!,19,0)</f>
        <v>#REF!</v>
      </c>
      <c r="AP93" s="8" t="str">
        <f t="shared" si="4"/>
        <v>Not yet endorsed</v>
      </c>
      <c r="AQ93" s="10" t="b" cm="1">
        <f t="array" aca="1" ref="AQ93" ca="1">IF(AM93&gt;0,(TODAY()-AM93),IF(AL93&gt;0,(TODAY()-AL93),IF(AK93&gt;0,(TODAY()-AK93,IF(AI93&gt;0,(TODAY()-AI93),IF(AG93&gt;0,(TODAY()-AG93),IF(AF93&gt;0,(TODAY()-AF93),IF(X93&gt;0,(TODAY()-X93)," "))))))))</f>
        <v>0</v>
      </c>
      <c r="BD93" s="2" t="str">
        <f t="shared" si="5"/>
        <v>TSSR Approved</v>
      </c>
      <c r="BE93" s="2" t="e">
        <v>#VALUE!</v>
      </c>
      <c r="BG93" s="2" t="e">
        <v>#N/A</v>
      </c>
    </row>
    <row r="94" spans="1:60" hidden="1" x14ac:dyDescent="0.25">
      <c r="B94" s="2" t="s">
        <v>630</v>
      </c>
      <c r="C94" s="2" t="s">
        <v>631</v>
      </c>
      <c r="D94" s="44" t="s">
        <v>632</v>
      </c>
      <c r="E94" s="2" t="s">
        <v>3</v>
      </c>
      <c r="F94" s="2" t="s">
        <v>138</v>
      </c>
      <c r="G94" s="2" t="s">
        <v>1</v>
      </c>
      <c r="H94" s="2" t="s">
        <v>139</v>
      </c>
      <c r="I94" s="2" t="s">
        <v>140</v>
      </c>
      <c r="J94" s="2" t="s">
        <v>141</v>
      </c>
      <c r="K94" s="2" t="s">
        <v>142</v>
      </c>
      <c r="L94" s="7" t="s">
        <v>291</v>
      </c>
      <c r="M94" s="2">
        <v>0</v>
      </c>
      <c r="N94" s="2">
        <v>17.421099999999999</v>
      </c>
      <c r="O94" s="2">
        <v>120.48860000000001</v>
      </c>
      <c r="P94" s="2" t="s">
        <v>87</v>
      </c>
      <c r="Q94" s="2" t="s">
        <v>198</v>
      </c>
      <c r="R94" s="29" t="e">
        <f>IF(INDEX(#REF!,MATCH('data '!$B94,#REF!,0),MATCH('data '!R$3,#REF!,0))=0,"",INDEX(#REF!,MATCH('data '!$B94,#REF!,0),MATCH('data '!R$3,#REF!,0)))</f>
        <v>#REF!</v>
      </c>
      <c r="S94" s="29" t="e">
        <f>IF(INDEX(#REF!,MATCH('data '!$B94,#REF!,0),MATCH('data '!S$3,#REF!,0))=0,"",INDEX(#REF!,MATCH('data '!$B94,#REF!,0),MATCH('data '!S$3,#REF!,0)))</f>
        <v>#REF!</v>
      </c>
      <c r="T94" s="29" t="e">
        <f>IF(INDEX(#REF!,MATCH('data '!$B94,#REF!,0),MATCH('data '!T$3,#REF!,0))=0,"",INDEX(#REF!,MATCH('data '!$B94,#REF!,0),MATCH('data '!T$3,#REF!,0)))</f>
        <v>#REF!</v>
      </c>
      <c r="U94" s="8" t="s">
        <v>25</v>
      </c>
      <c r="V94" s="25" t="s">
        <v>185</v>
      </c>
      <c r="W94" s="25" t="s">
        <v>144</v>
      </c>
      <c r="X94" s="9" t="s">
        <v>25</v>
      </c>
      <c r="Y94" s="9">
        <v>45878</v>
      </c>
      <c r="AC94" s="8" t="e">
        <f>VLOOKUP(B94,#REF!,19,0)</f>
        <v>#REF!</v>
      </c>
      <c r="AE94" s="8" t="s">
        <v>145</v>
      </c>
      <c r="AF94" s="8">
        <v>45908</v>
      </c>
      <c r="AG94" s="8">
        <v>45908</v>
      </c>
      <c r="AH94" s="8" t="s">
        <v>398</v>
      </c>
      <c r="AI94" s="8">
        <v>45909</v>
      </c>
      <c r="AJ94" s="8" t="s">
        <v>399</v>
      </c>
      <c r="AK94" s="8">
        <v>45916</v>
      </c>
      <c r="AL94" s="8">
        <v>45944</v>
      </c>
      <c r="AM94" s="8">
        <v>45947</v>
      </c>
      <c r="AP94" s="8" t="str">
        <f t="shared" si="4"/>
        <v>Tempo Energized</v>
      </c>
      <c r="AS94" s="8" t="s">
        <v>400</v>
      </c>
      <c r="AT94" s="8">
        <v>45940</v>
      </c>
      <c r="AU94" s="8">
        <v>45980</v>
      </c>
      <c r="AV94" s="8">
        <v>45980</v>
      </c>
      <c r="AW94" s="8" t="s">
        <v>401</v>
      </c>
      <c r="AX94" s="8">
        <v>45982</v>
      </c>
      <c r="AY94" s="8" t="s">
        <v>402</v>
      </c>
      <c r="BD94" s="2" t="str">
        <f t="shared" si="5"/>
        <v>PO Issued</v>
      </c>
      <c r="BE94" s="2">
        <v>32</v>
      </c>
      <c r="BG94" s="2" t="e">
        <v>#N/A</v>
      </c>
      <c r="BH94" s="2" t="e" vm="1">
        <v>#REF!</v>
      </c>
    </row>
    <row r="95" spans="1:60" ht="16.5" hidden="1" customHeight="1" x14ac:dyDescent="0.25">
      <c r="B95" s="2" t="s">
        <v>633</v>
      </c>
      <c r="C95" s="2" t="s">
        <v>634</v>
      </c>
      <c r="D95" s="44" t="s">
        <v>635</v>
      </c>
      <c r="E95" s="2" t="s">
        <v>4</v>
      </c>
      <c r="F95" s="2" t="s">
        <v>636</v>
      </c>
      <c r="G95" s="2" t="s">
        <v>1</v>
      </c>
      <c r="H95" s="2" t="s">
        <v>139</v>
      </c>
      <c r="I95" s="2" t="s">
        <v>140</v>
      </c>
      <c r="J95" s="2" t="s">
        <v>122</v>
      </c>
      <c r="K95" s="2" t="s">
        <v>637</v>
      </c>
      <c r="L95" s="2" t="s">
        <v>638</v>
      </c>
      <c r="M95" s="2" t="s">
        <v>639</v>
      </c>
      <c r="N95" s="2">
        <v>15.490867</v>
      </c>
      <c r="O95" s="2">
        <v>121.00006</v>
      </c>
      <c r="P95" s="2" t="s">
        <v>87</v>
      </c>
      <c r="Q95" s="2" t="s">
        <v>265</v>
      </c>
      <c r="R95" s="29" t="e">
        <f>IF(INDEX(#REF!,MATCH('data '!$B95,#REF!,0),MATCH('data '!R$3,#REF!,0))=0,"",INDEX(#REF!,MATCH('data '!$B95,#REF!,0),MATCH('data '!R$3,#REF!,0)))</f>
        <v>#REF!</v>
      </c>
      <c r="S95" s="29" t="e">
        <f>IF(INDEX(#REF!,MATCH('data '!$B95,#REF!,0),MATCH('data '!S$3,#REF!,0))=0,"",INDEX(#REF!,MATCH('data '!$B95,#REF!,0),MATCH('data '!S$3,#REF!,0)))</f>
        <v>#REF!</v>
      </c>
      <c r="T95" s="29" t="e">
        <f>IF(INDEX(#REF!,MATCH('data '!$B95,#REF!,0),MATCH('data '!T$3,#REF!,0))=0,"",INDEX(#REF!,MATCH('data '!$B95,#REF!,0),MATCH('data '!T$3,#REF!,0)))</f>
        <v>#REF!</v>
      </c>
      <c r="V95" s="25" t="s">
        <v>351</v>
      </c>
      <c r="W95" s="25" t="s">
        <v>144</v>
      </c>
      <c r="X95" s="9" t="s">
        <v>25</v>
      </c>
      <c r="Y95" s="9">
        <v>45839</v>
      </c>
      <c r="AA95" s="8" t="s">
        <v>640</v>
      </c>
      <c r="AC95" s="8" t="e">
        <f>VLOOKUP(B95,#REF!,19,0)</f>
        <v>#REF!</v>
      </c>
      <c r="AE95" s="8" t="s">
        <v>438</v>
      </c>
      <c r="AF95" s="8">
        <v>45908</v>
      </c>
      <c r="AG95" s="8">
        <v>45908</v>
      </c>
      <c r="AH95" s="8" t="s">
        <v>641</v>
      </c>
      <c r="AI95" s="8">
        <v>45909</v>
      </c>
      <c r="AJ95" s="8" t="s">
        <v>642</v>
      </c>
      <c r="AK95" s="8">
        <v>45923</v>
      </c>
      <c r="AL95" s="8">
        <v>45923</v>
      </c>
      <c r="AM95" s="8">
        <v>45965</v>
      </c>
      <c r="AP95" s="8" t="str">
        <f t="shared" si="4"/>
        <v>Tempo Energized</v>
      </c>
      <c r="AS95" s="47" t="s">
        <v>643</v>
      </c>
      <c r="AT95" s="8">
        <v>45958</v>
      </c>
      <c r="AU95" s="8">
        <v>45973</v>
      </c>
      <c r="AV95" s="8">
        <v>45973</v>
      </c>
      <c r="AW95" s="8" t="s">
        <v>644</v>
      </c>
      <c r="AX95" s="8">
        <v>45979</v>
      </c>
      <c r="AY95" s="8" t="s">
        <v>645</v>
      </c>
      <c r="BD95" s="2" t="str">
        <f t="shared" si="5"/>
        <v>PO Issued</v>
      </c>
      <c r="BF95" s="2" t="s">
        <v>646</v>
      </c>
      <c r="BG95" s="2" t="e">
        <v>#N/A</v>
      </c>
    </row>
    <row r="96" spans="1:60" hidden="1" x14ac:dyDescent="0.25">
      <c r="B96" s="2" t="s">
        <v>647</v>
      </c>
      <c r="C96" s="2" t="s">
        <v>648</v>
      </c>
      <c r="D96" s="44" t="s">
        <v>649</v>
      </c>
      <c r="E96" s="2" t="s">
        <v>5</v>
      </c>
      <c r="F96" s="2" t="s">
        <v>382</v>
      </c>
      <c r="G96" s="2" t="s">
        <v>1</v>
      </c>
      <c r="H96" s="2" t="s">
        <v>120</v>
      </c>
      <c r="I96" s="2" t="s">
        <v>140</v>
      </c>
      <c r="J96" s="2" t="s">
        <v>141</v>
      </c>
      <c r="K96" s="2" t="s">
        <v>370</v>
      </c>
      <c r="L96" s="2" t="s">
        <v>650</v>
      </c>
      <c r="M96" s="2">
        <v>0</v>
      </c>
      <c r="N96" s="2">
        <v>15.950329999999999</v>
      </c>
      <c r="O96" s="2">
        <v>120.53379</v>
      </c>
      <c r="P96" s="2" t="s">
        <v>87</v>
      </c>
      <c r="Q96" s="2" t="s">
        <v>219</v>
      </c>
      <c r="R96" s="29" t="e">
        <f>IF(INDEX(#REF!,MATCH('data '!$B96,#REF!,0),MATCH('data '!R$3,#REF!,0))=0,"",INDEX(#REF!,MATCH('data '!$B96,#REF!,0),MATCH('data '!R$3,#REF!,0)))</f>
        <v>#REF!</v>
      </c>
      <c r="S96" s="29" t="e">
        <f>IF(INDEX(#REF!,MATCH('data '!$B96,#REF!,0),MATCH('data '!S$3,#REF!,0))=0,"",INDEX(#REF!,MATCH('data '!$B96,#REF!,0),MATCH('data '!S$3,#REF!,0)))</f>
        <v>#REF!</v>
      </c>
      <c r="T96" s="29" t="e">
        <f>IF(INDEX(#REF!,MATCH('data '!$B96,#REF!,0),MATCH('data '!T$3,#REF!,0))=0,"",INDEX(#REF!,MATCH('data '!$B96,#REF!,0),MATCH('data '!T$3,#REF!,0)))</f>
        <v>#REF!</v>
      </c>
      <c r="U96" s="8" t="s">
        <v>25</v>
      </c>
      <c r="V96" s="25" t="s">
        <v>185</v>
      </c>
      <c r="W96" s="25" t="s">
        <v>144</v>
      </c>
      <c r="X96" s="9" t="s">
        <v>25</v>
      </c>
      <c r="Y96" s="9">
        <v>45833</v>
      </c>
      <c r="AC96" s="8" t="e">
        <f>VLOOKUP(B96,#REF!,19,0)</f>
        <v>#REF!</v>
      </c>
      <c r="AE96" s="8" t="s">
        <v>295</v>
      </c>
      <c r="AF96" s="8">
        <v>45908</v>
      </c>
      <c r="AG96" s="8">
        <v>45908</v>
      </c>
      <c r="AH96" s="8" t="s">
        <v>373</v>
      </c>
      <c r="AI96" s="8">
        <v>45909</v>
      </c>
      <c r="AJ96" s="8" t="s">
        <v>374</v>
      </c>
      <c r="AK96" s="8">
        <v>45916</v>
      </c>
      <c r="AL96" s="11">
        <v>45932</v>
      </c>
      <c r="AM96" s="8">
        <v>45945</v>
      </c>
      <c r="AP96" s="8" t="str">
        <f t="shared" si="4"/>
        <v>Tempo Energized</v>
      </c>
      <c r="AS96" s="27" t="s">
        <v>651</v>
      </c>
      <c r="AT96" s="8">
        <v>45922</v>
      </c>
      <c r="AU96" s="8">
        <v>45924</v>
      </c>
      <c r="AV96" s="8">
        <v>45936</v>
      </c>
      <c r="AW96" s="8" t="s">
        <v>377</v>
      </c>
      <c r="AX96" s="8">
        <v>45939</v>
      </c>
      <c r="AY96" s="8" t="s">
        <v>378</v>
      </c>
      <c r="AZ96" s="8">
        <v>45940</v>
      </c>
      <c r="BA96" s="8">
        <v>45945</v>
      </c>
      <c r="BD96" s="2" t="str">
        <f t="shared" si="5"/>
        <v>Line Construction Completed</v>
      </c>
      <c r="BE96" s="2">
        <v>4</v>
      </c>
      <c r="BG96" s="2" t="e">
        <v>#N/A</v>
      </c>
      <c r="BH96" s="2" t="e" vm="1">
        <v>#REF!</v>
      </c>
    </row>
    <row r="97" spans="1:60" hidden="1" x14ac:dyDescent="0.25">
      <c r="B97" s="2" t="s">
        <v>652</v>
      </c>
      <c r="C97" s="2" t="s">
        <v>653</v>
      </c>
      <c r="D97" s="44" t="s">
        <v>654</v>
      </c>
      <c r="E97" s="2" t="s">
        <v>3</v>
      </c>
      <c r="F97" s="2">
        <v>0</v>
      </c>
      <c r="G97" s="2" t="s">
        <v>1</v>
      </c>
      <c r="H97" s="2" t="s">
        <v>120</v>
      </c>
      <c r="I97" s="2" t="s">
        <v>121</v>
      </c>
      <c r="J97" s="2" t="s">
        <v>141</v>
      </c>
      <c r="K97" s="2" t="s">
        <v>370</v>
      </c>
      <c r="L97" s="2" t="s">
        <v>650</v>
      </c>
      <c r="M97" s="2">
        <v>0</v>
      </c>
      <c r="N97" s="2">
        <v>0</v>
      </c>
      <c r="O97" s="2">
        <v>0</v>
      </c>
      <c r="P97" s="2" t="s">
        <v>655</v>
      </c>
      <c r="Q97" s="2">
        <v>0</v>
      </c>
      <c r="R97" s="29" t="e">
        <f>IF(INDEX(#REF!,MATCH('data '!$B97,#REF!,0),MATCH('data '!R$3,#REF!,0))=0,"",INDEX(#REF!,MATCH('data '!$B97,#REF!,0),MATCH('data '!R$3,#REF!,0)))</f>
        <v>#REF!</v>
      </c>
      <c r="S97" s="29" t="e">
        <f>IF(INDEX(#REF!,MATCH('data '!$B97,#REF!,0),MATCH('data '!S$3,#REF!,0))=0,"",INDEX(#REF!,MATCH('data '!$B97,#REF!,0),MATCH('data '!S$3,#REF!,0)))</f>
        <v>#REF!</v>
      </c>
      <c r="T97" s="29" t="e">
        <f>IF(INDEX(#REF!,MATCH('data '!$B97,#REF!,0),MATCH('data '!T$3,#REF!,0))=0,"",INDEX(#REF!,MATCH('data '!$B97,#REF!,0),MATCH('data '!T$3,#REF!,0)))</f>
        <v>#REF!</v>
      </c>
      <c r="V97" s="25" t="s">
        <v>656</v>
      </c>
      <c r="W97" s="25">
        <v>0</v>
      </c>
      <c r="AC97" s="8" t="e">
        <f>VLOOKUP(B97,#REF!,19,0)</f>
        <v>#REF!</v>
      </c>
      <c r="AP97" s="8" t="str">
        <f t="shared" si="4"/>
        <v>Not yet endorsed</v>
      </c>
      <c r="AQ97" s="10" t="b" cm="1">
        <f t="array" aca="1" ref="AQ97" ca="1">IF(AM97&gt;0,(TODAY()-AM97),IF(AL97&gt;0,(TODAY()-AL97),IF(AK97&gt;0,(TODAY()-AK97,IF(AI97&gt;0,(TODAY()-AI97),IF(AG97&gt;0,(TODAY()-AG97),IF(AF97&gt;0,(TODAY()-AF97),IF(X97&gt;0,(TODAY()-X97)," "))))))))</f>
        <v>0</v>
      </c>
      <c r="BD97" s="2" t="str">
        <f t="shared" si="5"/>
        <v>Not yet endorsed</v>
      </c>
      <c r="BE97" s="2" t="s">
        <v>75</v>
      </c>
      <c r="BG97" s="2" t="e">
        <v>#N/A</v>
      </c>
      <c r="BH97" s="2" t="e" vm="1">
        <v>#REF!</v>
      </c>
    </row>
    <row r="98" spans="1:60" hidden="1" x14ac:dyDescent="0.25">
      <c r="B98" s="2" t="s">
        <v>657</v>
      </c>
      <c r="C98" s="2" t="s">
        <v>658</v>
      </c>
      <c r="D98" s="44" t="s">
        <v>659</v>
      </c>
      <c r="F98" s="2">
        <v>0</v>
      </c>
      <c r="G98" s="2" t="s">
        <v>1</v>
      </c>
      <c r="H98" s="2" t="s">
        <v>120</v>
      </c>
      <c r="I98" s="2" t="s">
        <v>121</v>
      </c>
      <c r="J98" s="2" t="e">
        <v>#N/A</v>
      </c>
      <c r="K98" s="2" t="e">
        <v>#N/A</v>
      </c>
      <c r="L98" s="2" t="e">
        <v>#N/A</v>
      </c>
      <c r="M98" s="2" t="e">
        <v>#N/A</v>
      </c>
      <c r="N98" s="2" t="e">
        <v>#N/A</v>
      </c>
      <c r="O98" s="2" t="e">
        <v>#N/A</v>
      </c>
      <c r="P98" s="2" t="s">
        <v>568</v>
      </c>
      <c r="Q98" s="2">
        <v>0</v>
      </c>
      <c r="R98" s="29" t="e">
        <f>IF(INDEX(#REF!,MATCH('data '!$B98,#REF!,0),MATCH('data '!R$3,#REF!,0))=0,"",INDEX(#REF!,MATCH('data '!$B98,#REF!,0),MATCH('data '!R$3,#REF!,0)))</f>
        <v>#REF!</v>
      </c>
      <c r="S98" s="29" t="e">
        <f>IF(INDEX(#REF!,MATCH('data '!$B98,#REF!,0),MATCH('data '!S$3,#REF!,0))=0,"",INDEX(#REF!,MATCH('data '!$B98,#REF!,0),MATCH('data '!S$3,#REF!,0)))</f>
        <v>#REF!</v>
      </c>
      <c r="T98" s="29" t="e">
        <f>IF(INDEX(#REF!,MATCH('data '!$B98,#REF!,0),MATCH('data '!T$3,#REF!,0))=0,"",INDEX(#REF!,MATCH('data '!$B98,#REF!,0),MATCH('data '!T$3,#REF!,0)))</f>
        <v>#REF!</v>
      </c>
      <c r="V98" s="25" t="s">
        <v>204</v>
      </c>
      <c r="W98" s="25">
        <v>0</v>
      </c>
      <c r="AC98" s="8" t="e">
        <f>VLOOKUP(B98,#REF!,19,0)</f>
        <v>#REF!</v>
      </c>
      <c r="AP98" s="8" t="str">
        <f t="shared" si="4"/>
        <v>Not yet endorsed</v>
      </c>
      <c r="AQ98" s="10" t="b" cm="1">
        <f t="array" aca="1" ref="AQ98" ca="1">IF(AM98&gt;0,(TODAY()-AM98),IF(AL98&gt;0,(TODAY()-AL98),IF(AK98&gt;0,(TODAY()-AK98,IF(AI98&gt;0,(TODAY()-AI98),IF(AG98&gt;0,(TODAY()-AG98),IF(AF98&gt;0,(TODAY()-AF98),IF(X98&gt;0,(TODAY()-X98)," "))))))))</f>
        <v>0</v>
      </c>
      <c r="BD98" s="2" t="str">
        <f t="shared" si="5"/>
        <v>Not yet endorsed</v>
      </c>
      <c r="BE98" s="2" t="s">
        <v>75</v>
      </c>
      <c r="BG98" s="2" t="e">
        <v>#N/A</v>
      </c>
    </row>
    <row r="99" spans="1:60" hidden="1" x14ac:dyDescent="0.25">
      <c r="B99" s="2" t="s">
        <v>660</v>
      </c>
      <c r="C99" s="2" t="s">
        <v>661</v>
      </c>
      <c r="D99" s="44" t="s">
        <v>662</v>
      </c>
      <c r="E99" s="2" t="s">
        <v>4</v>
      </c>
      <c r="F99" s="2" t="s">
        <v>538</v>
      </c>
      <c r="G99" s="2" t="s">
        <v>1</v>
      </c>
      <c r="H99" s="2" t="s">
        <v>139</v>
      </c>
      <c r="I99" s="2" t="s">
        <v>140</v>
      </c>
      <c r="J99" s="2" t="s">
        <v>122</v>
      </c>
      <c r="K99" s="2" t="s">
        <v>359</v>
      </c>
      <c r="L99" s="2" t="s">
        <v>539</v>
      </c>
      <c r="M99" s="2">
        <v>0</v>
      </c>
      <c r="N99" s="2">
        <v>15.488432</v>
      </c>
      <c r="O99" s="2">
        <v>120.578716</v>
      </c>
      <c r="P99" s="2" t="s">
        <v>87</v>
      </c>
      <c r="Q99" s="2" t="s">
        <v>73</v>
      </c>
      <c r="R99" s="29" t="e">
        <f>IF(INDEX(#REF!,MATCH('data '!$B99,#REF!,0),MATCH('data '!R$3,#REF!,0))=0,"",INDEX(#REF!,MATCH('data '!$B99,#REF!,0),MATCH('data '!R$3,#REF!,0)))</f>
        <v>#REF!</v>
      </c>
      <c r="S99" s="29" t="e">
        <f>IF(INDEX(#REF!,MATCH('data '!$B99,#REF!,0),MATCH('data '!S$3,#REF!,0))=0,"",INDEX(#REF!,MATCH('data '!$B99,#REF!,0),MATCH('data '!S$3,#REF!,0)))</f>
        <v>#REF!</v>
      </c>
      <c r="T99" s="29" t="e">
        <f>IF(INDEX(#REF!,MATCH('data '!$B99,#REF!,0),MATCH('data '!T$3,#REF!,0))=0,"",INDEX(#REF!,MATCH('data '!$B99,#REF!,0),MATCH('data '!T$3,#REF!,0)))</f>
        <v>#REF!</v>
      </c>
      <c r="U99" s="8" t="s">
        <v>25</v>
      </c>
      <c r="V99" s="25" t="s">
        <v>160</v>
      </c>
      <c r="W99" s="25" t="s">
        <v>144</v>
      </c>
      <c r="X99" s="9" t="s">
        <v>25</v>
      </c>
      <c r="Y99" s="9">
        <v>45934</v>
      </c>
      <c r="AC99" s="8" t="e">
        <f>VLOOKUP(B99,#REF!,19,0)</f>
        <v>#REF!</v>
      </c>
      <c r="AE99" s="8" t="s">
        <v>361</v>
      </c>
      <c r="AF99" s="13">
        <v>45938</v>
      </c>
      <c r="AG99" s="8">
        <v>45975</v>
      </c>
      <c r="AH99" s="8" t="s">
        <v>663</v>
      </c>
      <c r="AI99" s="8">
        <v>45979</v>
      </c>
      <c r="AJ99" s="8" t="s">
        <v>664</v>
      </c>
      <c r="AK99" s="8">
        <v>45980</v>
      </c>
      <c r="AL99" s="8">
        <v>45979</v>
      </c>
      <c r="AM99" s="8">
        <v>46002</v>
      </c>
      <c r="AP99" s="8" t="str">
        <f t="shared" si="4"/>
        <v>Tempo Energized</v>
      </c>
      <c r="AQ99" s="10" cm="1">
        <f t="array" aca="1" ref="AQ99" ca="1">IF(AM99&gt;0,(TODAY()-AM99),IF(AL99&gt;0,(TODAY()-AL99),IF(AK99&gt;0,(TODAY()-AK99,IF(AI99&gt;0,(TODAY()-AI99),IF(AG99&gt;0,(TODAY()-AG99),IF(AF99&gt;0,(TODAY()-AF99),IF(X99&gt;0,(TODAY()-X99)," "))))))))</f>
        <v>104</v>
      </c>
      <c r="AT99" s="11"/>
      <c r="AU99" s="11"/>
      <c r="AV99" s="11"/>
      <c r="AW99" s="11"/>
      <c r="AX99" s="11"/>
      <c r="AY99" s="11"/>
      <c r="BD99" s="2" t="str">
        <f t="shared" si="5"/>
        <v>Vendor Allocated</v>
      </c>
      <c r="BE99" s="2">
        <v>2</v>
      </c>
      <c r="BG99" s="2" t="s">
        <v>665</v>
      </c>
    </row>
    <row r="100" spans="1:60" hidden="1" x14ac:dyDescent="0.25">
      <c r="B100" s="2" t="s">
        <v>666</v>
      </c>
      <c r="C100" s="2" t="s">
        <v>667</v>
      </c>
      <c r="D100" s="44" t="s">
        <v>668</v>
      </c>
      <c r="E100" s="2" t="s">
        <v>4</v>
      </c>
      <c r="F100" s="2" t="s">
        <v>538</v>
      </c>
      <c r="G100" s="2" t="s">
        <v>1</v>
      </c>
      <c r="H100" s="2" t="s">
        <v>139</v>
      </c>
      <c r="I100" s="2" t="s">
        <v>140</v>
      </c>
      <c r="J100" s="2" t="s">
        <v>122</v>
      </c>
      <c r="K100" s="2" t="s">
        <v>359</v>
      </c>
      <c r="L100" s="2" t="s">
        <v>539</v>
      </c>
      <c r="M100" s="2">
        <v>0</v>
      </c>
      <c r="N100" s="2">
        <v>15.523313</v>
      </c>
      <c r="O100" s="2">
        <v>120.57536</v>
      </c>
      <c r="P100" s="2" t="s">
        <v>87</v>
      </c>
      <c r="Q100" s="2" t="s">
        <v>314</v>
      </c>
      <c r="R100" s="29" t="e">
        <f>IF(INDEX(#REF!,MATCH('data '!$B100,#REF!,0),MATCH('data '!R$3,#REF!,0))=0,"",INDEX(#REF!,MATCH('data '!$B100,#REF!,0),MATCH('data '!R$3,#REF!,0)))</f>
        <v>#REF!</v>
      </c>
      <c r="S100" s="29" t="e">
        <f>IF(INDEX(#REF!,MATCH('data '!$B100,#REF!,0),MATCH('data '!S$3,#REF!,0))=0,"",INDEX(#REF!,MATCH('data '!$B100,#REF!,0),MATCH('data '!S$3,#REF!,0)))</f>
        <v>#REF!</v>
      </c>
      <c r="T100" s="29" t="e">
        <f>IF(INDEX(#REF!,MATCH('data '!$B100,#REF!,0),MATCH('data '!T$3,#REF!,0))=0,"",INDEX(#REF!,MATCH('data '!$B100,#REF!,0),MATCH('data '!T$3,#REF!,0)))</f>
        <v>#REF!</v>
      </c>
      <c r="V100" s="25" t="s">
        <v>351</v>
      </c>
      <c r="W100" s="25" t="s">
        <v>144</v>
      </c>
      <c r="X100" s="9" t="s">
        <v>25</v>
      </c>
      <c r="Y100" s="9">
        <v>45884</v>
      </c>
      <c r="Z100" s="8">
        <v>46000</v>
      </c>
      <c r="AC100" s="8" t="e">
        <f>VLOOKUP(B100,#REF!,19,0)</f>
        <v>#REF!</v>
      </c>
      <c r="AE100" s="8" t="s">
        <v>540</v>
      </c>
      <c r="AF100" s="8">
        <v>45908</v>
      </c>
      <c r="AG100" s="8">
        <v>45908</v>
      </c>
      <c r="AH100" s="8" t="s">
        <v>373</v>
      </c>
      <c r="AI100" s="8">
        <v>45909</v>
      </c>
      <c r="AJ100" s="8" t="s">
        <v>374</v>
      </c>
      <c r="AK100" s="8">
        <v>45916</v>
      </c>
      <c r="AO100" s="8" t="s">
        <v>25</v>
      </c>
      <c r="AP100" s="8" t="str">
        <f t="shared" si="4"/>
        <v>COOP Surveyed</v>
      </c>
      <c r="AR100" s="10" t="s">
        <v>669</v>
      </c>
      <c r="AS100" s="8" t="s">
        <v>670</v>
      </c>
      <c r="AT100" s="11"/>
      <c r="AU100" s="11"/>
      <c r="AV100" s="11"/>
      <c r="AW100" s="11"/>
      <c r="AX100" s="11"/>
      <c r="AY100" s="11"/>
      <c r="BD100" s="2" t="str">
        <f t="shared" si="5"/>
        <v>Vendor Allocated</v>
      </c>
      <c r="BG100" s="2" t="e">
        <v>#N/A</v>
      </c>
    </row>
    <row r="101" spans="1:60" hidden="1" x14ac:dyDescent="0.25">
      <c r="A101" s="48"/>
      <c r="B101" s="7" t="s">
        <v>671</v>
      </c>
      <c r="C101" s="2" t="s">
        <v>672</v>
      </c>
      <c r="D101" s="44" t="s">
        <v>673</v>
      </c>
      <c r="E101" s="2" t="s">
        <v>5</v>
      </c>
      <c r="F101" s="2" t="s">
        <v>418</v>
      </c>
      <c r="G101" s="2" t="s">
        <v>153</v>
      </c>
      <c r="H101" s="2" t="s">
        <v>419</v>
      </c>
      <c r="I101" s="2" t="s">
        <v>140</v>
      </c>
      <c r="J101" s="2" t="e">
        <v>#N/A</v>
      </c>
      <c r="K101" s="2" t="e">
        <v>#N/A</v>
      </c>
      <c r="L101" s="2" t="e">
        <v>#N/A</v>
      </c>
      <c r="M101" s="2" t="e">
        <v>#N/A</v>
      </c>
      <c r="N101" s="2" t="e">
        <v>#N/A</v>
      </c>
      <c r="O101" s="2" t="e">
        <v>#N/A</v>
      </c>
      <c r="P101" s="2" t="e">
        <v>#N/A</v>
      </c>
      <c r="Q101" s="2" t="e">
        <v>#N/A</v>
      </c>
      <c r="R101" s="29" t="e">
        <f>IF(INDEX(#REF!,MATCH('data '!$B101,#REF!,0),MATCH('data '!R$3,#REF!,0))=0,"",INDEX(#REF!,MATCH('data '!$B101,#REF!,0),MATCH('data '!R$3,#REF!,0)))</f>
        <v>#REF!</v>
      </c>
      <c r="S101" s="29" t="e">
        <f>IF(INDEX(#REF!,MATCH('data '!$B101,#REF!,0),MATCH('data '!S$3,#REF!,0))=0,"",INDEX(#REF!,MATCH('data '!$B101,#REF!,0),MATCH('data '!S$3,#REF!,0)))</f>
        <v>#REF!</v>
      </c>
      <c r="T101" s="29" t="e">
        <f>IF(INDEX(#REF!,MATCH('data '!$B101,#REF!,0),MATCH('data '!T$3,#REF!,0))=0,"",INDEX(#REF!,MATCH('data '!$B101,#REF!,0),MATCH('data '!T$3,#REF!,0)))</f>
        <v>#REF!</v>
      </c>
      <c r="V101" s="25">
        <v>0</v>
      </c>
      <c r="W101" s="25" t="s">
        <v>144</v>
      </c>
      <c r="X101" s="9" t="s">
        <v>25</v>
      </c>
      <c r="AB101" s="8">
        <v>45883</v>
      </c>
      <c r="AC101" s="8" t="e">
        <f>VLOOKUP(B101,#REF!,19,0)</f>
        <v>#REF!</v>
      </c>
      <c r="AE101" s="8" t="s">
        <v>420</v>
      </c>
      <c r="AH101" s="8" t="s">
        <v>362</v>
      </c>
      <c r="AP101" s="8" t="str">
        <f t="shared" si="4"/>
        <v>BP Secured</v>
      </c>
      <c r="AQ101" s="10" t="b" cm="1">
        <f t="array" aca="1" ref="AQ101" ca="1">IF(AM101&gt;0,(TODAY()-AM101),IF(AL101&gt;0,(TODAY()-AL101),IF(AK101&gt;0,(TODAY()-AK101,IF(AI101&gt;0,(TODAY()-AI101),IF(AG101&gt;0,(TODAY()-AG101),IF(AF101&gt;0,(TODAY()-AF101),IF(X101&gt;0,(TODAY()-X101)," "))))))))</f>
        <v>0</v>
      </c>
      <c r="AS101" s="8" t="s">
        <v>421</v>
      </c>
      <c r="AT101" s="8">
        <v>45902</v>
      </c>
      <c r="AU101" s="8">
        <v>45902</v>
      </c>
      <c r="AV101" s="8">
        <v>45901</v>
      </c>
      <c r="AW101" s="8" t="s">
        <v>674</v>
      </c>
      <c r="AX101" s="8">
        <v>45904</v>
      </c>
      <c r="AY101" s="8" t="s">
        <v>432</v>
      </c>
      <c r="AZ101" s="22">
        <v>45916</v>
      </c>
      <c r="BA101" s="22">
        <v>45918</v>
      </c>
      <c r="BB101" s="57">
        <v>45976</v>
      </c>
      <c r="BC101" s="57">
        <v>45989</v>
      </c>
      <c r="BD101" s="2" t="str">
        <f t="shared" si="5"/>
        <v>Permanent Energized</v>
      </c>
      <c r="BE101" s="2">
        <v>36</v>
      </c>
      <c r="BF101" s="23" t="s">
        <v>433</v>
      </c>
      <c r="BG101" s="2" t="e">
        <v>#N/A</v>
      </c>
    </row>
    <row r="102" spans="1:60" hidden="1" x14ac:dyDescent="0.25">
      <c r="A102" s="48"/>
      <c r="B102" s="7" t="s">
        <v>675</v>
      </c>
      <c r="C102" s="2" t="s">
        <v>676</v>
      </c>
      <c r="D102" s="44" t="s">
        <v>677</v>
      </c>
      <c r="E102" s="2" t="s">
        <v>5</v>
      </c>
      <c r="F102" s="2" t="s">
        <v>678</v>
      </c>
      <c r="G102" s="2" t="s">
        <v>153</v>
      </c>
      <c r="H102" s="2" t="s">
        <v>419</v>
      </c>
      <c r="I102" s="2" t="s">
        <v>140</v>
      </c>
      <c r="J102" s="2" t="e">
        <v>#N/A</v>
      </c>
      <c r="K102" s="2" t="e">
        <v>#N/A</v>
      </c>
      <c r="L102" s="2" t="e">
        <v>#N/A</v>
      </c>
      <c r="M102" s="2" t="e">
        <v>#N/A</v>
      </c>
      <c r="N102" s="2" t="e">
        <v>#N/A</v>
      </c>
      <c r="O102" s="2" t="e">
        <v>#N/A</v>
      </c>
      <c r="P102" s="2" t="e">
        <v>#N/A</v>
      </c>
      <c r="Q102" s="2" t="e">
        <v>#N/A</v>
      </c>
      <c r="R102" s="29" t="e">
        <f>IF(INDEX(#REF!,MATCH('data '!$B102,#REF!,0),MATCH('data '!R$3,#REF!,0))=0,"",INDEX(#REF!,MATCH('data '!$B102,#REF!,0),MATCH('data '!R$3,#REF!,0)))</f>
        <v>#REF!</v>
      </c>
      <c r="S102" s="29" t="e">
        <f>IF(INDEX(#REF!,MATCH('data '!$B102,#REF!,0),MATCH('data '!S$3,#REF!,0))=0,"",INDEX(#REF!,MATCH('data '!$B102,#REF!,0),MATCH('data '!S$3,#REF!,0)))</f>
        <v>#REF!</v>
      </c>
      <c r="T102" s="29" t="e">
        <f>IF(INDEX(#REF!,MATCH('data '!$B102,#REF!,0),MATCH('data '!T$3,#REF!,0))=0,"",INDEX(#REF!,MATCH('data '!$B102,#REF!,0),MATCH('data '!T$3,#REF!,0)))</f>
        <v>#REF!</v>
      </c>
      <c r="V102" s="25">
        <v>0</v>
      </c>
      <c r="W102" s="25" t="s">
        <v>144</v>
      </c>
      <c r="X102" s="9" t="s">
        <v>25</v>
      </c>
      <c r="AC102" s="8" t="e">
        <f>VLOOKUP(B102,#REF!,19,0)</f>
        <v>#REF!</v>
      </c>
      <c r="AE102" s="8" t="s">
        <v>679</v>
      </c>
      <c r="AF102" s="21">
        <v>45938</v>
      </c>
      <c r="AG102" s="8">
        <v>45992</v>
      </c>
      <c r="AH102" s="8" t="s">
        <v>680</v>
      </c>
      <c r="AI102" s="8">
        <v>45993</v>
      </c>
      <c r="AJ102" s="8" t="s">
        <v>681</v>
      </c>
      <c r="AK102" s="8">
        <v>45982</v>
      </c>
      <c r="AL102" s="8">
        <v>45986</v>
      </c>
      <c r="AP102" s="8" t="str">
        <f t="shared" si="4"/>
        <v>Tempo Permit Released</v>
      </c>
      <c r="AQ102" s="10" cm="1">
        <f t="array" aca="1" ref="AQ102" ca="1">IF(AM102&gt;0,(TODAY()-AM102),IF(AL102&gt;0,(TODAY()-AL102),IF(AK102&gt;0,(TODAY()-AK102,IF(AI102&gt;0,(TODAY()-AI102),IF(AG102&gt;0,(TODAY()-AG102),IF(AF102&gt;0,(TODAY()-AF102),IF(X102&gt;0,(TODAY()-X102)," "))))))))</f>
        <v>120</v>
      </c>
      <c r="AS102" s="8" t="s">
        <v>682</v>
      </c>
      <c r="AT102" s="8">
        <v>46002</v>
      </c>
      <c r="AU102" s="8">
        <v>46003</v>
      </c>
      <c r="AV102" s="8">
        <v>46003</v>
      </c>
      <c r="AW102" s="8" t="s">
        <v>683</v>
      </c>
      <c r="AX102" s="8">
        <v>46006</v>
      </c>
      <c r="AY102" s="8" t="s">
        <v>684</v>
      </c>
      <c r="AZ102" s="8">
        <v>46027</v>
      </c>
      <c r="BA102" s="8">
        <v>46030</v>
      </c>
      <c r="BD102" s="2" t="str">
        <f t="shared" si="5"/>
        <v>Line Construction Completed</v>
      </c>
      <c r="BE102" s="2">
        <v>2</v>
      </c>
      <c r="BG102" s="2" t="s">
        <v>685</v>
      </c>
    </row>
    <row r="103" spans="1:60" hidden="1" x14ac:dyDescent="0.25">
      <c r="B103" s="2" t="s">
        <v>686</v>
      </c>
      <c r="C103" s="2" t="s">
        <v>687</v>
      </c>
      <c r="D103" s="44" t="s">
        <v>688</v>
      </c>
      <c r="E103" s="2" t="s">
        <v>11</v>
      </c>
      <c r="F103" s="2" t="s">
        <v>337</v>
      </c>
      <c r="G103" s="2" t="s">
        <v>1</v>
      </c>
      <c r="H103" s="2" t="s">
        <v>67</v>
      </c>
      <c r="I103" s="2" t="s">
        <v>68</v>
      </c>
      <c r="J103" s="2" t="s">
        <v>330</v>
      </c>
      <c r="K103" s="2" t="s">
        <v>338</v>
      </c>
      <c r="L103" s="2">
        <v>0</v>
      </c>
      <c r="M103" s="2">
        <v>0</v>
      </c>
      <c r="N103" s="2">
        <v>6.0869999999999997</v>
      </c>
      <c r="O103" s="2">
        <v>125.13339999999999</v>
      </c>
      <c r="P103" s="2" t="s">
        <v>87</v>
      </c>
      <c r="Q103" s="2" t="s">
        <v>73</v>
      </c>
      <c r="R103" s="29" t="e">
        <f>IF(INDEX(#REF!,MATCH('data '!$B103,#REF!,0),MATCH('data '!R$3,#REF!,0))=0,"",INDEX(#REF!,MATCH('data '!$B103,#REF!,0),MATCH('data '!R$3,#REF!,0)))</f>
        <v>#REF!</v>
      </c>
      <c r="S103" s="29" t="e">
        <f>IF(INDEX(#REF!,MATCH('data '!$B103,#REF!,0),MATCH('data '!S$3,#REF!,0))=0,"",INDEX(#REF!,MATCH('data '!$B103,#REF!,0),MATCH('data '!S$3,#REF!,0)))</f>
        <v>#REF!</v>
      </c>
      <c r="T103" s="29" t="e">
        <f>IF(INDEX(#REF!,MATCH('data '!$B103,#REF!,0),MATCH('data '!T$3,#REF!,0))=0,"",INDEX(#REF!,MATCH('data '!$B103,#REF!,0),MATCH('data '!T$3,#REF!,0)))</f>
        <v>#REF!</v>
      </c>
      <c r="U103" s="8" t="s">
        <v>25</v>
      </c>
      <c r="V103" s="25" t="s">
        <v>102</v>
      </c>
      <c r="W103" s="25" t="s">
        <v>103</v>
      </c>
      <c r="X103" s="43" t="s">
        <v>25</v>
      </c>
      <c r="Y103" s="43">
        <v>45923</v>
      </c>
      <c r="AC103" s="8" t="e">
        <f>VLOOKUP(B103,#REF!,19,0)</f>
        <v>#REF!</v>
      </c>
      <c r="AP103" s="8" t="str">
        <f t="shared" si="4"/>
        <v>BP Secured</v>
      </c>
      <c r="AQ103" s="10" t="b" cm="1">
        <f t="array" aca="1" ref="AQ103" ca="1">IF(AM103&gt;0,(TODAY()-AM103),IF(AL103&gt;0,(TODAY()-AL103),IF(AK103&gt;0,(TODAY()-AK103,IF(AI103&gt;0,(TODAY()-AI103),IF(AG103&gt;0,(TODAY()-AG103),IF(AF103&gt;0,(TODAY()-AF103),IF(X103&gt;0,(TODAY()-X103)," "))))))))</f>
        <v>0</v>
      </c>
      <c r="BD103" s="2" t="str">
        <f t="shared" si="5"/>
        <v>BP Secured</v>
      </c>
      <c r="BE103" s="2" t="e">
        <v>#VALUE!</v>
      </c>
      <c r="BG103" s="2" t="e">
        <v>#N/A</v>
      </c>
    </row>
    <row r="104" spans="1:60" hidden="1" x14ac:dyDescent="0.25">
      <c r="B104" s="2" t="s">
        <v>689</v>
      </c>
      <c r="C104" s="2" t="s">
        <v>690</v>
      </c>
      <c r="D104" s="44" t="s">
        <v>691</v>
      </c>
      <c r="E104" s="2" t="s">
        <v>11</v>
      </c>
      <c r="F104" s="2" t="s">
        <v>456</v>
      </c>
      <c r="G104" s="2" t="s">
        <v>1</v>
      </c>
      <c r="H104" s="2" t="s">
        <v>67</v>
      </c>
      <c r="I104" s="2" t="s">
        <v>68</v>
      </c>
      <c r="J104" s="2" t="s">
        <v>80</v>
      </c>
      <c r="K104" s="2" t="s">
        <v>692</v>
      </c>
      <c r="L104" s="2">
        <v>0</v>
      </c>
      <c r="M104" s="2">
        <v>0</v>
      </c>
      <c r="N104" s="2">
        <v>0</v>
      </c>
      <c r="O104" s="2">
        <v>0</v>
      </c>
      <c r="P104" s="2" t="s">
        <v>116</v>
      </c>
      <c r="Q104" s="2" t="s">
        <v>73</v>
      </c>
      <c r="R104" s="29" t="e">
        <f>IF(INDEX(#REF!,MATCH('data '!$B104,#REF!,0),MATCH('data '!R$3,#REF!,0))=0,"",INDEX(#REF!,MATCH('data '!$B104,#REF!,0),MATCH('data '!R$3,#REF!,0)))</f>
        <v>#REF!</v>
      </c>
      <c r="S104" s="29" t="e">
        <f>IF(INDEX(#REF!,MATCH('data '!$B104,#REF!,0),MATCH('data '!S$3,#REF!,0))=0,"",INDEX(#REF!,MATCH('data '!$B104,#REF!,0),MATCH('data '!S$3,#REF!,0)))</f>
        <v>#REF!</v>
      </c>
      <c r="T104" s="29" t="e">
        <f>IF(INDEX(#REF!,MATCH('data '!$B104,#REF!,0),MATCH('data '!T$3,#REF!,0))=0,"",INDEX(#REF!,MATCH('data '!$B104,#REF!,0),MATCH('data '!T$3,#REF!,0)))</f>
        <v>#REF!</v>
      </c>
      <c r="V104" s="25" t="s">
        <v>74</v>
      </c>
      <c r="W104" s="25">
        <v>0</v>
      </c>
      <c r="AC104" s="8" t="e">
        <f>VLOOKUP(B104,#REF!,19,0)</f>
        <v>#REF!</v>
      </c>
      <c r="AP104" s="8" t="str">
        <f t="shared" si="4"/>
        <v>Not yet endorsed</v>
      </c>
      <c r="AQ104" s="10" t="b" cm="1">
        <f t="array" aca="1" ref="AQ104" ca="1">IF(AM104&gt;0,(TODAY()-AM104),IF(AL104&gt;0,(TODAY()-AL104),IF(AK104&gt;0,(TODAY()-AK104,IF(AI104&gt;0,(TODAY()-AI104),IF(AG104&gt;0,(TODAY()-AG104),IF(AF104&gt;0,(TODAY()-AF104),IF(X104&gt;0,(TODAY()-X104)," "))))))))</f>
        <v>0</v>
      </c>
      <c r="BD104" s="2" t="str">
        <f t="shared" si="5"/>
        <v>Not yet endorsed</v>
      </c>
      <c r="BE104" s="2" t="s">
        <v>75</v>
      </c>
      <c r="BG104" s="2" t="e">
        <v>#N/A</v>
      </c>
    </row>
    <row r="105" spans="1:60" hidden="1" x14ac:dyDescent="0.25">
      <c r="B105" s="2" t="s">
        <v>693</v>
      </c>
      <c r="C105" s="2" t="s">
        <v>694</v>
      </c>
      <c r="D105" s="44" t="s">
        <v>695</v>
      </c>
      <c r="E105" s="2" t="s">
        <v>11</v>
      </c>
      <c r="F105" s="2" t="s">
        <v>696</v>
      </c>
      <c r="G105" s="2" t="s">
        <v>1</v>
      </c>
      <c r="H105" s="2" t="s">
        <v>165</v>
      </c>
      <c r="I105" s="2" t="s">
        <v>68</v>
      </c>
      <c r="J105" s="2" t="s">
        <v>181</v>
      </c>
      <c r="K105" s="2" t="s">
        <v>697</v>
      </c>
      <c r="L105" s="2" t="s">
        <v>698</v>
      </c>
      <c r="M105" s="2">
        <v>0</v>
      </c>
      <c r="N105" s="2">
        <v>8.5664472220000007</v>
      </c>
      <c r="O105" s="2">
        <v>123.3691425</v>
      </c>
      <c r="P105" s="2" t="s">
        <v>87</v>
      </c>
      <c r="Q105" s="2" t="s">
        <v>314</v>
      </c>
      <c r="R105" s="29" t="e">
        <f>IF(INDEX(#REF!,MATCH('data '!$B105,#REF!,0),MATCH('data '!R$3,#REF!,0))=0,"",INDEX(#REF!,MATCH('data '!$B105,#REF!,0),MATCH('data '!R$3,#REF!,0)))</f>
        <v>#REF!</v>
      </c>
      <c r="S105" s="29" t="e">
        <f>IF(INDEX(#REF!,MATCH('data '!$B105,#REF!,0),MATCH('data '!S$3,#REF!,0))=0,"",INDEX(#REF!,MATCH('data '!$B105,#REF!,0),MATCH('data '!S$3,#REF!,0)))</f>
        <v>#REF!</v>
      </c>
      <c r="T105" s="29" t="e">
        <f>IF(INDEX(#REF!,MATCH('data '!$B105,#REF!,0),MATCH('data '!T$3,#REF!,0))=0,"",INDEX(#REF!,MATCH('data '!$B105,#REF!,0),MATCH('data '!T$3,#REF!,0)))</f>
        <v>#REF!</v>
      </c>
      <c r="U105" s="8" t="s">
        <v>25</v>
      </c>
      <c r="V105" s="25" t="s">
        <v>560</v>
      </c>
      <c r="W105" s="25" t="s">
        <v>103</v>
      </c>
      <c r="X105" s="43" t="s">
        <v>25</v>
      </c>
      <c r="Y105" s="43">
        <v>45911</v>
      </c>
      <c r="AC105" s="8" t="e">
        <f>VLOOKUP(B105,#REF!,19,0)</f>
        <v>#REF!</v>
      </c>
      <c r="AP105" s="8" t="str">
        <f t="shared" si="4"/>
        <v>BP Secured</v>
      </c>
      <c r="AQ105" s="10" t="b" cm="1">
        <f t="array" aca="1" ref="AQ105" ca="1">IF(AM105&gt;0,(TODAY()-AM105),IF(AL105&gt;0,(TODAY()-AL105),IF(AK105&gt;0,(TODAY()-AK105,IF(AI105&gt;0,(TODAY()-AI105),IF(AG105&gt;0,(TODAY()-AG105),IF(AF105&gt;0,(TODAY()-AF105),IF(X105&gt;0,(TODAY()-X105)," "))))))))</f>
        <v>0</v>
      </c>
      <c r="BD105" s="2" t="str">
        <f t="shared" si="5"/>
        <v>BP Secured</v>
      </c>
      <c r="BE105" s="2" t="e">
        <v>#VALUE!</v>
      </c>
      <c r="BG105" s="2" t="e">
        <v>#N/A</v>
      </c>
    </row>
    <row r="106" spans="1:60" hidden="1" x14ac:dyDescent="0.25">
      <c r="B106" s="2" t="s">
        <v>699</v>
      </c>
      <c r="C106" s="2" t="s">
        <v>700</v>
      </c>
      <c r="D106" s="44" t="s">
        <v>701</v>
      </c>
      <c r="E106" s="2" t="s">
        <v>11</v>
      </c>
      <c r="F106" s="2" t="s">
        <v>66</v>
      </c>
      <c r="G106" s="2" t="s">
        <v>1</v>
      </c>
      <c r="H106" s="2" t="s">
        <v>67</v>
      </c>
      <c r="I106" s="2" t="s">
        <v>68</v>
      </c>
      <c r="J106" s="2" t="s">
        <v>69</v>
      </c>
      <c r="K106" s="2" t="s">
        <v>70</v>
      </c>
      <c r="L106" s="2">
        <v>0</v>
      </c>
      <c r="M106" s="2">
        <v>0</v>
      </c>
      <c r="N106" s="2">
        <v>0</v>
      </c>
      <c r="O106" s="2">
        <v>0</v>
      </c>
      <c r="P106" s="2" t="s">
        <v>702</v>
      </c>
      <c r="Q106" s="2" t="s">
        <v>73</v>
      </c>
      <c r="R106" s="29" t="e">
        <f>IF(INDEX(#REF!,MATCH('data '!$B106,#REF!,0),MATCH('data '!R$3,#REF!,0))=0,"",INDEX(#REF!,MATCH('data '!$B106,#REF!,0),MATCH('data '!R$3,#REF!,0)))</f>
        <v>#REF!</v>
      </c>
      <c r="S106" s="29" t="e">
        <f>IF(INDEX(#REF!,MATCH('data '!$B106,#REF!,0),MATCH('data '!S$3,#REF!,0))=0,"",INDEX(#REF!,MATCH('data '!$B106,#REF!,0),MATCH('data '!S$3,#REF!,0)))</f>
        <v>#REF!</v>
      </c>
      <c r="T106" s="29" t="e">
        <f>IF(INDEX(#REF!,MATCH('data '!$B106,#REF!,0),MATCH('data '!T$3,#REF!,0))=0,"",INDEX(#REF!,MATCH('data '!$B106,#REF!,0),MATCH('data '!T$3,#REF!,0)))</f>
        <v>#REF!</v>
      </c>
      <c r="U106" s="8" t="s">
        <v>25</v>
      </c>
      <c r="V106" s="25" t="s">
        <v>82</v>
      </c>
      <c r="W106" s="25" t="s">
        <v>83</v>
      </c>
      <c r="AC106" s="8" t="e">
        <f>VLOOKUP(B106,#REF!,19,0)</f>
        <v>#REF!</v>
      </c>
      <c r="AP106" s="8" t="str">
        <f t="shared" si="4"/>
        <v>Not yet endorsed</v>
      </c>
      <c r="AQ106" s="10" t="b" cm="1">
        <f t="array" aca="1" ref="AQ106" ca="1">IF(AM106&gt;0,(TODAY()-AM106),IF(AL106&gt;0,(TODAY()-AL106),IF(AK106&gt;0,(TODAY()-AK106,IF(AI106&gt;0,(TODAY()-AI106),IF(AG106&gt;0,(TODAY()-AG106),IF(AF106&gt;0,(TODAY()-AF106),IF(X106&gt;0,(TODAY()-X106)," "))))))))</f>
        <v>0</v>
      </c>
      <c r="BD106" s="2" t="str">
        <f t="shared" si="5"/>
        <v>TSSR Approved</v>
      </c>
      <c r="BE106" s="2" t="e">
        <v>#VALUE!</v>
      </c>
      <c r="BG106" s="2" t="e">
        <v>#N/A</v>
      </c>
    </row>
    <row r="107" spans="1:60" hidden="1" x14ac:dyDescent="0.25">
      <c r="B107" s="2" t="s">
        <v>703</v>
      </c>
      <c r="C107" s="2" t="s">
        <v>704</v>
      </c>
      <c r="D107" s="44" t="s">
        <v>705</v>
      </c>
      <c r="E107" s="2" t="s">
        <v>11</v>
      </c>
      <c r="F107" s="2" t="s">
        <v>591</v>
      </c>
      <c r="G107" s="2" t="s">
        <v>1</v>
      </c>
      <c r="H107" s="2" t="s">
        <v>165</v>
      </c>
      <c r="I107" s="2" t="s">
        <v>68</v>
      </c>
      <c r="J107" s="2" t="s">
        <v>173</v>
      </c>
      <c r="K107" s="2" t="s">
        <v>592</v>
      </c>
      <c r="L107" s="2" t="s">
        <v>593</v>
      </c>
      <c r="M107" s="2">
        <v>0</v>
      </c>
      <c r="N107" s="2">
        <v>0</v>
      </c>
      <c r="O107" s="2">
        <v>0</v>
      </c>
      <c r="P107" s="2" t="s">
        <v>82</v>
      </c>
      <c r="Q107" s="2" t="s">
        <v>73</v>
      </c>
      <c r="R107" s="29" t="e">
        <f>IF(INDEX(#REF!,MATCH('data '!$B107,#REF!,0),MATCH('data '!R$3,#REF!,0))=0,"",INDEX(#REF!,MATCH('data '!$B107,#REF!,0),MATCH('data '!R$3,#REF!,0)))</f>
        <v>#REF!</v>
      </c>
      <c r="S107" s="29" t="e">
        <f>IF(INDEX(#REF!,MATCH('data '!$B107,#REF!,0),MATCH('data '!S$3,#REF!,0))=0,"",INDEX(#REF!,MATCH('data '!$B107,#REF!,0),MATCH('data '!S$3,#REF!,0)))</f>
        <v>#REF!</v>
      </c>
      <c r="T107" s="29" t="e">
        <f>IF(INDEX(#REF!,MATCH('data '!$B107,#REF!,0),MATCH('data '!T$3,#REF!,0))=0,"",INDEX(#REF!,MATCH('data '!$B107,#REF!,0),MATCH('data '!T$3,#REF!,0)))</f>
        <v>#REF!</v>
      </c>
      <c r="U107" s="8" t="s">
        <v>25</v>
      </c>
      <c r="V107" s="25" t="s">
        <v>88</v>
      </c>
      <c r="W107" s="25" t="s">
        <v>89</v>
      </c>
      <c r="AC107" s="8" t="e">
        <f>VLOOKUP(B107,#REF!,19,0)</f>
        <v>#REF!</v>
      </c>
      <c r="AP107" s="8" t="str">
        <f t="shared" si="4"/>
        <v>Not yet endorsed</v>
      </c>
      <c r="AQ107" s="10" t="b" cm="1">
        <f t="array" aca="1" ref="AQ107" ca="1">IF(AM107&gt;0,(TODAY()-AM107),IF(AL107&gt;0,(TODAY()-AL107),IF(AK107&gt;0,(TODAY()-AK107,IF(AI107&gt;0,(TODAY()-AI107),IF(AG107&gt;0,(TODAY()-AG107),IF(AF107&gt;0,(TODAY()-AF107),IF(X107&gt;0,(TODAY()-X107)," "))))))))</f>
        <v>0</v>
      </c>
      <c r="BD107" s="2" t="str">
        <f t="shared" si="5"/>
        <v>TSSR Approved</v>
      </c>
      <c r="BE107" s="2" t="e">
        <v>#VALUE!</v>
      </c>
      <c r="BG107" s="2" t="e">
        <v>#N/A</v>
      </c>
    </row>
    <row r="108" spans="1:60" hidden="1" x14ac:dyDescent="0.25">
      <c r="B108" s="2" t="s">
        <v>706</v>
      </c>
      <c r="C108" s="2" t="s">
        <v>707</v>
      </c>
      <c r="D108" s="44" t="s">
        <v>708</v>
      </c>
      <c r="E108" s="2" t="s">
        <v>11</v>
      </c>
      <c r="F108" s="2" t="s">
        <v>709</v>
      </c>
      <c r="G108" s="2" t="s">
        <v>1</v>
      </c>
      <c r="H108" s="2" t="s">
        <v>165</v>
      </c>
      <c r="I108" s="2" t="s">
        <v>68</v>
      </c>
      <c r="J108" s="2" t="s">
        <v>173</v>
      </c>
      <c r="K108" s="2" t="s">
        <v>710</v>
      </c>
      <c r="L108" s="2" t="s">
        <v>711</v>
      </c>
      <c r="M108" s="2" t="s">
        <v>712</v>
      </c>
      <c r="N108" s="2">
        <v>8.1588139999999996</v>
      </c>
      <c r="O108" s="2">
        <v>123.828185</v>
      </c>
      <c r="P108" s="2" t="s">
        <v>87</v>
      </c>
      <c r="Q108" s="2" t="s">
        <v>314</v>
      </c>
      <c r="R108" s="29" t="e">
        <f>IF(INDEX(#REF!,MATCH('data '!$B108,#REF!,0),MATCH('data '!R$3,#REF!,0))=0,"",INDEX(#REF!,MATCH('data '!$B108,#REF!,0),MATCH('data '!R$3,#REF!,0)))</f>
        <v>#REF!</v>
      </c>
      <c r="S108" s="29" t="e">
        <f>IF(INDEX(#REF!,MATCH('data '!$B108,#REF!,0),MATCH('data '!S$3,#REF!,0))=0,"",INDEX(#REF!,MATCH('data '!$B108,#REF!,0),MATCH('data '!S$3,#REF!,0)))</f>
        <v>#REF!</v>
      </c>
      <c r="T108" s="29" t="e">
        <f>IF(INDEX(#REF!,MATCH('data '!$B108,#REF!,0),MATCH('data '!T$3,#REF!,0))=0,"",INDEX(#REF!,MATCH('data '!$B108,#REF!,0),MATCH('data '!T$3,#REF!,0)))</f>
        <v>#REF!</v>
      </c>
      <c r="U108" s="8" t="s">
        <v>25</v>
      </c>
      <c r="V108" s="25" t="s">
        <v>160</v>
      </c>
      <c r="W108" s="25" t="s">
        <v>144</v>
      </c>
      <c r="X108" s="43" t="s">
        <v>25</v>
      </c>
      <c r="Y108" s="43">
        <v>45923</v>
      </c>
      <c r="AC108" s="8" t="e">
        <f>VLOOKUP(B108,#REF!,19,0)</f>
        <v>#REF!</v>
      </c>
      <c r="AP108" s="8" t="str">
        <f t="shared" si="4"/>
        <v>BP Secured</v>
      </c>
      <c r="AQ108" s="10" t="b" cm="1">
        <f t="array" aca="1" ref="AQ108" ca="1">IF(AM108&gt;0,(TODAY()-AM108),IF(AL108&gt;0,(TODAY()-AL108),IF(AK108&gt;0,(TODAY()-AK108,IF(AI108&gt;0,(TODAY()-AI108),IF(AG108&gt;0,(TODAY()-AG108),IF(AF108&gt;0,(TODAY()-AF108),IF(X108&gt;0,(TODAY()-X108)," "))))))))</f>
        <v>0</v>
      </c>
      <c r="BD108" s="2" t="str">
        <f t="shared" si="5"/>
        <v>BP Secured</v>
      </c>
      <c r="BE108" s="2" t="e">
        <v>#VALUE!</v>
      </c>
      <c r="BG108" s="2" t="e">
        <v>#N/A</v>
      </c>
    </row>
    <row r="109" spans="1:60" hidden="1" x14ac:dyDescent="0.25">
      <c r="B109" s="2" t="s">
        <v>713</v>
      </c>
      <c r="C109" s="2" t="s">
        <v>714</v>
      </c>
      <c r="D109" s="44" t="s">
        <v>715</v>
      </c>
      <c r="E109" s="2" t="s">
        <v>11</v>
      </c>
      <c r="F109" s="2" t="s">
        <v>709</v>
      </c>
      <c r="G109" s="2" t="s">
        <v>1</v>
      </c>
      <c r="H109" s="2" t="s">
        <v>165</v>
      </c>
      <c r="I109" s="2" t="s">
        <v>68</v>
      </c>
      <c r="J109" s="2" t="s">
        <v>173</v>
      </c>
      <c r="K109" s="2" t="s">
        <v>710</v>
      </c>
      <c r="L109" s="2" t="s">
        <v>711</v>
      </c>
      <c r="M109" s="2">
        <v>0</v>
      </c>
      <c r="N109" s="2">
        <v>0</v>
      </c>
      <c r="O109" s="2">
        <v>0</v>
      </c>
      <c r="P109" s="2" t="s">
        <v>168</v>
      </c>
      <c r="Q109" s="2" t="e">
        <v>#N/A</v>
      </c>
      <c r="R109" s="29" t="e">
        <f>IF(INDEX(#REF!,MATCH('data '!$B109,#REF!,0),MATCH('data '!R$3,#REF!,0))=0,"",INDEX(#REF!,MATCH('data '!$B109,#REF!,0),MATCH('data '!R$3,#REF!,0)))</f>
        <v>#REF!</v>
      </c>
      <c r="S109" s="29" t="e">
        <f>IF(INDEX(#REF!,MATCH('data '!$B109,#REF!,0),MATCH('data '!S$3,#REF!,0))=0,"",INDEX(#REF!,MATCH('data '!$B109,#REF!,0),MATCH('data '!S$3,#REF!,0)))</f>
        <v>#REF!</v>
      </c>
      <c r="T109" s="29" t="e">
        <f>IF(INDEX(#REF!,MATCH('data '!$B109,#REF!,0),MATCH('data '!T$3,#REF!,0))=0,"",INDEX(#REF!,MATCH('data '!$B109,#REF!,0),MATCH('data '!T$3,#REF!,0)))</f>
        <v>#REF!</v>
      </c>
      <c r="V109" s="25" t="s">
        <v>168</v>
      </c>
      <c r="W109" s="25" t="s">
        <v>176</v>
      </c>
      <c r="AC109" s="8" t="e">
        <f>VLOOKUP(B109,#REF!,19,0)</f>
        <v>#REF!</v>
      </c>
      <c r="AP109" s="8" t="str">
        <f t="shared" si="4"/>
        <v>Not yet endorsed</v>
      </c>
      <c r="AQ109" s="10" t="b" cm="1">
        <f t="array" aca="1" ref="AQ109" ca="1">IF(AM109&gt;0,(TODAY()-AM109),IF(AL109&gt;0,(TODAY()-AL109),IF(AK109&gt;0,(TODAY()-AK109,IF(AI109&gt;0,(TODAY()-AI109),IF(AG109&gt;0,(TODAY()-AG109),IF(AF109&gt;0,(TODAY()-AF109),IF(X109&gt;0,(TODAY()-X109)," "))))))))</f>
        <v>0</v>
      </c>
      <c r="BD109" s="2" t="str">
        <f t="shared" si="5"/>
        <v>Not yet endorsed</v>
      </c>
      <c r="BE109" s="2" t="s">
        <v>75</v>
      </c>
      <c r="BG109" s="2" t="e">
        <v>#N/A</v>
      </c>
    </row>
    <row r="110" spans="1:60" hidden="1" x14ac:dyDescent="0.25">
      <c r="B110" s="2" t="s">
        <v>716</v>
      </c>
      <c r="C110" s="2" t="s">
        <v>717</v>
      </c>
      <c r="D110" s="44" t="s">
        <v>718</v>
      </c>
      <c r="E110" s="2" t="s">
        <v>6</v>
      </c>
      <c r="F110" s="2">
        <v>0</v>
      </c>
      <c r="G110" s="2" t="s">
        <v>1</v>
      </c>
      <c r="H110" s="2" t="s">
        <v>111</v>
      </c>
      <c r="I110" s="2" t="s">
        <v>112</v>
      </c>
      <c r="J110" s="2" t="s">
        <v>113</v>
      </c>
      <c r="K110" s="2" t="s">
        <v>114</v>
      </c>
      <c r="L110" s="2">
        <v>0</v>
      </c>
      <c r="M110" s="2">
        <v>0</v>
      </c>
      <c r="N110" s="2">
        <v>0</v>
      </c>
      <c r="O110" s="2">
        <v>0</v>
      </c>
      <c r="P110" s="2" t="s">
        <v>133</v>
      </c>
      <c r="Q110" s="2">
        <v>0</v>
      </c>
      <c r="R110" s="29" t="e">
        <f>IF(INDEX(#REF!,MATCH('data '!$B110,#REF!,0),MATCH('data '!R$3,#REF!,0))=0,"",INDEX(#REF!,MATCH('data '!$B110,#REF!,0),MATCH('data '!R$3,#REF!,0)))</f>
        <v>#REF!</v>
      </c>
      <c r="S110" s="29" t="e">
        <f>IF(INDEX(#REF!,MATCH('data '!$B110,#REF!,0),MATCH('data '!S$3,#REF!,0))=0,"",INDEX(#REF!,MATCH('data '!$B110,#REF!,0),MATCH('data '!S$3,#REF!,0)))</f>
        <v>#REF!</v>
      </c>
      <c r="T110" s="29" t="e">
        <f>IF(INDEX(#REF!,MATCH('data '!$B110,#REF!,0),MATCH('data '!T$3,#REF!,0))=0,"",INDEX(#REF!,MATCH('data '!$B110,#REF!,0),MATCH('data '!T$3,#REF!,0)))</f>
        <v>#REF!</v>
      </c>
      <c r="V110" s="25" t="s">
        <v>560</v>
      </c>
      <c r="W110" s="25" t="s">
        <v>103</v>
      </c>
      <c r="X110" s="61"/>
      <c r="Y110" s="61"/>
      <c r="AC110" s="8" t="e">
        <f>VLOOKUP(B110,#REF!,19,0)</f>
        <v>#REF!</v>
      </c>
      <c r="AP110" s="8" t="str">
        <f t="shared" si="4"/>
        <v>Not yet endorsed</v>
      </c>
      <c r="AQ110" s="10" t="b" cm="1">
        <f t="array" aca="1" ref="AQ110" ca="1">IF(AM110&gt;0,(TODAY()-AM110),IF(AL110&gt;0,(TODAY()-AL110),IF(AK110&gt;0,(TODAY()-AK110,IF(AI110&gt;0,(TODAY()-AI110),IF(AG110&gt;0,(TODAY()-AG110),IF(AF110&gt;0,(TODAY()-AF110),IF(X110&gt;0,(TODAY()-X110)," "))))))))</f>
        <v>0</v>
      </c>
      <c r="BD110" s="2" t="str">
        <f t="shared" si="5"/>
        <v>Not yet endorsed</v>
      </c>
      <c r="BE110" s="2" t="s">
        <v>75</v>
      </c>
      <c r="BG110" s="2" t="e">
        <v>#N/A</v>
      </c>
    </row>
    <row r="111" spans="1:60" hidden="1" x14ac:dyDescent="0.25">
      <c r="B111" s="2" t="s">
        <v>719</v>
      </c>
      <c r="C111" s="2" t="s">
        <v>720</v>
      </c>
      <c r="D111" s="44" t="s">
        <v>721</v>
      </c>
      <c r="E111" s="2" t="s">
        <v>4</v>
      </c>
      <c r="F111" s="2" t="s">
        <v>722</v>
      </c>
      <c r="G111" s="2" t="s">
        <v>1</v>
      </c>
      <c r="H111" s="2" t="s">
        <v>120</v>
      </c>
      <c r="I111" s="2" t="s">
        <v>140</v>
      </c>
      <c r="J111" s="2" t="s">
        <v>122</v>
      </c>
      <c r="K111" s="2" t="s">
        <v>723</v>
      </c>
      <c r="L111" s="2" t="s">
        <v>724</v>
      </c>
      <c r="M111" s="2">
        <v>0</v>
      </c>
      <c r="N111" s="2">
        <v>0</v>
      </c>
      <c r="O111" s="2">
        <v>0</v>
      </c>
      <c r="P111" s="2" t="s">
        <v>204</v>
      </c>
      <c r="Q111" s="2" t="s">
        <v>73</v>
      </c>
      <c r="R111" s="29" t="e">
        <f>IF(INDEX(#REF!,MATCH('data '!$B111,#REF!,0),MATCH('data '!R$3,#REF!,0))=0,"",INDEX(#REF!,MATCH('data '!$B111,#REF!,0),MATCH('data '!R$3,#REF!,0)))</f>
        <v>#REF!</v>
      </c>
      <c r="S111" s="29" t="e">
        <f>IF(INDEX(#REF!,MATCH('data '!$B111,#REF!,0),MATCH('data '!S$3,#REF!,0))=0,"",INDEX(#REF!,MATCH('data '!$B111,#REF!,0),MATCH('data '!S$3,#REF!,0)))</f>
        <v>#REF!</v>
      </c>
      <c r="T111" s="29" t="e">
        <f>IF(INDEX(#REF!,MATCH('data '!$B111,#REF!,0),MATCH('data '!T$3,#REF!,0))=0,"",INDEX(#REF!,MATCH('data '!$B111,#REF!,0),MATCH('data '!T$3,#REF!,0)))</f>
        <v>#REF!</v>
      </c>
      <c r="V111" s="25" t="s">
        <v>133</v>
      </c>
      <c r="W111" s="25" t="s">
        <v>134</v>
      </c>
      <c r="AC111" s="8" t="e">
        <f>VLOOKUP(B111,#REF!,19,0)</f>
        <v>#REF!</v>
      </c>
      <c r="AP111" s="8" t="str">
        <f t="shared" si="4"/>
        <v>Not yet endorsed</v>
      </c>
      <c r="AQ111" s="10" t="b" cm="1">
        <f t="array" aca="1" ref="AQ111" ca="1">IF(AM111&gt;0,(TODAY()-AM111),IF(AL111&gt;0,(TODAY()-AL111),IF(AK111&gt;0,(TODAY()-AK111,IF(AI111&gt;0,(TODAY()-AI111),IF(AG111&gt;0,(TODAY()-AG111),IF(AF111&gt;0,(TODAY()-AF111),IF(X111&gt;0,(TODAY()-X111)," "))))))))</f>
        <v>0</v>
      </c>
      <c r="BD111" s="2" t="str">
        <f t="shared" si="5"/>
        <v>Not yet endorsed</v>
      </c>
      <c r="BE111" s="2" t="s">
        <v>75</v>
      </c>
      <c r="BG111" s="2" t="e">
        <v>#N/A</v>
      </c>
    </row>
    <row r="112" spans="1:60" hidden="1" x14ac:dyDescent="0.25">
      <c r="B112" s="2" t="s">
        <v>725</v>
      </c>
      <c r="C112" s="2" t="s">
        <v>726</v>
      </c>
      <c r="D112" s="44" t="s">
        <v>727</v>
      </c>
      <c r="E112" s="2" t="s">
        <v>6</v>
      </c>
      <c r="F112" s="2" t="s">
        <v>110</v>
      </c>
      <c r="G112" s="2" t="s">
        <v>1</v>
      </c>
      <c r="H112" s="2" t="s">
        <v>111</v>
      </c>
      <c r="I112" s="2" t="s">
        <v>112</v>
      </c>
      <c r="J112" s="2" t="s">
        <v>113</v>
      </c>
      <c r="K112" s="2" t="s">
        <v>114</v>
      </c>
      <c r="L112" s="2" t="s">
        <v>115</v>
      </c>
      <c r="M112" s="2">
        <v>0</v>
      </c>
      <c r="N112" s="2">
        <v>10.298333</v>
      </c>
      <c r="O112" s="2">
        <v>123.87135600000001</v>
      </c>
      <c r="P112" s="2" t="s">
        <v>82</v>
      </c>
      <c r="Q112" s="2" t="s">
        <v>73</v>
      </c>
      <c r="R112" s="29" t="e">
        <f>IF(INDEX(#REF!,MATCH('data '!$B112,#REF!,0),MATCH('data '!R$3,#REF!,0))=0,"",INDEX(#REF!,MATCH('data '!$B112,#REF!,0),MATCH('data '!R$3,#REF!,0)))</f>
        <v>#REF!</v>
      </c>
      <c r="S112" s="29" t="e">
        <f>IF(INDEX(#REF!,MATCH('data '!$B112,#REF!,0),MATCH('data '!S$3,#REF!,0))=0,"",INDEX(#REF!,MATCH('data '!$B112,#REF!,0),MATCH('data '!S$3,#REF!,0)))</f>
        <v>#REF!</v>
      </c>
      <c r="T112" s="29" t="e">
        <f>IF(INDEX(#REF!,MATCH('data '!$B112,#REF!,0),MATCH('data '!T$3,#REF!,0))=0,"",INDEX(#REF!,MATCH('data '!$B112,#REF!,0),MATCH('data '!T$3,#REF!,0)))</f>
        <v>#REF!</v>
      </c>
      <c r="V112" s="25" t="s">
        <v>133</v>
      </c>
      <c r="W112" s="25" t="s">
        <v>134</v>
      </c>
      <c r="AC112" s="8" t="e">
        <f>VLOOKUP(B112,#REF!,19,0)</f>
        <v>#REF!</v>
      </c>
      <c r="AP112" s="8" t="str">
        <f t="shared" si="4"/>
        <v>Not yet endorsed</v>
      </c>
      <c r="AQ112" s="10" t="b" cm="1">
        <f t="array" aca="1" ref="AQ112" ca="1">IF(AM112&gt;0,(TODAY()-AM112),IF(AL112&gt;0,(TODAY()-AL112),IF(AK112&gt;0,(TODAY()-AK112,IF(AI112&gt;0,(TODAY()-AI112),IF(AG112&gt;0,(TODAY()-AG112),IF(AF112&gt;0,(TODAY()-AF112),IF(X112&gt;0,(TODAY()-X112)," "))))))))</f>
        <v>0</v>
      </c>
      <c r="BD112" s="2" t="str">
        <f t="shared" si="5"/>
        <v>Not yet endorsed</v>
      </c>
      <c r="BE112" s="2" t="s">
        <v>75</v>
      </c>
      <c r="BG112" s="2" t="e">
        <v>#N/A</v>
      </c>
    </row>
    <row r="113" spans="1:60" hidden="1" x14ac:dyDescent="0.25">
      <c r="B113" s="2" t="s">
        <v>728</v>
      </c>
      <c r="C113" s="2" t="s">
        <v>729</v>
      </c>
      <c r="D113" s="44" t="s">
        <v>730</v>
      </c>
      <c r="E113" s="2" t="s">
        <v>6</v>
      </c>
      <c r="F113" s="2" t="s">
        <v>110</v>
      </c>
      <c r="G113" s="2" t="s">
        <v>1</v>
      </c>
      <c r="H113" s="2" t="s">
        <v>111</v>
      </c>
      <c r="I113" s="2" t="s">
        <v>112</v>
      </c>
      <c r="J113" s="2" t="s">
        <v>113</v>
      </c>
      <c r="K113" s="2" t="s">
        <v>114</v>
      </c>
      <c r="L113" s="2" t="s">
        <v>115</v>
      </c>
      <c r="M113" s="2">
        <v>0</v>
      </c>
      <c r="N113" s="2">
        <v>10.305189</v>
      </c>
      <c r="O113" s="2">
        <v>123.866642</v>
      </c>
      <c r="P113" s="2" t="s">
        <v>168</v>
      </c>
      <c r="Q113" s="2" t="s">
        <v>73</v>
      </c>
      <c r="R113" s="29" t="e">
        <f>IF(INDEX(#REF!,MATCH('data '!$B113,#REF!,0),MATCH('data '!R$3,#REF!,0))=0,"",INDEX(#REF!,MATCH('data '!$B113,#REF!,0),MATCH('data '!R$3,#REF!,0)))</f>
        <v>#REF!</v>
      </c>
      <c r="S113" s="29" t="e">
        <f>IF(INDEX(#REF!,MATCH('data '!$B113,#REF!,0),MATCH('data '!S$3,#REF!,0))=0,"",INDEX(#REF!,MATCH('data '!$B113,#REF!,0),MATCH('data '!S$3,#REF!,0)))</f>
        <v>#REF!</v>
      </c>
      <c r="T113" s="29" t="e">
        <f>IF(INDEX(#REF!,MATCH('data '!$B113,#REF!,0),MATCH('data '!T$3,#REF!,0))=0,"",INDEX(#REF!,MATCH('data '!$B113,#REF!,0),MATCH('data '!T$3,#REF!,0)))</f>
        <v>#REF!</v>
      </c>
      <c r="V113" s="25" t="s">
        <v>731</v>
      </c>
      <c r="W113" s="25">
        <v>0</v>
      </c>
      <c r="AC113" s="8" t="e">
        <f>VLOOKUP(B113,#REF!,19,0)</f>
        <v>#REF!</v>
      </c>
      <c r="AP113" s="8" t="str">
        <f t="shared" si="4"/>
        <v>Not yet endorsed</v>
      </c>
      <c r="AQ113" s="10" t="b" cm="1">
        <f t="array" aca="1" ref="AQ113" ca="1">IF(AM113&gt;0,(TODAY()-AM113),IF(AL113&gt;0,(TODAY()-AL113),IF(AK113&gt;0,(TODAY()-AK113,IF(AI113&gt;0,(TODAY()-AI113),IF(AG113&gt;0,(TODAY()-AG113),IF(AF113&gt;0,(TODAY()-AF113),IF(X113&gt;0,(TODAY()-X113)," "))))))))</f>
        <v>0</v>
      </c>
      <c r="BD113" s="2" t="str">
        <f t="shared" si="5"/>
        <v>Not yet endorsed</v>
      </c>
      <c r="BE113" s="2" t="s">
        <v>75</v>
      </c>
      <c r="BG113" s="2" t="e">
        <v>#N/A</v>
      </c>
    </row>
    <row r="114" spans="1:60" hidden="1" x14ac:dyDescent="0.25">
      <c r="B114" s="2" t="s">
        <v>732</v>
      </c>
      <c r="C114" s="2" t="s">
        <v>733</v>
      </c>
      <c r="D114" s="44" t="s">
        <v>734</v>
      </c>
      <c r="E114" s="2" t="s">
        <v>6</v>
      </c>
      <c r="F114" s="2" t="s">
        <v>110</v>
      </c>
      <c r="G114" s="2" t="s">
        <v>1</v>
      </c>
      <c r="H114" s="2" t="s">
        <v>111</v>
      </c>
      <c r="I114" s="2" t="s">
        <v>112</v>
      </c>
      <c r="J114" s="2" t="s">
        <v>113</v>
      </c>
      <c r="K114" s="2" t="s">
        <v>114</v>
      </c>
      <c r="L114" s="2" t="s">
        <v>115</v>
      </c>
      <c r="M114" s="2">
        <v>0</v>
      </c>
      <c r="N114" s="2">
        <v>10.292299999999999</v>
      </c>
      <c r="O114" s="2">
        <v>123.86409999999999</v>
      </c>
      <c r="P114" s="2" t="s">
        <v>168</v>
      </c>
      <c r="Q114" s="2" t="s">
        <v>73</v>
      </c>
      <c r="R114" s="29" t="e">
        <f>IF(INDEX(#REF!,MATCH('data '!$B114,#REF!,0),MATCH('data '!R$3,#REF!,0))=0,"",INDEX(#REF!,MATCH('data '!$B114,#REF!,0),MATCH('data '!R$3,#REF!,0)))</f>
        <v>#REF!</v>
      </c>
      <c r="S114" s="29" t="e">
        <f>IF(INDEX(#REF!,MATCH('data '!$B114,#REF!,0),MATCH('data '!S$3,#REF!,0))=0,"",INDEX(#REF!,MATCH('data '!$B114,#REF!,0),MATCH('data '!S$3,#REF!,0)))</f>
        <v>#REF!</v>
      </c>
      <c r="T114" s="29" t="e">
        <f>IF(INDEX(#REF!,MATCH('data '!$B114,#REF!,0),MATCH('data '!T$3,#REF!,0))=0,"",INDEX(#REF!,MATCH('data '!$B114,#REF!,0),MATCH('data '!T$3,#REF!,0)))</f>
        <v>#REF!</v>
      </c>
      <c r="V114" s="25" t="s">
        <v>168</v>
      </c>
      <c r="W114" s="25" t="s">
        <v>176</v>
      </c>
      <c r="AC114" s="8" t="e">
        <f>VLOOKUP(B114,#REF!,19,0)</f>
        <v>#REF!</v>
      </c>
      <c r="AP114" s="8" t="str">
        <f t="shared" si="4"/>
        <v>Not yet endorsed</v>
      </c>
      <c r="AQ114" s="10" t="b" cm="1">
        <f t="array" aca="1" ref="AQ114" ca="1">IF(AM114&gt;0,(TODAY()-AM114),IF(AL114&gt;0,(TODAY()-AL114),IF(AK114&gt;0,(TODAY()-AK114,IF(AI114&gt;0,(TODAY()-AI114),IF(AG114&gt;0,(TODAY()-AG114),IF(AF114&gt;0,(TODAY()-AF114),IF(X114&gt;0,(TODAY()-X114)," "))))))))</f>
        <v>0</v>
      </c>
      <c r="BD114" s="2" t="str">
        <f t="shared" si="5"/>
        <v>Not yet endorsed</v>
      </c>
      <c r="BE114" s="2" t="s">
        <v>75</v>
      </c>
      <c r="BG114" s="2" t="e">
        <v>#N/A</v>
      </c>
    </row>
    <row r="115" spans="1:60" hidden="1" x14ac:dyDescent="0.25">
      <c r="B115" s="2" t="s">
        <v>735</v>
      </c>
      <c r="C115" s="2" t="s">
        <v>736</v>
      </c>
      <c r="D115" s="44" t="s">
        <v>737</v>
      </c>
      <c r="E115" s="2" t="s">
        <v>11</v>
      </c>
      <c r="F115" s="2" t="s">
        <v>79</v>
      </c>
      <c r="G115" s="2" t="s">
        <v>1</v>
      </c>
      <c r="H115" s="2" t="s">
        <v>67</v>
      </c>
      <c r="I115" s="2" t="s">
        <v>68</v>
      </c>
      <c r="J115" s="2" t="s">
        <v>80</v>
      </c>
      <c r="K115" s="2" t="s">
        <v>81</v>
      </c>
      <c r="L115" s="2" t="s">
        <v>93</v>
      </c>
      <c r="M115" s="2">
        <v>0</v>
      </c>
      <c r="N115" s="2">
        <v>0</v>
      </c>
      <c r="O115" s="2">
        <v>0</v>
      </c>
      <c r="P115" s="2" t="s">
        <v>72</v>
      </c>
      <c r="Q115" s="2" t="s">
        <v>73</v>
      </c>
      <c r="R115" s="29" t="e">
        <f>IF(INDEX(#REF!,MATCH('data '!$B115,#REF!,0),MATCH('data '!R$3,#REF!,0))=0,"",INDEX(#REF!,MATCH('data '!$B115,#REF!,0),MATCH('data '!R$3,#REF!,0)))</f>
        <v>#REF!</v>
      </c>
      <c r="S115" s="29" t="e">
        <f>IF(INDEX(#REF!,MATCH('data '!$B115,#REF!,0),MATCH('data '!S$3,#REF!,0))=0,"",INDEX(#REF!,MATCH('data '!$B115,#REF!,0),MATCH('data '!S$3,#REF!,0)))</f>
        <v>#REF!</v>
      </c>
      <c r="T115" s="29" t="e">
        <f>IF(INDEX(#REF!,MATCH('data '!$B115,#REF!,0),MATCH('data '!T$3,#REF!,0))=0,"",INDEX(#REF!,MATCH('data '!$B115,#REF!,0),MATCH('data '!T$3,#REF!,0)))</f>
        <v>#REF!</v>
      </c>
      <c r="V115" s="25" t="s">
        <v>74</v>
      </c>
      <c r="W115" s="25">
        <v>0</v>
      </c>
      <c r="AC115" s="8" t="e">
        <f>VLOOKUP(B115,#REF!,19,0)</f>
        <v>#REF!</v>
      </c>
      <c r="AP115" s="8" t="str">
        <f t="shared" si="4"/>
        <v>Not yet endorsed</v>
      </c>
      <c r="AQ115" s="10" t="b" cm="1">
        <f t="array" aca="1" ref="AQ115" ca="1">IF(AM115&gt;0,(TODAY()-AM115),IF(AL115&gt;0,(TODAY()-AL115),IF(AK115&gt;0,(TODAY()-AK115,IF(AI115&gt;0,(TODAY()-AI115),IF(AG115&gt;0,(TODAY()-AG115),IF(AF115&gt;0,(TODAY()-AF115),IF(X115&gt;0,(TODAY()-X115)," "))))))))</f>
        <v>0</v>
      </c>
      <c r="BD115" s="2" t="str">
        <f t="shared" si="5"/>
        <v>Not yet endorsed</v>
      </c>
      <c r="BE115" s="2" t="s">
        <v>75</v>
      </c>
      <c r="BG115" s="2" t="e">
        <v>#N/A</v>
      </c>
    </row>
    <row r="116" spans="1:60" hidden="1" x14ac:dyDescent="0.25">
      <c r="B116" s="2" t="s">
        <v>738</v>
      </c>
      <c r="C116" s="2" t="s">
        <v>739</v>
      </c>
      <c r="D116" s="44" t="s">
        <v>740</v>
      </c>
      <c r="E116" s="2" t="s">
        <v>11</v>
      </c>
      <c r="F116" s="2" t="s">
        <v>79</v>
      </c>
      <c r="G116" s="2" t="s">
        <v>1</v>
      </c>
      <c r="H116" s="2" t="s">
        <v>67</v>
      </c>
      <c r="I116" s="2" t="s">
        <v>68</v>
      </c>
      <c r="J116" s="2" t="s">
        <v>80</v>
      </c>
      <c r="K116" s="2" t="s">
        <v>81</v>
      </c>
      <c r="L116" s="2" t="s">
        <v>93</v>
      </c>
      <c r="M116" s="2" t="s">
        <v>741</v>
      </c>
      <c r="N116" s="2">
        <v>0</v>
      </c>
      <c r="O116" s="2">
        <v>0</v>
      </c>
      <c r="P116" s="2" t="s">
        <v>168</v>
      </c>
      <c r="Q116" s="2" t="s">
        <v>73</v>
      </c>
      <c r="R116" s="29" t="e">
        <f>IF(INDEX(#REF!,MATCH('data '!$B116,#REF!,0),MATCH('data '!R$3,#REF!,0))=0,"",INDEX(#REF!,MATCH('data '!$B116,#REF!,0),MATCH('data '!R$3,#REF!,0)))</f>
        <v>#REF!</v>
      </c>
      <c r="S116" s="29" t="e">
        <f>IF(INDEX(#REF!,MATCH('data '!$B116,#REF!,0),MATCH('data '!S$3,#REF!,0))=0,"",INDEX(#REF!,MATCH('data '!$B116,#REF!,0),MATCH('data '!S$3,#REF!,0)))</f>
        <v>#REF!</v>
      </c>
      <c r="T116" s="29" t="e">
        <f>IF(INDEX(#REF!,MATCH('data '!$B116,#REF!,0),MATCH('data '!T$3,#REF!,0))=0,"",INDEX(#REF!,MATCH('data '!$B116,#REF!,0),MATCH('data '!T$3,#REF!,0)))</f>
        <v>#REF!</v>
      </c>
      <c r="V116" s="25" t="s">
        <v>88</v>
      </c>
      <c r="W116" s="25" t="s">
        <v>89</v>
      </c>
      <c r="AC116" s="8" t="e">
        <f>VLOOKUP(B116,#REF!,19,0)</f>
        <v>#REF!</v>
      </c>
      <c r="AP116" s="8" t="str">
        <f t="shared" si="4"/>
        <v>Not yet endorsed</v>
      </c>
      <c r="AQ116" s="10" t="b" cm="1">
        <f t="array" aca="1" ref="AQ116" ca="1">IF(AM116&gt;0,(TODAY()-AM116),IF(AL116&gt;0,(TODAY()-AL116),IF(AK116&gt;0,(TODAY()-AK116,IF(AI116&gt;0,(TODAY()-AI116),IF(AG116&gt;0,(TODAY()-AG116),IF(AF116&gt;0,(TODAY()-AF116),IF(X116&gt;0,(TODAY()-X116)," "))))))))</f>
        <v>0</v>
      </c>
      <c r="BD116" s="2" t="str">
        <f t="shared" si="5"/>
        <v>Not yet endorsed</v>
      </c>
      <c r="BE116" s="2" t="s">
        <v>75</v>
      </c>
      <c r="BG116" s="2" t="e">
        <v>#N/A</v>
      </c>
    </row>
    <row r="117" spans="1:60" hidden="1" x14ac:dyDescent="0.25">
      <c r="B117" s="2" t="s">
        <v>742</v>
      </c>
      <c r="C117" s="2" t="s">
        <v>743</v>
      </c>
      <c r="D117" s="44" t="s">
        <v>744</v>
      </c>
      <c r="E117" s="2" t="s">
        <v>11</v>
      </c>
      <c r="F117" s="2" t="s">
        <v>79</v>
      </c>
      <c r="G117" s="2" t="s">
        <v>1</v>
      </c>
      <c r="H117" s="2" t="s">
        <v>67</v>
      </c>
      <c r="I117" s="2" t="s">
        <v>68</v>
      </c>
      <c r="J117" s="2" t="s">
        <v>80</v>
      </c>
      <c r="K117" s="2" t="s">
        <v>81</v>
      </c>
      <c r="L117" s="2" t="s">
        <v>93</v>
      </c>
      <c r="M117" s="2" t="s">
        <v>745</v>
      </c>
      <c r="N117" s="2">
        <v>7.0826849999999997</v>
      </c>
      <c r="O117" s="2">
        <v>125.51041499999999</v>
      </c>
      <c r="P117" s="2" t="s">
        <v>87</v>
      </c>
      <c r="Q117" s="2" t="s">
        <v>314</v>
      </c>
      <c r="R117" s="29" t="e">
        <f>IF(INDEX(#REF!,MATCH('data '!$B117,#REF!,0),MATCH('data '!R$3,#REF!,0))=0,"",INDEX(#REF!,MATCH('data '!$B117,#REF!,0),MATCH('data '!R$3,#REF!,0)))</f>
        <v>#REF!</v>
      </c>
      <c r="S117" s="29" t="e">
        <f>IF(INDEX(#REF!,MATCH('data '!$B117,#REF!,0),MATCH('data '!S$3,#REF!,0))=0,"",INDEX(#REF!,MATCH('data '!$B117,#REF!,0),MATCH('data '!S$3,#REF!,0)))</f>
        <v>#REF!</v>
      </c>
      <c r="T117" s="29" t="e">
        <f>IF(INDEX(#REF!,MATCH('data '!$B117,#REF!,0),MATCH('data '!T$3,#REF!,0))=0,"",INDEX(#REF!,MATCH('data '!$B117,#REF!,0),MATCH('data '!T$3,#REF!,0)))</f>
        <v>#REF!</v>
      </c>
      <c r="U117" s="8" t="s">
        <v>25</v>
      </c>
      <c r="V117" s="25" t="s">
        <v>160</v>
      </c>
      <c r="W117" s="25" t="s">
        <v>144</v>
      </c>
      <c r="X117" s="43" t="s">
        <v>25</v>
      </c>
      <c r="Y117" s="43">
        <v>45875</v>
      </c>
      <c r="AC117" s="8" t="e">
        <f>VLOOKUP(B117,#REF!,19,0)</f>
        <v>#REF!</v>
      </c>
      <c r="AP117" s="8" t="str">
        <f t="shared" si="4"/>
        <v>BP Secured</v>
      </c>
      <c r="AQ117" s="10" t="b" cm="1">
        <f t="array" aca="1" ref="AQ117" ca="1">IF(AM117&gt;0,(TODAY()-AM117),IF(AL117&gt;0,(TODAY()-AL117),IF(AK117&gt;0,(TODAY()-AK117,IF(AI117&gt;0,(TODAY()-AI117),IF(AG117&gt;0,(TODAY()-AG117),IF(AF117&gt;0,(TODAY()-AF117),IF(X117&gt;0,(TODAY()-X117)," "))))))))</f>
        <v>0</v>
      </c>
      <c r="BD117" s="2" t="str">
        <f t="shared" si="5"/>
        <v>BP Secured</v>
      </c>
      <c r="BE117" s="2" t="e">
        <v>#VALUE!</v>
      </c>
      <c r="BG117" s="2" t="e">
        <v>#N/A</v>
      </c>
    </row>
    <row r="118" spans="1:60" hidden="1" x14ac:dyDescent="0.25">
      <c r="B118" s="2" t="s">
        <v>746</v>
      </c>
      <c r="C118" s="2" t="s">
        <v>747</v>
      </c>
      <c r="D118" s="44" t="s">
        <v>748</v>
      </c>
      <c r="E118" s="2" t="s">
        <v>11</v>
      </c>
      <c r="F118" s="2" t="s">
        <v>79</v>
      </c>
      <c r="G118" s="2" t="s">
        <v>1</v>
      </c>
      <c r="H118" s="2" t="s">
        <v>67</v>
      </c>
      <c r="I118" s="2" t="s">
        <v>68</v>
      </c>
      <c r="J118" s="2" t="s">
        <v>80</v>
      </c>
      <c r="K118" s="2" t="s">
        <v>81</v>
      </c>
      <c r="L118" s="2" t="s">
        <v>93</v>
      </c>
      <c r="M118" s="2">
        <v>0</v>
      </c>
      <c r="N118" s="2">
        <v>7.0690999999999997</v>
      </c>
      <c r="O118" s="2">
        <v>125.5569</v>
      </c>
      <c r="P118" s="2" t="s">
        <v>87</v>
      </c>
      <c r="Q118" s="2" t="s">
        <v>314</v>
      </c>
      <c r="R118" s="29" t="e">
        <f>IF(INDEX(#REF!,MATCH('data '!$B118,#REF!,0),MATCH('data '!R$3,#REF!,0))=0,"",INDEX(#REF!,MATCH('data '!$B118,#REF!,0),MATCH('data '!R$3,#REF!,0)))</f>
        <v>#REF!</v>
      </c>
      <c r="S118" s="29" t="e">
        <f>IF(INDEX(#REF!,MATCH('data '!$B118,#REF!,0),MATCH('data '!S$3,#REF!,0))=0,"",INDEX(#REF!,MATCH('data '!$B118,#REF!,0),MATCH('data '!S$3,#REF!,0)))</f>
        <v>#REF!</v>
      </c>
      <c r="T118" s="29" t="e">
        <f>IF(INDEX(#REF!,MATCH('data '!$B118,#REF!,0),MATCH('data '!T$3,#REF!,0))=0,"",INDEX(#REF!,MATCH('data '!$B118,#REF!,0),MATCH('data '!T$3,#REF!,0)))</f>
        <v>#REF!</v>
      </c>
      <c r="U118" s="8" t="s">
        <v>25</v>
      </c>
      <c r="V118" s="25" t="s">
        <v>160</v>
      </c>
      <c r="W118" s="25" t="s">
        <v>144</v>
      </c>
      <c r="X118" s="43" t="s">
        <v>25</v>
      </c>
      <c r="Y118" s="43">
        <v>45875</v>
      </c>
      <c r="Z118" s="8">
        <v>45756</v>
      </c>
      <c r="AC118" s="8" t="e">
        <f>VLOOKUP(B118,#REF!,19,0)</f>
        <v>#REF!</v>
      </c>
      <c r="AP118" s="8" t="str">
        <f t="shared" si="4"/>
        <v>BP Secured</v>
      </c>
      <c r="AQ118" s="10" t="b" cm="1">
        <f t="array" aca="1" ref="AQ118" ca="1">IF(AM118&gt;0,(TODAY()-AM118),IF(AL118&gt;0,(TODAY()-AL118),IF(AK118&gt;0,(TODAY()-AK118,IF(AI118&gt;0,(TODAY()-AI118),IF(AG118&gt;0,(TODAY()-AG118),IF(AF118&gt;0,(TODAY()-AF118),IF(X118&gt;0,(TODAY()-X118)," "))))))))</f>
        <v>0</v>
      </c>
      <c r="BD118" s="2" t="str">
        <f t="shared" si="5"/>
        <v>BP Secured</v>
      </c>
      <c r="BE118" s="2" t="e">
        <v>#VALUE!</v>
      </c>
      <c r="BG118" s="2" t="e">
        <v>#N/A</v>
      </c>
    </row>
    <row r="119" spans="1:60" hidden="1" x14ac:dyDescent="0.25">
      <c r="B119" s="2" t="s">
        <v>749</v>
      </c>
      <c r="C119" s="2" t="s">
        <v>750</v>
      </c>
      <c r="D119" s="44" t="s">
        <v>751</v>
      </c>
      <c r="E119" s="2" t="s">
        <v>11</v>
      </c>
      <c r="F119" s="2" t="s">
        <v>79</v>
      </c>
      <c r="G119" s="2" t="s">
        <v>1</v>
      </c>
      <c r="H119" s="2" t="s">
        <v>67</v>
      </c>
      <c r="I119" s="2" t="s">
        <v>68</v>
      </c>
      <c r="J119" s="2" t="s">
        <v>80</v>
      </c>
      <c r="K119" s="2" t="s">
        <v>81</v>
      </c>
      <c r="L119" s="2" t="s">
        <v>93</v>
      </c>
      <c r="M119" s="2" t="s">
        <v>752</v>
      </c>
      <c r="N119" s="2">
        <v>0</v>
      </c>
      <c r="O119" s="2">
        <v>0</v>
      </c>
      <c r="P119" s="2" t="s">
        <v>116</v>
      </c>
      <c r="Q119" s="2" t="s">
        <v>73</v>
      </c>
      <c r="R119" s="29" t="e">
        <f>IF(INDEX(#REF!,MATCH('data '!$B119,#REF!,0),MATCH('data '!R$3,#REF!,0))=0,"",INDEX(#REF!,MATCH('data '!$B119,#REF!,0),MATCH('data '!R$3,#REF!,0)))</f>
        <v>#REF!</v>
      </c>
      <c r="S119" s="29" t="e">
        <f>IF(INDEX(#REF!,MATCH('data '!$B119,#REF!,0),MATCH('data '!S$3,#REF!,0))=0,"",INDEX(#REF!,MATCH('data '!$B119,#REF!,0),MATCH('data '!S$3,#REF!,0)))</f>
        <v>#REF!</v>
      </c>
      <c r="T119" s="29" t="e">
        <f>IF(INDEX(#REF!,MATCH('data '!$B119,#REF!,0),MATCH('data '!T$3,#REF!,0))=0,"",INDEX(#REF!,MATCH('data '!$B119,#REF!,0),MATCH('data '!T$3,#REF!,0)))</f>
        <v>#REF!</v>
      </c>
      <c r="V119" s="25" t="s">
        <v>74</v>
      </c>
      <c r="W119" s="25">
        <v>0</v>
      </c>
      <c r="AC119" s="8" t="e">
        <f>VLOOKUP(B119,#REF!,19,0)</f>
        <v>#REF!</v>
      </c>
      <c r="AP119" s="8" t="str">
        <f t="shared" si="4"/>
        <v>Not yet endorsed</v>
      </c>
      <c r="AQ119" s="10" t="b" cm="1">
        <f t="array" aca="1" ref="AQ119" ca="1">IF(AM119&gt;0,(TODAY()-AM119),IF(AL119&gt;0,(TODAY()-AL119),IF(AK119&gt;0,(TODAY()-AK119,IF(AI119&gt;0,(TODAY()-AI119),IF(AG119&gt;0,(TODAY()-AG119),IF(AF119&gt;0,(TODAY()-AF119),IF(X119&gt;0,(TODAY()-X119)," "))))))))</f>
        <v>0</v>
      </c>
      <c r="BD119" s="2" t="str">
        <f t="shared" si="5"/>
        <v>Not yet endorsed</v>
      </c>
      <c r="BE119" s="2" t="s">
        <v>75</v>
      </c>
      <c r="BG119" s="2" t="e">
        <v>#N/A</v>
      </c>
    </row>
    <row r="120" spans="1:60" hidden="1" x14ac:dyDescent="0.25">
      <c r="B120" s="2" t="s">
        <v>753</v>
      </c>
      <c r="C120" s="2" t="s">
        <v>754</v>
      </c>
      <c r="D120" s="44" t="s">
        <v>755</v>
      </c>
      <c r="E120" s="2" t="s">
        <v>4</v>
      </c>
      <c r="F120" s="2" t="s">
        <v>636</v>
      </c>
      <c r="G120" s="2" t="s">
        <v>1</v>
      </c>
      <c r="H120" s="2" t="s">
        <v>139</v>
      </c>
      <c r="I120" s="2" t="s">
        <v>140</v>
      </c>
      <c r="J120" s="2" t="s">
        <v>122</v>
      </c>
      <c r="K120" s="2" t="s">
        <v>637</v>
      </c>
      <c r="L120" s="2" t="s">
        <v>638</v>
      </c>
      <c r="M120" s="2">
        <v>0</v>
      </c>
      <c r="N120" s="2">
        <v>15.513748</v>
      </c>
      <c r="O120" s="2">
        <v>121.02624900000001</v>
      </c>
      <c r="P120" s="2" t="s">
        <v>87</v>
      </c>
      <c r="Q120" s="2" t="s">
        <v>265</v>
      </c>
      <c r="R120" s="29" t="e">
        <f>IF(INDEX(#REF!,MATCH('data '!$B120,#REF!,0),MATCH('data '!R$3,#REF!,0))=0,"",INDEX(#REF!,MATCH('data '!$B120,#REF!,0),MATCH('data '!R$3,#REF!,0)))</f>
        <v>#REF!</v>
      </c>
      <c r="S120" s="29" t="e">
        <f>IF(INDEX(#REF!,MATCH('data '!$B120,#REF!,0),MATCH('data '!S$3,#REF!,0))=0,"",INDEX(#REF!,MATCH('data '!$B120,#REF!,0),MATCH('data '!S$3,#REF!,0)))</f>
        <v>#REF!</v>
      </c>
      <c r="T120" s="29" t="e">
        <f>IF(INDEX(#REF!,MATCH('data '!$B120,#REF!,0),MATCH('data '!T$3,#REF!,0))=0,"",INDEX(#REF!,MATCH('data '!$B120,#REF!,0),MATCH('data '!T$3,#REF!,0)))</f>
        <v>#REF!</v>
      </c>
      <c r="U120" s="8" t="s">
        <v>25</v>
      </c>
      <c r="V120" s="25" t="s">
        <v>185</v>
      </c>
      <c r="W120" s="25" t="s">
        <v>144</v>
      </c>
      <c r="X120" s="9" t="s">
        <v>25</v>
      </c>
      <c r="Y120" s="9">
        <v>45786</v>
      </c>
      <c r="AA120" s="8" t="s">
        <v>756</v>
      </c>
      <c r="AC120" s="8" t="e">
        <f>VLOOKUP(B120,#REF!,19,0)</f>
        <v>#REF!</v>
      </c>
      <c r="AE120" s="8" t="s">
        <v>361</v>
      </c>
      <c r="AF120" s="8">
        <v>45793</v>
      </c>
      <c r="AH120" s="8" t="s">
        <v>362</v>
      </c>
      <c r="AP120" s="8" t="str">
        <f t="shared" si="4"/>
        <v>Vendor Allocated</v>
      </c>
      <c r="AQ120" s="10" t="b" cm="1">
        <f t="array" aca="1" ref="AQ120" ca="1">IF(AM120&gt;0,(TODAY()-AM120),IF(AL120&gt;0,(TODAY()-AL120),IF(AK120&gt;0,(TODAY()-AK120,IF(AI120&gt;0,(TODAY()-AI120),IF(AG120&gt;0,(TODAY()-AG120),IF(AF120&gt;0,(TODAY()-AF120),IF(X120&gt;0,(TODAY()-X120)," "))))))))</f>
        <v>0</v>
      </c>
      <c r="AT120" s="11"/>
      <c r="AU120" s="11"/>
      <c r="AV120" s="11"/>
      <c r="AW120" s="11"/>
      <c r="AX120" s="11"/>
      <c r="AY120" s="11"/>
      <c r="BD120" s="2" t="str">
        <f t="shared" si="5"/>
        <v>Vendor Allocated</v>
      </c>
      <c r="BE120" s="2">
        <v>147</v>
      </c>
      <c r="BF120" s="2" t="s">
        <v>757</v>
      </c>
      <c r="BG120" s="2" t="e">
        <v>#N/A</v>
      </c>
      <c r="BH120" s="2" t="s">
        <v>758</v>
      </c>
    </row>
    <row r="121" spans="1:60" hidden="1" x14ac:dyDescent="0.25">
      <c r="B121" s="2" t="s">
        <v>759</v>
      </c>
      <c r="C121" s="2" t="s">
        <v>760</v>
      </c>
      <c r="D121" s="44" t="s">
        <v>761</v>
      </c>
      <c r="E121" s="2" t="s">
        <v>11</v>
      </c>
      <c r="F121" s="2" t="s">
        <v>591</v>
      </c>
      <c r="G121" s="2" t="s">
        <v>1</v>
      </c>
      <c r="H121" s="2" t="s">
        <v>165</v>
      </c>
      <c r="I121" s="2" t="s">
        <v>68</v>
      </c>
      <c r="J121" s="2" t="s">
        <v>173</v>
      </c>
      <c r="K121" s="2" t="s">
        <v>592</v>
      </c>
      <c r="L121" s="2" t="s">
        <v>593</v>
      </c>
      <c r="M121" s="2">
        <v>0</v>
      </c>
      <c r="N121" s="2">
        <v>0</v>
      </c>
      <c r="O121" s="2">
        <v>0</v>
      </c>
      <c r="P121" s="2" t="s">
        <v>82</v>
      </c>
      <c r="Q121" s="2" t="s">
        <v>73</v>
      </c>
      <c r="R121" s="29" t="e">
        <f>IF(INDEX(#REF!,MATCH('data '!$B121,#REF!,0),MATCH('data '!R$3,#REF!,0))=0,"",INDEX(#REF!,MATCH('data '!$B121,#REF!,0),MATCH('data '!R$3,#REF!,0)))</f>
        <v>#REF!</v>
      </c>
      <c r="S121" s="29" t="e">
        <f>IF(INDEX(#REF!,MATCH('data '!$B121,#REF!,0),MATCH('data '!S$3,#REF!,0))=0,"",INDEX(#REF!,MATCH('data '!$B121,#REF!,0),MATCH('data '!S$3,#REF!,0)))</f>
        <v>#REF!</v>
      </c>
      <c r="T121" s="29" t="e">
        <f>IF(INDEX(#REF!,MATCH('data '!$B121,#REF!,0),MATCH('data '!T$3,#REF!,0))=0,"",INDEX(#REF!,MATCH('data '!$B121,#REF!,0),MATCH('data '!T$3,#REF!,0)))</f>
        <v>#REF!</v>
      </c>
      <c r="V121" s="25" t="s">
        <v>74</v>
      </c>
      <c r="W121" s="25">
        <v>0</v>
      </c>
      <c r="AC121" s="8" t="e">
        <f>VLOOKUP(B121,#REF!,19,0)</f>
        <v>#REF!</v>
      </c>
      <c r="AP121" s="8" t="str">
        <f t="shared" si="4"/>
        <v>Not yet endorsed</v>
      </c>
      <c r="AQ121" s="10" t="b" cm="1">
        <f t="array" aca="1" ref="AQ121" ca="1">IF(AM121&gt;0,(TODAY()-AM121),IF(AL121&gt;0,(TODAY()-AL121),IF(AK121&gt;0,(TODAY()-AK121,IF(AI121&gt;0,(TODAY()-AI121),IF(AG121&gt;0,(TODAY()-AG121),IF(AF121&gt;0,(TODAY()-AF121),IF(X121&gt;0,(TODAY()-X121)," "))))))))</f>
        <v>0</v>
      </c>
      <c r="BD121" s="2" t="str">
        <f t="shared" si="5"/>
        <v>Not yet endorsed</v>
      </c>
      <c r="BE121" s="2" t="s">
        <v>75</v>
      </c>
      <c r="BG121" s="2" t="e">
        <v>#N/A</v>
      </c>
    </row>
    <row r="122" spans="1:60" hidden="1" x14ac:dyDescent="0.25">
      <c r="B122" s="2" t="s">
        <v>762</v>
      </c>
      <c r="C122" s="2" t="s">
        <v>763</v>
      </c>
      <c r="D122" s="44" t="s">
        <v>764</v>
      </c>
      <c r="E122" s="2" t="s">
        <v>11</v>
      </c>
      <c r="F122" s="2" t="s">
        <v>591</v>
      </c>
      <c r="G122" s="2" t="s">
        <v>1</v>
      </c>
      <c r="H122" s="2" t="s">
        <v>165</v>
      </c>
      <c r="I122" s="2" t="s">
        <v>68</v>
      </c>
      <c r="J122" s="2" t="s">
        <v>173</v>
      </c>
      <c r="K122" s="2" t="s">
        <v>592</v>
      </c>
      <c r="L122" s="2" t="s">
        <v>593</v>
      </c>
      <c r="M122" s="2">
        <v>0</v>
      </c>
      <c r="N122" s="2">
        <v>0</v>
      </c>
      <c r="O122" s="2">
        <v>0</v>
      </c>
      <c r="P122" s="2" t="s">
        <v>82</v>
      </c>
      <c r="Q122" s="2" t="s">
        <v>73</v>
      </c>
      <c r="R122" s="29" t="e">
        <f>IF(INDEX(#REF!,MATCH('data '!$B122,#REF!,0),MATCH('data '!R$3,#REF!,0))=0,"",INDEX(#REF!,MATCH('data '!$B122,#REF!,0),MATCH('data '!R$3,#REF!,0)))</f>
        <v>#REF!</v>
      </c>
      <c r="S122" s="29" t="e">
        <f>IF(INDEX(#REF!,MATCH('data '!$B122,#REF!,0),MATCH('data '!S$3,#REF!,0))=0,"",INDEX(#REF!,MATCH('data '!$B122,#REF!,0),MATCH('data '!S$3,#REF!,0)))</f>
        <v>#REF!</v>
      </c>
      <c r="T122" s="29" t="e">
        <f>IF(INDEX(#REF!,MATCH('data '!$B122,#REF!,0),MATCH('data '!T$3,#REF!,0))=0,"",INDEX(#REF!,MATCH('data '!$B122,#REF!,0),MATCH('data '!T$3,#REF!,0)))</f>
        <v>#REF!</v>
      </c>
      <c r="U122" s="8" t="s">
        <v>25</v>
      </c>
      <c r="V122" s="25" t="s">
        <v>88</v>
      </c>
      <c r="W122" s="25" t="s">
        <v>89</v>
      </c>
      <c r="AC122" s="8" t="e">
        <f>VLOOKUP(B122,#REF!,19,0)</f>
        <v>#REF!</v>
      </c>
      <c r="AP122" s="8" t="str">
        <f t="shared" si="4"/>
        <v>Not yet endorsed</v>
      </c>
      <c r="AQ122" s="10" t="b" cm="1">
        <f t="array" aca="1" ref="AQ122" ca="1">IF(AM122&gt;0,(TODAY()-AM122),IF(AL122&gt;0,(TODAY()-AL122),IF(AK122&gt;0,(TODAY()-AK122,IF(AI122&gt;0,(TODAY()-AI122),IF(AG122&gt;0,(TODAY()-AG122),IF(AF122&gt;0,(TODAY()-AF122),IF(X122&gt;0,(TODAY()-X122)," "))))))))</f>
        <v>0</v>
      </c>
      <c r="BD122" s="2" t="str">
        <f t="shared" si="5"/>
        <v>TSSR Approved</v>
      </c>
      <c r="BE122" s="2" t="e">
        <v>#VALUE!</v>
      </c>
      <c r="BG122" s="2" t="e">
        <v>#N/A</v>
      </c>
    </row>
    <row r="123" spans="1:60" hidden="1" x14ac:dyDescent="0.25">
      <c r="B123" s="2" t="s">
        <v>765</v>
      </c>
      <c r="C123" s="2" t="s">
        <v>766</v>
      </c>
      <c r="D123" s="44" t="s">
        <v>767</v>
      </c>
      <c r="E123" s="2" t="s">
        <v>6</v>
      </c>
      <c r="F123" s="2" t="s">
        <v>768</v>
      </c>
      <c r="G123" s="2" t="s">
        <v>1</v>
      </c>
      <c r="H123" s="2" t="s">
        <v>111</v>
      </c>
      <c r="I123" s="2" t="s">
        <v>112</v>
      </c>
      <c r="J123" s="2" t="s">
        <v>344</v>
      </c>
      <c r="K123" s="2" t="s">
        <v>620</v>
      </c>
      <c r="L123" s="2" t="s">
        <v>769</v>
      </c>
      <c r="M123" s="2">
        <v>0</v>
      </c>
      <c r="N123" s="2">
        <v>10.625360000000001</v>
      </c>
      <c r="O123" s="2">
        <v>122.95029</v>
      </c>
      <c r="P123" s="2" t="s">
        <v>87</v>
      </c>
      <c r="Q123" s="2" t="s">
        <v>184</v>
      </c>
      <c r="R123" s="29" t="e">
        <f>IF(INDEX(#REF!,MATCH('data '!$B123,#REF!,0),MATCH('data '!R$3,#REF!,0))=0,"",INDEX(#REF!,MATCH('data '!$B123,#REF!,0),MATCH('data '!R$3,#REF!,0)))</f>
        <v>#REF!</v>
      </c>
      <c r="S123" s="29" t="e">
        <f>IF(INDEX(#REF!,MATCH('data '!$B123,#REF!,0),MATCH('data '!S$3,#REF!,0))=0,"",INDEX(#REF!,MATCH('data '!$B123,#REF!,0),MATCH('data '!S$3,#REF!,0)))</f>
        <v>#REF!</v>
      </c>
      <c r="T123" s="29" t="e">
        <f>IF(INDEX(#REF!,MATCH('data '!$B123,#REF!,0),MATCH('data '!T$3,#REF!,0))=0,"",INDEX(#REF!,MATCH('data '!$B123,#REF!,0),MATCH('data '!T$3,#REF!,0)))</f>
        <v>#REF!</v>
      </c>
      <c r="U123" s="8" t="s">
        <v>25</v>
      </c>
      <c r="V123" s="25" t="s">
        <v>266</v>
      </c>
      <c r="W123" s="25" t="s">
        <v>144</v>
      </c>
      <c r="X123" s="9" t="s">
        <v>25</v>
      </c>
      <c r="Y123" s="9">
        <v>45777</v>
      </c>
      <c r="Z123" s="8">
        <v>45782</v>
      </c>
      <c r="AA123" s="8">
        <v>45695</v>
      </c>
      <c r="AB123" s="8">
        <v>45854</v>
      </c>
      <c r="AC123" s="8" t="e">
        <f>VLOOKUP(B123,#REF!,19,0)</f>
        <v>#REF!</v>
      </c>
      <c r="AE123" s="8" t="s">
        <v>770</v>
      </c>
      <c r="AP123" s="8" t="str">
        <f t="shared" si="4"/>
        <v>BP Secured</v>
      </c>
      <c r="AQ123" s="10" t="b" cm="1">
        <f t="array" aca="1" ref="AQ123" ca="1">IF(AM123&gt;0,(TODAY()-AM123),IF(AL123&gt;0,(TODAY()-AL123),IF(AK123&gt;0,(TODAY()-AK123,IF(AI123&gt;0,(TODAY()-AI123),IF(AG123&gt;0,(TODAY()-AG123),IF(AF123&gt;0,(TODAY()-AF123),IF(X123&gt;0,(TODAY()-X123)," "))))))))</f>
        <v>0</v>
      </c>
      <c r="AT123" s="8" t="s">
        <v>155</v>
      </c>
      <c r="AU123" s="8">
        <v>45909</v>
      </c>
      <c r="AV123" s="8">
        <v>45906</v>
      </c>
      <c r="AX123" s="8">
        <v>45909</v>
      </c>
      <c r="BD123" s="2" t="str">
        <f t="shared" si="5"/>
        <v>PO Issued</v>
      </c>
      <c r="BE123" s="2">
        <v>31</v>
      </c>
      <c r="BG123" s="2" t="e">
        <v>#N/A</v>
      </c>
    </row>
    <row r="124" spans="1:60" hidden="1" x14ac:dyDescent="0.25">
      <c r="B124" s="2" t="s">
        <v>771</v>
      </c>
      <c r="C124" s="2" t="s">
        <v>772</v>
      </c>
      <c r="D124" s="44" t="s">
        <v>773</v>
      </c>
      <c r="E124" s="2" t="s">
        <v>6</v>
      </c>
      <c r="F124" s="2" t="s">
        <v>768</v>
      </c>
      <c r="G124" s="2" t="s">
        <v>1</v>
      </c>
      <c r="H124" s="2" t="s">
        <v>111</v>
      </c>
      <c r="I124" s="2" t="s">
        <v>112</v>
      </c>
      <c r="J124" s="2" t="s">
        <v>344</v>
      </c>
      <c r="K124" s="2" t="s">
        <v>620</v>
      </c>
      <c r="L124" s="2" t="s">
        <v>769</v>
      </c>
      <c r="M124" s="2">
        <v>0</v>
      </c>
      <c r="N124" s="2">
        <v>0</v>
      </c>
      <c r="O124" s="2">
        <v>0</v>
      </c>
      <c r="P124" s="2" t="s">
        <v>133</v>
      </c>
      <c r="Q124" s="2" t="s">
        <v>73</v>
      </c>
      <c r="R124" s="29" t="e">
        <f>IF(INDEX(#REF!,MATCH('data '!$B124,#REF!,0),MATCH('data '!R$3,#REF!,0))=0,"",INDEX(#REF!,MATCH('data '!$B124,#REF!,0),MATCH('data '!R$3,#REF!,0)))</f>
        <v>#REF!</v>
      </c>
      <c r="S124" s="29" t="e">
        <f>IF(INDEX(#REF!,MATCH('data '!$B124,#REF!,0),MATCH('data '!S$3,#REF!,0))=0,"",INDEX(#REF!,MATCH('data '!$B124,#REF!,0),MATCH('data '!S$3,#REF!,0)))</f>
        <v>#REF!</v>
      </c>
      <c r="T124" s="29" t="e">
        <f>IF(INDEX(#REF!,MATCH('data '!$B124,#REF!,0),MATCH('data '!T$3,#REF!,0))=0,"",INDEX(#REF!,MATCH('data '!$B124,#REF!,0),MATCH('data '!T$3,#REF!,0)))</f>
        <v>#REF!</v>
      </c>
      <c r="V124" s="25" t="s">
        <v>88</v>
      </c>
      <c r="W124" s="25" t="s">
        <v>89</v>
      </c>
      <c r="AC124" s="8" t="e">
        <f>VLOOKUP(B124,#REF!,19,0)</f>
        <v>#REF!</v>
      </c>
      <c r="AP124" s="8" t="str">
        <f t="shared" si="4"/>
        <v>Not yet endorsed</v>
      </c>
      <c r="AQ124" s="10" t="b" cm="1">
        <f t="array" aca="1" ref="AQ124" ca="1">IF(AM124&gt;0,(TODAY()-AM124),IF(AL124&gt;0,(TODAY()-AL124),IF(AK124&gt;0,(TODAY()-AK124,IF(AI124&gt;0,(TODAY()-AI124),IF(AG124&gt;0,(TODAY()-AG124),IF(AF124&gt;0,(TODAY()-AF124),IF(X124&gt;0,(TODAY()-X124)," "))))))))</f>
        <v>0</v>
      </c>
      <c r="BD124" s="2" t="str">
        <f t="shared" si="5"/>
        <v>Not yet endorsed</v>
      </c>
      <c r="BE124" s="2" t="s">
        <v>75</v>
      </c>
      <c r="BG124" s="2" t="e">
        <v>#N/A</v>
      </c>
    </row>
    <row r="125" spans="1:60" hidden="1" x14ac:dyDescent="0.25">
      <c r="B125" s="2" t="s">
        <v>774</v>
      </c>
      <c r="C125" s="2" t="s">
        <v>775</v>
      </c>
      <c r="D125" s="44" t="s">
        <v>776</v>
      </c>
      <c r="E125" s="2" t="s">
        <v>4</v>
      </c>
      <c r="F125" s="2" t="s">
        <v>245</v>
      </c>
      <c r="G125" s="2" t="s">
        <v>1</v>
      </c>
      <c r="H125" s="2" t="s">
        <v>120</v>
      </c>
      <c r="I125" s="2" t="s">
        <v>140</v>
      </c>
      <c r="J125" s="2" t="s">
        <v>122</v>
      </c>
      <c r="K125" s="2" t="s">
        <v>246</v>
      </c>
      <c r="L125" s="2" t="s">
        <v>777</v>
      </c>
      <c r="M125" s="2">
        <v>0</v>
      </c>
      <c r="N125" s="2">
        <v>14.562818</v>
      </c>
      <c r="O125" s="2">
        <v>120.593326</v>
      </c>
      <c r="P125" s="2" t="s">
        <v>87</v>
      </c>
      <c r="Q125" s="2" t="s">
        <v>219</v>
      </c>
      <c r="R125" s="29" t="e">
        <f>IF(INDEX(#REF!,MATCH('data '!$B125,#REF!,0),MATCH('data '!R$3,#REF!,0))=0,"",INDEX(#REF!,MATCH('data '!$B125,#REF!,0),MATCH('data '!R$3,#REF!,0)))</f>
        <v>#REF!</v>
      </c>
      <c r="S125" s="29" t="e">
        <f>IF(INDEX(#REF!,MATCH('data '!$B125,#REF!,0),MATCH('data '!S$3,#REF!,0))=0,"",INDEX(#REF!,MATCH('data '!$B125,#REF!,0),MATCH('data '!S$3,#REF!,0)))</f>
        <v>#REF!</v>
      </c>
      <c r="T125" s="29" t="e">
        <f>IF(INDEX(#REF!,MATCH('data '!$B125,#REF!,0),MATCH('data '!T$3,#REF!,0))=0,"",INDEX(#REF!,MATCH('data '!$B125,#REF!,0),MATCH('data '!T$3,#REF!,0)))</f>
        <v>#REF!</v>
      </c>
      <c r="V125" s="25" t="s">
        <v>351</v>
      </c>
      <c r="W125" s="25" t="s">
        <v>144</v>
      </c>
      <c r="X125" s="9" t="s">
        <v>25</v>
      </c>
      <c r="Y125" s="9">
        <v>45869</v>
      </c>
      <c r="AC125" s="8" t="e">
        <f>VLOOKUP(B125,#REF!,19,0)</f>
        <v>#REF!</v>
      </c>
      <c r="AE125" s="8" t="s">
        <v>540</v>
      </c>
      <c r="AF125" s="8">
        <v>45908</v>
      </c>
      <c r="AG125" s="8">
        <v>45908</v>
      </c>
      <c r="AH125" s="8" t="s">
        <v>778</v>
      </c>
      <c r="AI125" s="8">
        <v>45909</v>
      </c>
      <c r="AJ125" s="8" t="s">
        <v>374</v>
      </c>
      <c r="AK125" s="8">
        <v>45916</v>
      </c>
      <c r="AN125" s="8" t="s">
        <v>25</v>
      </c>
      <c r="AP125" s="8" t="str">
        <f t="shared" si="4"/>
        <v>COOP Surveyed</v>
      </c>
      <c r="AR125" s="10" t="s">
        <v>779</v>
      </c>
      <c r="AS125" s="8" t="s">
        <v>780</v>
      </c>
      <c r="AT125" s="8">
        <v>45927</v>
      </c>
      <c r="AU125" s="8">
        <v>45939</v>
      </c>
      <c r="AV125" s="8">
        <v>45939</v>
      </c>
      <c r="AW125" s="8" t="s">
        <v>781</v>
      </c>
      <c r="AX125" s="8">
        <v>45943</v>
      </c>
      <c r="AY125" s="8" t="s">
        <v>782</v>
      </c>
      <c r="AZ125" s="8">
        <v>45938</v>
      </c>
      <c r="BA125" s="8">
        <v>45940</v>
      </c>
      <c r="BB125" s="8">
        <v>45943</v>
      </c>
      <c r="BC125" s="8">
        <v>45953</v>
      </c>
      <c r="BD125" s="2" t="str">
        <f t="shared" si="5"/>
        <v>Permanent Energized</v>
      </c>
      <c r="BF125" s="2" t="s">
        <v>783</v>
      </c>
      <c r="BG125" s="2" t="e">
        <v>#N/A</v>
      </c>
      <c r="BH125" s="2" t="s">
        <v>784</v>
      </c>
    </row>
    <row r="126" spans="1:60" hidden="1" x14ac:dyDescent="0.25">
      <c r="B126" s="2" t="s">
        <v>785</v>
      </c>
      <c r="C126" s="2" t="s">
        <v>786</v>
      </c>
      <c r="D126" s="44" t="s">
        <v>787</v>
      </c>
      <c r="E126" s="2" t="s">
        <v>4</v>
      </c>
      <c r="F126" s="2">
        <v>0</v>
      </c>
      <c r="G126" s="2" t="s">
        <v>1</v>
      </c>
      <c r="H126" s="2" t="s">
        <v>120</v>
      </c>
      <c r="I126" s="2" t="s">
        <v>121</v>
      </c>
      <c r="J126" s="2" t="s">
        <v>122</v>
      </c>
      <c r="K126" s="2" t="s">
        <v>123</v>
      </c>
      <c r="L126" s="2" t="s">
        <v>788</v>
      </c>
      <c r="M126" s="2">
        <v>0</v>
      </c>
      <c r="N126" s="2">
        <v>0</v>
      </c>
      <c r="O126" s="2">
        <v>0</v>
      </c>
      <c r="P126" s="2" t="s">
        <v>789</v>
      </c>
      <c r="Q126" s="2">
        <v>0</v>
      </c>
      <c r="R126" s="29" t="e">
        <f>IF(INDEX(#REF!,MATCH('data '!$B126,#REF!,0),MATCH('data '!R$3,#REF!,0))=0,"",INDEX(#REF!,MATCH('data '!$B126,#REF!,0),MATCH('data '!R$3,#REF!,0)))</f>
        <v>#REF!</v>
      </c>
      <c r="S126" s="29" t="e">
        <f>IF(INDEX(#REF!,MATCH('data '!$B126,#REF!,0),MATCH('data '!S$3,#REF!,0))=0,"",INDEX(#REF!,MATCH('data '!$B126,#REF!,0),MATCH('data '!S$3,#REF!,0)))</f>
        <v>#REF!</v>
      </c>
      <c r="T126" s="29" t="e">
        <f>IF(INDEX(#REF!,MATCH('data '!$B126,#REF!,0),MATCH('data '!T$3,#REF!,0))=0,"",INDEX(#REF!,MATCH('data '!$B126,#REF!,0),MATCH('data '!T$3,#REF!,0)))</f>
        <v>#REF!</v>
      </c>
      <c r="V126" s="25" t="s">
        <v>204</v>
      </c>
      <c r="W126" s="25">
        <v>0</v>
      </c>
      <c r="AC126" s="8" t="e">
        <f>VLOOKUP(B126,#REF!,19,0)</f>
        <v>#REF!</v>
      </c>
      <c r="AP126" s="8" t="str">
        <f t="shared" si="4"/>
        <v>Not yet endorsed</v>
      </c>
      <c r="AQ126" s="10" t="b" cm="1">
        <f t="array" aca="1" ref="AQ126" ca="1">IF(AM126&gt;0,(TODAY()-AM126),IF(AL126&gt;0,(TODAY()-AL126),IF(AK126&gt;0,(TODAY()-AK126,IF(AI126&gt;0,(TODAY()-AI126),IF(AG126&gt;0,(TODAY()-AG126),IF(AF126&gt;0,(TODAY()-AF126),IF(X126&gt;0,(TODAY()-X126)," "))))))))</f>
        <v>0</v>
      </c>
      <c r="BD126" s="2" t="str">
        <f t="shared" si="5"/>
        <v>Not yet endorsed</v>
      </c>
      <c r="BE126" s="2" t="s">
        <v>75</v>
      </c>
      <c r="BG126" s="2" t="e">
        <v>#N/A</v>
      </c>
    </row>
    <row r="127" spans="1:60" hidden="1" x14ac:dyDescent="0.25">
      <c r="B127" s="2" t="s">
        <v>790</v>
      </c>
      <c r="C127" s="2" t="s">
        <v>791</v>
      </c>
      <c r="D127" s="44" t="s">
        <v>792</v>
      </c>
      <c r="E127" s="2" t="s">
        <v>4</v>
      </c>
      <c r="F127" s="2" t="s">
        <v>575</v>
      </c>
      <c r="G127" s="2" t="s">
        <v>1</v>
      </c>
      <c r="H127" s="2" t="s">
        <v>120</v>
      </c>
      <c r="I127" s="2" t="s">
        <v>140</v>
      </c>
      <c r="J127" s="2" t="s">
        <v>122</v>
      </c>
      <c r="K127" s="2" t="s">
        <v>123</v>
      </c>
      <c r="L127" s="2" t="s">
        <v>793</v>
      </c>
      <c r="M127" s="2">
        <v>0</v>
      </c>
      <c r="N127" s="2">
        <v>0</v>
      </c>
      <c r="O127" s="2">
        <v>0</v>
      </c>
      <c r="P127" s="2" t="s">
        <v>789</v>
      </c>
      <c r="Q127" s="2" t="s">
        <v>73</v>
      </c>
      <c r="R127" s="29" t="e">
        <f>IF(INDEX(#REF!,MATCH('data '!$B127,#REF!,0),MATCH('data '!R$3,#REF!,0))=0,"",INDEX(#REF!,MATCH('data '!$B127,#REF!,0),MATCH('data '!R$3,#REF!,0)))</f>
        <v>#REF!</v>
      </c>
      <c r="S127" s="29" t="e">
        <f>IF(INDEX(#REF!,MATCH('data '!$B127,#REF!,0),MATCH('data '!S$3,#REF!,0))=0,"",INDEX(#REF!,MATCH('data '!$B127,#REF!,0),MATCH('data '!S$3,#REF!,0)))</f>
        <v>#REF!</v>
      </c>
      <c r="T127" s="29" t="e">
        <f>IF(INDEX(#REF!,MATCH('data '!$B127,#REF!,0),MATCH('data '!T$3,#REF!,0))=0,"",INDEX(#REF!,MATCH('data '!$B127,#REF!,0),MATCH('data '!T$3,#REF!,0)))</f>
        <v>#REF!</v>
      </c>
      <c r="V127" s="25" t="s">
        <v>568</v>
      </c>
      <c r="W127" s="25">
        <v>0</v>
      </c>
      <c r="AC127" s="8" t="e">
        <f>VLOOKUP(B127,#REF!,19,0)</f>
        <v>#REF!</v>
      </c>
      <c r="AP127" s="8" t="str">
        <f t="shared" si="4"/>
        <v>Not yet endorsed</v>
      </c>
      <c r="AQ127" s="10" t="b" cm="1">
        <f t="array" aca="1" ref="AQ127" ca="1">IF(AM127&gt;0,(TODAY()-AM127),IF(AL127&gt;0,(TODAY()-AL127),IF(AK127&gt;0,(TODAY()-AK127,IF(AI127&gt;0,(TODAY()-AI127),IF(AG127&gt;0,(TODAY()-AG127),IF(AF127&gt;0,(TODAY()-AF127),IF(X127&gt;0,(TODAY()-X127)," "))))))))</f>
        <v>0</v>
      </c>
      <c r="BD127" s="2" t="str">
        <f t="shared" si="5"/>
        <v>Not yet endorsed</v>
      </c>
      <c r="BE127" s="2" t="s">
        <v>75</v>
      </c>
      <c r="BG127" s="2" t="e">
        <v>#N/A</v>
      </c>
    </row>
    <row r="128" spans="1:60" hidden="1" x14ac:dyDescent="0.25">
      <c r="A128" s="48"/>
      <c r="B128" s="7" t="s">
        <v>794</v>
      </c>
      <c r="C128" s="2" t="s">
        <v>795</v>
      </c>
      <c r="D128" s="44" t="s">
        <v>796</v>
      </c>
      <c r="E128" s="2" t="s">
        <v>5</v>
      </c>
      <c r="F128" s="2" t="s">
        <v>797</v>
      </c>
      <c r="G128" s="2" t="s">
        <v>153</v>
      </c>
      <c r="H128" s="2" t="s">
        <v>139</v>
      </c>
      <c r="I128" s="2" t="s">
        <v>140</v>
      </c>
      <c r="J128" s="2" t="e">
        <v>#N/A</v>
      </c>
      <c r="K128" s="2" t="e">
        <v>#N/A</v>
      </c>
      <c r="L128" s="2" t="e">
        <v>#N/A</v>
      </c>
      <c r="M128" s="2" t="e">
        <v>#N/A</v>
      </c>
      <c r="N128" s="2" t="e">
        <v>#N/A</v>
      </c>
      <c r="O128" s="2" t="e">
        <v>#N/A</v>
      </c>
      <c r="P128" s="2" t="e">
        <v>#N/A</v>
      </c>
      <c r="Q128" s="2" t="e">
        <v>#N/A</v>
      </c>
      <c r="R128" s="29" t="e">
        <f>IF(INDEX(#REF!,MATCH('data '!$B128,#REF!,0),MATCH('data '!R$3,#REF!,0))=0,"",INDEX(#REF!,MATCH('data '!$B128,#REF!,0),MATCH('data '!R$3,#REF!,0)))</f>
        <v>#REF!</v>
      </c>
      <c r="S128" s="29" t="e">
        <f>IF(INDEX(#REF!,MATCH('data '!$B128,#REF!,0),MATCH('data '!S$3,#REF!,0))=0,"",INDEX(#REF!,MATCH('data '!$B128,#REF!,0),MATCH('data '!S$3,#REF!,0)))</f>
        <v>#REF!</v>
      </c>
      <c r="T128" s="29" t="e">
        <f>IF(INDEX(#REF!,MATCH('data '!$B128,#REF!,0),MATCH('data '!T$3,#REF!,0))=0,"",INDEX(#REF!,MATCH('data '!$B128,#REF!,0),MATCH('data '!T$3,#REF!,0)))</f>
        <v>#REF!</v>
      </c>
      <c r="V128" s="25">
        <v>0</v>
      </c>
      <c r="W128" s="25" t="s">
        <v>144</v>
      </c>
      <c r="X128" s="9" t="s">
        <v>25</v>
      </c>
      <c r="AC128" s="8" t="e">
        <f>VLOOKUP(B128,#REF!,19,0)</f>
        <v>#REF!</v>
      </c>
      <c r="AE128" s="8" t="s">
        <v>145</v>
      </c>
      <c r="AG128" s="8">
        <v>45944</v>
      </c>
      <c r="AH128" s="8" t="s">
        <v>798</v>
      </c>
      <c r="AI128" s="8">
        <v>45945</v>
      </c>
      <c r="AJ128" s="8" t="s">
        <v>799</v>
      </c>
      <c r="AK128" s="8">
        <v>45971</v>
      </c>
      <c r="AL128" s="8">
        <v>45981</v>
      </c>
      <c r="AM128" s="8">
        <v>46002</v>
      </c>
      <c r="AP128" s="8" t="str">
        <f t="shared" si="4"/>
        <v>Tempo Energized</v>
      </c>
      <c r="AQ128" s="10" cm="1">
        <f t="array" aca="1" ref="AQ128" ca="1">IF(AM128&gt;0,(TODAY()-AM128),IF(AL128&gt;0,(TODAY()-AL128),IF(AK128&gt;0,(TODAY()-AK128,IF(AI128&gt;0,(TODAY()-AI128),IF(AG128&gt;0,(TODAY()-AG128),IF(AF128&gt;0,(TODAY()-AF128),IF(X128&gt;0,(TODAY()-X128)," "))))))))</f>
        <v>104</v>
      </c>
      <c r="AS128" s="8" t="s">
        <v>424</v>
      </c>
      <c r="AT128" s="8">
        <v>45979</v>
      </c>
      <c r="AU128" s="8">
        <v>46001</v>
      </c>
      <c r="AV128" s="8">
        <v>46001</v>
      </c>
      <c r="AW128" s="8" t="s">
        <v>800</v>
      </c>
      <c r="AX128" s="8">
        <v>46003</v>
      </c>
      <c r="AY128" s="8" t="s">
        <v>801</v>
      </c>
      <c r="BD128" s="2" t="str">
        <f t="shared" si="5"/>
        <v>PO Issued</v>
      </c>
      <c r="BE128" s="2" t="s">
        <v>75</v>
      </c>
      <c r="BF128" s="2" t="s">
        <v>802</v>
      </c>
      <c r="BG128" s="2" t="e">
        <v>#N/A</v>
      </c>
    </row>
    <row r="129" spans="2:60" hidden="1" x14ac:dyDescent="0.25">
      <c r="B129" s="2" t="s">
        <v>803</v>
      </c>
      <c r="C129" s="2" t="s">
        <v>804</v>
      </c>
      <c r="D129" s="44" t="s">
        <v>805</v>
      </c>
      <c r="E129" s="2" t="s">
        <v>3</v>
      </c>
      <c r="F129" s="2" t="s">
        <v>138</v>
      </c>
      <c r="G129" s="2" t="s">
        <v>1</v>
      </c>
      <c r="H129" s="2" t="s">
        <v>139</v>
      </c>
      <c r="I129" s="2" t="s">
        <v>140</v>
      </c>
      <c r="J129" s="2" t="s">
        <v>141</v>
      </c>
      <c r="K129" s="2" t="s">
        <v>142</v>
      </c>
      <c r="L129" s="2" t="s">
        <v>806</v>
      </c>
      <c r="M129" s="2">
        <v>0</v>
      </c>
      <c r="N129" s="2">
        <v>17.579699999999999</v>
      </c>
      <c r="O129" s="2">
        <v>120.39870000000001</v>
      </c>
      <c r="P129" s="2" t="s">
        <v>87</v>
      </c>
      <c r="Q129" s="2" t="s">
        <v>198</v>
      </c>
      <c r="R129" s="29" t="e">
        <f>IF(INDEX(#REF!,MATCH('data '!$B129,#REF!,0),MATCH('data '!R$3,#REF!,0))=0,"",INDEX(#REF!,MATCH('data '!$B129,#REF!,0),MATCH('data '!R$3,#REF!,0)))</f>
        <v>#REF!</v>
      </c>
      <c r="S129" s="29" t="e">
        <f>IF(INDEX(#REF!,MATCH('data '!$B129,#REF!,0),MATCH('data '!S$3,#REF!,0))=0,"",INDEX(#REF!,MATCH('data '!$B129,#REF!,0),MATCH('data '!S$3,#REF!,0)))</f>
        <v>#REF!</v>
      </c>
      <c r="T129" s="29" t="e">
        <f>IF(INDEX(#REF!,MATCH('data '!$B129,#REF!,0),MATCH('data '!T$3,#REF!,0))=0,"",INDEX(#REF!,MATCH('data '!$B129,#REF!,0),MATCH('data '!T$3,#REF!,0)))</f>
        <v>#REF!</v>
      </c>
      <c r="U129" s="8" t="s">
        <v>25</v>
      </c>
      <c r="V129" s="25" t="s">
        <v>185</v>
      </c>
      <c r="W129" s="25" t="s">
        <v>144</v>
      </c>
      <c r="X129" s="9" t="s">
        <v>25</v>
      </c>
      <c r="Y129" s="9">
        <v>45852</v>
      </c>
      <c r="AC129" s="8" t="e">
        <f>VLOOKUP(B129,#REF!,19,0)</f>
        <v>#REF!</v>
      </c>
      <c r="AE129" s="8" t="s">
        <v>540</v>
      </c>
      <c r="AF129" s="8">
        <v>45908</v>
      </c>
      <c r="AG129" s="8">
        <v>45908</v>
      </c>
      <c r="AH129" s="8" t="s">
        <v>373</v>
      </c>
      <c r="AI129" s="8">
        <v>45909</v>
      </c>
      <c r="AJ129" s="8" t="s">
        <v>374</v>
      </c>
      <c r="AK129" s="8">
        <v>45916</v>
      </c>
      <c r="AL129" s="8">
        <v>45915</v>
      </c>
      <c r="AM129" s="8">
        <v>45935</v>
      </c>
      <c r="AP129" s="8" t="str">
        <f t="shared" si="4"/>
        <v>Tempo Energized</v>
      </c>
      <c r="AT129" s="8">
        <v>45915</v>
      </c>
      <c r="AU129" s="8">
        <v>45925</v>
      </c>
      <c r="AV129" s="8">
        <v>45930</v>
      </c>
      <c r="AW129" s="8" t="s">
        <v>807</v>
      </c>
      <c r="AX129" s="8">
        <v>45933</v>
      </c>
      <c r="AY129" s="8" t="s">
        <v>808</v>
      </c>
      <c r="BD129" s="2" t="str">
        <f t="shared" si="5"/>
        <v>PO Issued</v>
      </c>
      <c r="BE129" s="2">
        <v>7</v>
      </c>
      <c r="BG129" s="12" t="s">
        <v>809</v>
      </c>
      <c r="BH129" s="2" t="e" vm="1">
        <v>#REF!</v>
      </c>
    </row>
    <row r="130" spans="2:60" hidden="1" x14ac:dyDescent="0.25">
      <c r="B130" s="49" t="s">
        <v>810</v>
      </c>
      <c r="C130" s="49" t="s">
        <v>811</v>
      </c>
      <c r="D130" s="55" t="s">
        <v>812</v>
      </c>
      <c r="E130" s="2" t="s">
        <v>5</v>
      </c>
      <c r="F130" s="2" t="s">
        <v>813</v>
      </c>
      <c r="G130" s="2" t="s">
        <v>1</v>
      </c>
      <c r="H130" s="2" t="s">
        <v>120</v>
      </c>
      <c r="I130" s="2" t="s">
        <v>140</v>
      </c>
      <c r="J130" s="2" t="s">
        <v>141</v>
      </c>
      <c r="K130" s="2" t="s">
        <v>370</v>
      </c>
      <c r="L130" s="2" t="s">
        <v>814</v>
      </c>
      <c r="M130" s="2">
        <v>0</v>
      </c>
      <c r="N130" s="2">
        <v>0</v>
      </c>
      <c r="O130" s="2">
        <v>0</v>
      </c>
      <c r="P130" s="2" t="s">
        <v>82</v>
      </c>
      <c r="Q130" s="2" t="s">
        <v>73</v>
      </c>
      <c r="R130" s="29" t="e">
        <f>IF(INDEX(#REF!,MATCH('data '!$B130,#REF!,0),MATCH('data '!R$3,#REF!,0))=0,"",INDEX(#REF!,MATCH('data '!$B130,#REF!,0),MATCH('data '!R$3,#REF!,0)))</f>
        <v>#REF!</v>
      </c>
      <c r="S130" s="29" t="e">
        <f>IF(INDEX(#REF!,MATCH('data '!$B130,#REF!,0),MATCH('data '!S$3,#REF!,0))=0,"",INDEX(#REF!,MATCH('data '!$B130,#REF!,0),MATCH('data '!S$3,#REF!,0)))</f>
        <v>#REF!</v>
      </c>
      <c r="T130" s="29" t="e">
        <f>IF(INDEX(#REF!,MATCH('data '!$B130,#REF!,0),MATCH('data '!T$3,#REF!,0))=0,"",INDEX(#REF!,MATCH('data '!$B130,#REF!,0),MATCH('data '!T$3,#REF!,0)))</f>
        <v>#REF!</v>
      </c>
      <c r="V130" s="25" t="s">
        <v>82</v>
      </c>
      <c r="W130" s="25" t="s">
        <v>83</v>
      </c>
      <c r="AC130" s="8" t="e">
        <f>VLOOKUP(B130,#REF!,19,0)</f>
        <v>#REF!</v>
      </c>
      <c r="AE130" s="8" t="s">
        <v>295</v>
      </c>
      <c r="AF130" s="21">
        <v>45938</v>
      </c>
      <c r="AG130" s="8">
        <v>45952</v>
      </c>
      <c r="AH130" s="8" t="s">
        <v>815</v>
      </c>
      <c r="AI130" s="8">
        <v>45958</v>
      </c>
      <c r="AJ130" s="8" t="s">
        <v>816</v>
      </c>
      <c r="AK130" s="8">
        <v>45976</v>
      </c>
      <c r="AP130" s="8" t="str">
        <f t="shared" si="4"/>
        <v>COOP Surveyed</v>
      </c>
      <c r="AQ130" s="10" t="e" cm="1">
        <f t="array" aca="1" ref="AQ130" ca="1">IF(AM130&gt;0,(TODAY()-AM130),IF(AL130&gt;0,(TODAY()-AL130),IF(AK130&gt;0,(TODAY()-AK130,IF(AI130&gt;0,(TODAY()-AI130),IF(AG130&gt;0,(TODAY()-AG130),IF(AF130&gt;0,(TODAY()-AF130),IF(X130&gt;0,(TODAY()-X130)," "))))))))</f>
        <v>#VALUE!</v>
      </c>
      <c r="BD130" s="2" t="str">
        <f t="shared" si="5"/>
        <v>Vendor Allocated</v>
      </c>
      <c r="BE130" s="2">
        <v>2</v>
      </c>
      <c r="BG130" s="2" t="s">
        <v>540</v>
      </c>
      <c r="BH130" s="2" t="e" vm="1">
        <v>#REF!</v>
      </c>
    </row>
    <row r="131" spans="2:60" hidden="1" x14ac:dyDescent="0.25">
      <c r="B131" s="2" t="s">
        <v>817</v>
      </c>
      <c r="C131" s="2" t="s">
        <v>818</v>
      </c>
      <c r="D131" s="44" t="s">
        <v>819</v>
      </c>
      <c r="E131" s="2" t="s">
        <v>11</v>
      </c>
      <c r="F131" s="2" t="s">
        <v>337</v>
      </c>
      <c r="G131" s="2" t="s">
        <v>1</v>
      </c>
      <c r="H131" s="2" t="s">
        <v>67</v>
      </c>
      <c r="I131" s="2" t="s">
        <v>68</v>
      </c>
      <c r="J131" s="2" t="s">
        <v>330</v>
      </c>
      <c r="K131" s="2" t="s">
        <v>338</v>
      </c>
      <c r="L131" s="2">
        <v>0</v>
      </c>
      <c r="M131" s="2">
        <v>0</v>
      </c>
      <c r="N131" s="2">
        <v>0</v>
      </c>
      <c r="O131" s="2">
        <v>0</v>
      </c>
      <c r="P131" s="2" t="s">
        <v>204</v>
      </c>
      <c r="Q131" s="2" t="s">
        <v>73</v>
      </c>
      <c r="R131" s="29" t="e">
        <f>IF(INDEX(#REF!,MATCH('data '!$B131,#REF!,0),MATCH('data '!R$3,#REF!,0))=0,"",INDEX(#REF!,MATCH('data '!$B131,#REF!,0),MATCH('data '!R$3,#REF!,0)))</f>
        <v>#REF!</v>
      </c>
      <c r="S131" s="29" t="e">
        <f>IF(INDEX(#REF!,MATCH('data '!$B131,#REF!,0),MATCH('data '!S$3,#REF!,0))=0,"",INDEX(#REF!,MATCH('data '!$B131,#REF!,0),MATCH('data '!S$3,#REF!,0)))</f>
        <v>#REF!</v>
      </c>
      <c r="T131" s="29" t="e">
        <f>IF(INDEX(#REF!,MATCH('data '!$B131,#REF!,0),MATCH('data '!T$3,#REF!,0))=0,"",INDEX(#REF!,MATCH('data '!$B131,#REF!,0),MATCH('data '!T$3,#REF!,0)))</f>
        <v>#REF!</v>
      </c>
      <c r="V131" s="25" t="s">
        <v>82</v>
      </c>
      <c r="W131" s="25" t="s">
        <v>83</v>
      </c>
      <c r="AC131" s="8" t="e">
        <f>VLOOKUP(B131,#REF!,19,0)</f>
        <v>#REF!</v>
      </c>
      <c r="AP131" s="8" t="str">
        <f t="shared" si="4"/>
        <v>Not yet endorsed</v>
      </c>
      <c r="AQ131" s="10" t="b" cm="1">
        <f t="array" aca="1" ref="AQ131" ca="1">IF(AM131&gt;0,(TODAY()-AM131),IF(AL131&gt;0,(TODAY()-AL131),IF(AK131&gt;0,(TODAY()-AK131,IF(AI131&gt;0,(TODAY()-AI131),IF(AG131&gt;0,(TODAY()-AG131),IF(AF131&gt;0,(TODAY()-AF131),IF(X131&gt;0,(TODAY()-X131)," "))))))))</f>
        <v>0</v>
      </c>
      <c r="BD131" s="2" t="str">
        <f t="shared" si="5"/>
        <v>Not yet endorsed</v>
      </c>
      <c r="BE131" s="2" t="s">
        <v>75</v>
      </c>
      <c r="BG131" s="2" t="e">
        <v>#N/A</v>
      </c>
    </row>
    <row r="132" spans="2:60" hidden="1" x14ac:dyDescent="0.25">
      <c r="B132" s="2" t="s">
        <v>820</v>
      </c>
      <c r="C132" s="2" t="s">
        <v>821</v>
      </c>
      <c r="D132" s="44" t="s">
        <v>822</v>
      </c>
      <c r="E132" s="2" t="s">
        <v>11</v>
      </c>
      <c r="F132" s="2" t="s">
        <v>591</v>
      </c>
      <c r="G132" s="2" t="s">
        <v>1</v>
      </c>
      <c r="H132" s="2" t="s">
        <v>165</v>
      </c>
      <c r="I132" s="2" t="s">
        <v>68</v>
      </c>
      <c r="J132" s="2" t="s">
        <v>173</v>
      </c>
      <c r="K132" s="2" t="s">
        <v>592</v>
      </c>
      <c r="L132" s="2" t="s">
        <v>823</v>
      </c>
      <c r="M132" s="2">
        <v>0</v>
      </c>
      <c r="N132" s="2">
        <v>0</v>
      </c>
      <c r="O132" s="2">
        <v>0</v>
      </c>
      <c r="P132" s="2" t="s">
        <v>824</v>
      </c>
      <c r="Q132" s="2" t="s">
        <v>73</v>
      </c>
      <c r="R132" s="29" t="e">
        <f>IF(INDEX(#REF!,MATCH('data '!$B132,#REF!,0),MATCH('data '!R$3,#REF!,0))=0,"",INDEX(#REF!,MATCH('data '!$B132,#REF!,0),MATCH('data '!R$3,#REF!,0)))</f>
        <v>#REF!</v>
      </c>
      <c r="S132" s="29" t="e">
        <f>IF(INDEX(#REF!,MATCH('data '!$B132,#REF!,0),MATCH('data '!S$3,#REF!,0))=0,"",INDEX(#REF!,MATCH('data '!$B132,#REF!,0),MATCH('data '!S$3,#REF!,0)))</f>
        <v>#REF!</v>
      </c>
      <c r="T132" s="29" t="e">
        <f>IF(INDEX(#REF!,MATCH('data '!$B132,#REF!,0),MATCH('data '!T$3,#REF!,0))=0,"",INDEX(#REF!,MATCH('data '!$B132,#REF!,0),MATCH('data '!T$3,#REF!,0)))</f>
        <v>#REF!</v>
      </c>
      <c r="U132" s="8" t="s">
        <v>25</v>
      </c>
      <c r="V132" s="25" t="s">
        <v>82</v>
      </c>
      <c r="W132" s="25" t="s">
        <v>83</v>
      </c>
      <c r="AC132" s="8" t="e">
        <f>VLOOKUP(B132,#REF!,19,0)</f>
        <v>#REF!</v>
      </c>
      <c r="AP132" s="8" t="str">
        <f t="shared" ref="AP132:AP195" si="6">IF(AM132&gt;0,"Tempo Energized",IF(AL132&gt;0,"Tempo Permit Released",IF(AK132&gt;0,"COOP Surveyed",IF(AI132&gt;0,"PO Issued",IF(AG132&gt;0,"PQ Raised",IF(AF132&gt;0,"Vendor Allocated",IF(X132&gt;0,"BP Secured","Not yet endorsed")))))))</f>
        <v>Not yet endorsed</v>
      </c>
      <c r="AQ132" s="10" t="b" cm="1">
        <f t="array" aca="1" ref="AQ132" ca="1">IF(AM132&gt;0,(TODAY()-AM132),IF(AL132&gt;0,(TODAY()-AL132),IF(AK132&gt;0,(TODAY()-AK132,IF(AI132&gt;0,(TODAY()-AI132),IF(AG132&gt;0,(TODAY()-AG132),IF(AF132&gt;0,(TODAY()-AF132),IF(X132&gt;0,(TODAY()-X132)," "))))))))</f>
        <v>0</v>
      </c>
      <c r="BD132" s="2" t="str">
        <f t="shared" ref="BD132:BD195" si="7">IF(BC132&gt;0,"Permanent Energized",IF(BB132&gt;0,"Bill deposit Paid",IF(BA132&gt;0,"Line Construction Completed",IF(AZ132&gt;0,"Line Construction Started",IF(AX132&gt;0,"PO Issued",IF(AV132&gt;0,"PQ Raised",IF(AU132&gt;0,"BoQ Approved",IF(AT132&gt;0,"BoQ Submitted",IF(AF132&gt;0,"Vendor Allocated",IF(X132&gt;0,"BP Secured",IF(U132&gt;0,"TSSR Approved","Not yet endorsed")))))))))))</f>
        <v>TSSR Approved</v>
      </c>
      <c r="BE132" s="2" t="e">
        <v>#VALUE!</v>
      </c>
      <c r="BG132" s="2" t="e">
        <v>#N/A</v>
      </c>
    </row>
    <row r="133" spans="2:60" hidden="1" x14ac:dyDescent="0.25">
      <c r="B133" s="2" t="s">
        <v>825</v>
      </c>
      <c r="C133" s="2" t="s">
        <v>826</v>
      </c>
      <c r="D133" s="44" t="s">
        <v>827</v>
      </c>
      <c r="E133" s="2" t="s">
        <v>11</v>
      </c>
      <c r="F133" s="2">
        <v>0</v>
      </c>
      <c r="G133" s="2" t="s">
        <v>1</v>
      </c>
      <c r="H133" s="2" t="s">
        <v>67</v>
      </c>
      <c r="I133" s="2" t="s">
        <v>68</v>
      </c>
      <c r="J133" s="2" t="s">
        <v>330</v>
      </c>
      <c r="K133" s="2" t="s">
        <v>501</v>
      </c>
      <c r="L133" s="2" t="s">
        <v>828</v>
      </c>
      <c r="M133" s="2">
        <v>0</v>
      </c>
      <c r="N133" s="2">
        <v>0</v>
      </c>
      <c r="O133" s="2">
        <v>0</v>
      </c>
      <c r="P133" s="2" t="s">
        <v>168</v>
      </c>
      <c r="Q133" s="2">
        <v>0</v>
      </c>
      <c r="R133" s="29" t="e">
        <f>IF(INDEX(#REF!,MATCH('data '!$B133,#REF!,0),MATCH('data '!R$3,#REF!,0))=0,"",INDEX(#REF!,MATCH('data '!$B133,#REF!,0),MATCH('data '!R$3,#REF!,0)))</f>
        <v>#REF!</v>
      </c>
      <c r="S133" s="29" t="e">
        <f>IF(INDEX(#REF!,MATCH('data '!$B133,#REF!,0),MATCH('data '!S$3,#REF!,0))=0,"",INDEX(#REF!,MATCH('data '!$B133,#REF!,0),MATCH('data '!S$3,#REF!,0)))</f>
        <v>#REF!</v>
      </c>
      <c r="T133" s="29" t="e">
        <f>IF(INDEX(#REF!,MATCH('data '!$B133,#REF!,0),MATCH('data '!T$3,#REF!,0))=0,"",INDEX(#REF!,MATCH('data '!$B133,#REF!,0),MATCH('data '!T$3,#REF!,0)))</f>
        <v>#REF!</v>
      </c>
      <c r="V133" s="25" t="s">
        <v>160</v>
      </c>
      <c r="W133" s="25" t="s">
        <v>144</v>
      </c>
      <c r="X133" s="61"/>
      <c r="Y133" s="61"/>
      <c r="AC133" s="8" t="e">
        <f>VLOOKUP(B133,#REF!,19,0)</f>
        <v>#REF!</v>
      </c>
      <c r="AP133" s="8" t="str">
        <f t="shared" si="6"/>
        <v>Not yet endorsed</v>
      </c>
      <c r="AQ133" s="10" t="b" cm="1">
        <f t="array" aca="1" ref="AQ133" ca="1">IF(AM133&gt;0,(TODAY()-AM133),IF(AL133&gt;0,(TODAY()-AL133),IF(AK133&gt;0,(TODAY()-AK133,IF(AI133&gt;0,(TODAY()-AI133),IF(AG133&gt;0,(TODAY()-AG133),IF(AF133&gt;0,(TODAY()-AF133),IF(X133&gt;0,(TODAY()-X133)," "))))))))</f>
        <v>0</v>
      </c>
      <c r="BD133" s="2" t="str">
        <f t="shared" si="7"/>
        <v>Not yet endorsed</v>
      </c>
      <c r="BE133" s="2" t="s">
        <v>75</v>
      </c>
      <c r="BG133" s="2" t="e">
        <v>#N/A</v>
      </c>
    </row>
    <row r="134" spans="2:60" hidden="1" x14ac:dyDescent="0.25">
      <c r="B134" s="2" t="s">
        <v>829</v>
      </c>
      <c r="C134" s="2" t="s">
        <v>830</v>
      </c>
      <c r="D134" s="44" t="s">
        <v>831</v>
      </c>
      <c r="E134" s="2" t="s">
        <v>4</v>
      </c>
      <c r="F134" s="2" t="s">
        <v>575</v>
      </c>
      <c r="G134" s="2" t="s">
        <v>1</v>
      </c>
      <c r="H134" s="2" t="s">
        <v>120</v>
      </c>
      <c r="I134" s="2" t="s">
        <v>140</v>
      </c>
      <c r="J134" s="2" t="s">
        <v>122</v>
      </c>
      <c r="K134" s="2" t="s">
        <v>123</v>
      </c>
      <c r="L134" s="2" t="s">
        <v>832</v>
      </c>
      <c r="M134" s="2">
        <v>0</v>
      </c>
      <c r="N134" s="2">
        <v>0</v>
      </c>
      <c r="O134" s="2">
        <v>0</v>
      </c>
      <c r="P134" s="2" t="s">
        <v>248</v>
      </c>
      <c r="Q134" s="2" t="s">
        <v>73</v>
      </c>
      <c r="R134" s="29" t="e">
        <f>IF(INDEX(#REF!,MATCH('data '!$B134,#REF!,0),MATCH('data '!R$3,#REF!,0))=0,"",INDEX(#REF!,MATCH('data '!$B134,#REF!,0),MATCH('data '!R$3,#REF!,0)))</f>
        <v>#REF!</v>
      </c>
      <c r="S134" s="29" t="e">
        <f>IF(INDEX(#REF!,MATCH('data '!$B134,#REF!,0),MATCH('data '!S$3,#REF!,0))=0,"",INDEX(#REF!,MATCH('data '!$B134,#REF!,0),MATCH('data '!S$3,#REF!,0)))</f>
        <v>#REF!</v>
      </c>
      <c r="T134" s="29" t="e">
        <f>IF(INDEX(#REF!,MATCH('data '!$B134,#REF!,0),MATCH('data '!T$3,#REF!,0))=0,"",INDEX(#REF!,MATCH('data '!$B134,#REF!,0),MATCH('data '!T$3,#REF!,0)))</f>
        <v>#REF!</v>
      </c>
      <c r="U134" s="8" t="s">
        <v>25</v>
      </c>
      <c r="V134" s="25" t="s">
        <v>95</v>
      </c>
      <c r="W134" s="25">
        <v>0</v>
      </c>
      <c r="AC134" s="8" t="e">
        <f>VLOOKUP(B134,#REF!,19,0)</f>
        <v>#REF!</v>
      </c>
      <c r="AP134" s="8" t="str">
        <f t="shared" si="6"/>
        <v>Not yet endorsed</v>
      </c>
      <c r="AQ134" s="10" t="b" cm="1">
        <f t="array" aca="1" ref="AQ134" ca="1">IF(AM134&gt;0,(TODAY()-AM134),IF(AL134&gt;0,(TODAY()-AL134),IF(AK134&gt;0,(TODAY()-AK134,IF(AI134&gt;0,(TODAY()-AI134),IF(AG134&gt;0,(TODAY()-AG134),IF(AF134&gt;0,(TODAY()-AF134),IF(X134&gt;0,(TODAY()-X134)," "))))))))</f>
        <v>0</v>
      </c>
      <c r="BD134" s="2" t="str">
        <f t="shared" si="7"/>
        <v>TSSR Approved</v>
      </c>
      <c r="BE134" s="2" t="e">
        <v>#VALUE!</v>
      </c>
      <c r="BG134" s="2" t="e">
        <v>#N/A</v>
      </c>
    </row>
    <row r="135" spans="2:60" hidden="1" x14ac:dyDescent="0.25">
      <c r="B135" s="2" t="s">
        <v>833</v>
      </c>
      <c r="C135" s="2" t="s">
        <v>834</v>
      </c>
      <c r="D135" s="44" t="s">
        <v>835</v>
      </c>
      <c r="E135" s="2" t="s">
        <v>5</v>
      </c>
      <c r="F135" s="2">
        <v>0</v>
      </c>
      <c r="G135" s="2" t="s">
        <v>1</v>
      </c>
      <c r="H135" s="2" t="s">
        <v>120</v>
      </c>
      <c r="I135" s="2" t="s">
        <v>121</v>
      </c>
      <c r="J135" s="2" t="s">
        <v>141</v>
      </c>
      <c r="K135" s="2" t="s">
        <v>370</v>
      </c>
      <c r="L135" s="2" t="s">
        <v>836</v>
      </c>
      <c r="M135" s="2">
        <v>0</v>
      </c>
      <c r="N135" s="2">
        <v>0</v>
      </c>
      <c r="O135" s="2">
        <v>0</v>
      </c>
      <c r="P135" s="2" t="s">
        <v>248</v>
      </c>
      <c r="Q135" s="2">
        <v>0</v>
      </c>
      <c r="R135" s="29" t="e">
        <f>IF(INDEX(#REF!,MATCH('data '!$B135,#REF!,0),MATCH('data '!R$3,#REF!,0))=0,"",INDEX(#REF!,MATCH('data '!$B135,#REF!,0),MATCH('data '!R$3,#REF!,0)))</f>
        <v>#REF!</v>
      </c>
      <c r="S135" s="29" t="e">
        <f>IF(INDEX(#REF!,MATCH('data '!$B135,#REF!,0),MATCH('data '!S$3,#REF!,0))=0,"",INDEX(#REF!,MATCH('data '!$B135,#REF!,0),MATCH('data '!S$3,#REF!,0)))</f>
        <v>#REF!</v>
      </c>
      <c r="T135" s="29" t="e">
        <f>IF(INDEX(#REF!,MATCH('data '!$B135,#REF!,0),MATCH('data '!T$3,#REF!,0))=0,"",INDEX(#REF!,MATCH('data '!$B135,#REF!,0),MATCH('data '!T$3,#REF!,0)))</f>
        <v>#REF!</v>
      </c>
      <c r="V135" s="25" t="s">
        <v>656</v>
      </c>
      <c r="W135" s="25">
        <v>0</v>
      </c>
      <c r="AC135" s="8" t="e">
        <f>VLOOKUP(B135,#REF!,19,0)</f>
        <v>#REF!</v>
      </c>
      <c r="AP135" s="8" t="str">
        <f t="shared" si="6"/>
        <v>Not yet endorsed</v>
      </c>
      <c r="AQ135" s="10" t="b" cm="1">
        <f t="array" aca="1" ref="AQ135" ca="1">IF(AM135&gt;0,(TODAY()-AM135),IF(AL135&gt;0,(TODAY()-AL135),IF(AK135&gt;0,(TODAY()-AK135,IF(AI135&gt;0,(TODAY()-AI135),IF(AG135&gt;0,(TODAY()-AG135),IF(AF135&gt;0,(TODAY()-AF135),IF(X135&gt;0,(TODAY()-X135)," "))))))))</f>
        <v>0</v>
      </c>
      <c r="BD135" s="2" t="str">
        <f t="shared" si="7"/>
        <v>Not yet endorsed</v>
      </c>
      <c r="BE135" s="2" t="s">
        <v>75</v>
      </c>
      <c r="BG135" s="2" t="e">
        <v>#N/A</v>
      </c>
      <c r="BH135" s="2" t="e" vm="1">
        <v>#REF!</v>
      </c>
    </row>
    <row r="136" spans="2:60" hidden="1" x14ac:dyDescent="0.25">
      <c r="B136" s="2" t="s">
        <v>837</v>
      </c>
      <c r="C136" s="2" t="s">
        <v>838</v>
      </c>
      <c r="D136" s="44" t="s">
        <v>839</v>
      </c>
      <c r="E136" s="2" t="s">
        <v>11</v>
      </c>
      <c r="F136" s="2" t="s">
        <v>456</v>
      </c>
      <c r="G136" s="2" t="s">
        <v>1</v>
      </c>
      <c r="H136" s="2" t="s">
        <v>67</v>
      </c>
      <c r="I136" s="2" t="s">
        <v>68</v>
      </c>
      <c r="J136" s="2" t="s">
        <v>80</v>
      </c>
      <c r="K136" s="2" t="s">
        <v>692</v>
      </c>
      <c r="L136" s="2" t="s">
        <v>840</v>
      </c>
      <c r="M136" s="2">
        <v>0</v>
      </c>
      <c r="N136" s="2">
        <v>7.4192830000000001</v>
      </c>
      <c r="O136" s="2">
        <v>125.835341</v>
      </c>
      <c r="P136" s="2" t="s">
        <v>87</v>
      </c>
      <c r="Q136" s="2" t="s">
        <v>184</v>
      </c>
      <c r="R136" s="29" t="e">
        <f>IF(INDEX(#REF!,MATCH('data '!$B136,#REF!,0),MATCH('data '!R$3,#REF!,0))=0,"",INDEX(#REF!,MATCH('data '!$B136,#REF!,0),MATCH('data '!R$3,#REF!,0)))</f>
        <v>#REF!</v>
      </c>
      <c r="S136" s="29" t="e">
        <f>IF(INDEX(#REF!,MATCH('data '!$B136,#REF!,0),MATCH('data '!S$3,#REF!,0))=0,"",INDEX(#REF!,MATCH('data '!$B136,#REF!,0),MATCH('data '!S$3,#REF!,0)))</f>
        <v>#REF!</v>
      </c>
      <c r="T136" s="29" t="e">
        <f>IF(INDEX(#REF!,MATCH('data '!$B136,#REF!,0),MATCH('data '!T$3,#REF!,0))=0,"",INDEX(#REF!,MATCH('data '!$B136,#REF!,0),MATCH('data '!T$3,#REF!,0)))</f>
        <v>#REF!</v>
      </c>
      <c r="U136" s="8" t="s">
        <v>25</v>
      </c>
      <c r="V136" s="25" t="s">
        <v>185</v>
      </c>
      <c r="W136" s="25" t="s">
        <v>144</v>
      </c>
      <c r="X136" s="43" t="s">
        <v>25</v>
      </c>
      <c r="Y136" s="43">
        <v>45825</v>
      </c>
      <c r="AA136" s="8">
        <v>45696</v>
      </c>
      <c r="AC136" s="8" t="e">
        <f>VLOOKUP(B136,#REF!,19,0)</f>
        <v>#REF!</v>
      </c>
      <c r="AE136" s="8" t="s">
        <v>460</v>
      </c>
      <c r="AK136" s="8">
        <v>45846</v>
      </c>
      <c r="AP136" s="8" t="str">
        <f t="shared" si="6"/>
        <v>COOP Surveyed</v>
      </c>
      <c r="AQ136" s="10" t="e" cm="1">
        <f t="array" aca="1" ref="AQ136" ca="1">IF(AM136&gt;0,(TODAY()-AM136),IF(AL136&gt;0,(TODAY()-AL136),IF(AK136&gt;0,(TODAY()-AK136,IF(AI136&gt;0,(TODAY()-AI136),IF(AG136&gt;0,(TODAY()-AG136),IF(AF136&gt;0,(TODAY()-AF136),IF(X136&gt;0,(TODAY()-X136)," "))))))))</f>
        <v>#VALUE!</v>
      </c>
      <c r="AT136" s="8" t="s">
        <v>155</v>
      </c>
      <c r="AU136" s="8">
        <v>45867</v>
      </c>
      <c r="AV136" s="8">
        <v>45873</v>
      </c>
      <c r="AX136" s="8">
        <v>45876</v>
      </c>
      <c r="BD136" s="2" t="str">
        <f t="shared" si="7"/>
        <v>PO Issued</v>
      </c>
      <c r="BE136" s="2">
        <v>64</v>
      </c>
      <c r="BG136" s="2" t="e">
        <v>#N/A</v>
      </c>
    </row>
    <row r="137" spans="2:60" hidden="1" x14ac:dyDescent="0.25">
      <c r="B137" s="2" t="s">
        <v>841</v>
      </c>
      <c r="C137" s="2" t="s">
        <v>842</v>
      </c>
      <c r="D137" s="44" t="s">
        <v>843</v>
      </c>
      <c r="E137" s="2" t="s">
        <v>11</v>
      </c>
      <c r="F137" s="2" t="s">
        <v>456</v>
      </c>
      <c r="G137" s="2" t="s">
        <v>1</v>
      </c>
      <c r="H137" s="2" t="s">
        <v>67</v>
      </c>
      <c r="I137" s="2" t="s">
        <v>68</v>
      </c>
      <c r="J137" s="2" t="s">
        <v>80</v>
      </c>
      <c r="K137" s="2" t="s">
        <v>692</v>
      </c>
      <c r="L137" s="2" t="s">
        <v>840</v>
      </c>
      <c r="M137" s="2">
        <v>0</v>
      </c>
      <c r="N137" s="2">
        <v>7.4417999999999997</v>
      </c>
      <c r="O137" s="2">
        <v>125.7949</v>
      </c>
      <c r="P137" s="2" t="s">
        <v>87</v>
      </c>
      <c r="Q137" s="2" t="s">
        <v>184</v>
      </c>
      <c r="R137" s="29" t="e">
        <f>IF(INDEX(#REF!,MATCH('data '!$B137,#REF!,0),MATCH('data '!R$3,#REF!,0))=0,"",INDEX(#REF!,MATCH('data '!$B137,#REF!,0),MATCH('data '!R$3,#REF!,0)))</f>
        <v>#REF!</v>
      </c>
      <c r="S137" s="29" t="e">
        <f>IF(INDEX(#REF!,MATCH('data '!$B137,#REF!,0),MATCH('data '!S$3,#REF!,0))=0,"",INDEX(#REF!,MATCH('data '!$B137,#REF!,0),MATCH('data '!S$3,#REF!,0)))</f>
        <v>#REF!</v>
      </c>
      <c r="T137" s="29" t="e">
        <f>IF(INDEX(#REF!,MATCH('data '!$B137,#REF!,0),MATCH('data '!T$3,#REF!,0))=0,"",INDEX(#REF!,MATCH('data '!$B137,#REF!,0),MATCH('data '!T$3,#REF!,0)))</f>
        <v>#REF!</v>
      </c>
      <c r="U137" s="8" t="s">
        <v>25</v>
      </c>
      <c r="V137" s="25" t="s">
        <v>266</v>
      </c>
      <c r="W137" s="25" t="s">
        <v>144</v>
      </c>
      <c r="X137" s="43" t="s">
        <v>25</v>
      </c>
      <c r="Y137" s="43">
        <v>45841</v>
      </c>
      <c r="Z137" s="8">
        <v>45968</v>
      </c>
      <c r="AC137" s="8" t="e">
        <f>VLOOKUP(B137,#REF!,19,0)</f>
        <v>#REF!</v>
      </c>
      <c r="AE137" s="8" t="s">
        <v>460</v>
      </c>
      <c r="AP137" s="8" t="str">
        <f t="shared" si="6"/>
        <v>BP Secured</v>
      </c>
      <c r="AQ137" s="10" t="b" cm="1">
        <f t="array" aca="1" ref="AQ137" ca="1">IF(AM137&gt;0,(TODAY()-AM137),IF(AL137&gt;0,(TODAY()-AL137),IF(AK137&gt;0,(TODAY()-AK137,IF(AI137&gt;0,(TODAY()-AI137),IF(AG137&gt;0,(TODAY()-AG137),IF(AF137&gt;0,(TODAY()-AF137),IF(X137&gt;0,(TODAY()-X137)," "))))))))</f>
        <v>0</v>
      </c>
      <c r="AT137" s="8" t="s">
        <v>155</v>
      </c>
      <c r="AU137" s="8">
        <v>45867</v>
      </c>
      <c r="AV137" s="8">
        <v>45873</v>
      </c>
      <c r="AX137" s="8">
        <v>45876</v>
      </c>
      <c r="BD137" s="2" t="str">
        <f t="shared" si="7"/>
        <v>PO Issued</v>
      </c>
      <c r="BE137" s="2">
        <v>64</v>
      </c>
      <c r="BG137" s="2" t="e">
        <v>#N/A</v>
      </c>
    </row>
    <row r="138" spans="2:60" hidden="1" x14ac:dyDescent="0.25">
      <c r="B138" s="2" t="s">
        <v>844</v>
      </c>
      <c r="C138" s="2" t="s">
        <v>845</v>
      </c>
      <c r="D138" s="44" t="s">
        <v>846</v>
      </c>
      <c r="E138" s="2" t="s">
        <v>11</v>
      </c>
      <c r="F138" s="2" t="s">
        <v>79</v>
      </c>
      <c r="G138" s="2" t="s">
        <v>1</v>
      </c>
      <c r="H138" s="2" t="s">
        <v>67</v>
      </c>
      <c r="I138" s="2" t="s">
        <v>68</v>
      </c>
      <c r="J138" s="2" t="s">
        <v>80</v>
      </c>
      <c r="K138" s="2" t="s">
        <v>81</v>
      </c>
      <c r="L138" s="2">
        <v>0</v>
      </c>
      <c r="M138" s="2">
        <v>0</v>
      </c>
      <c r="N138" s="2">
        <v>0</v>
      </c>
      <c r="O138" s="2">
        <v>0</v>
      </c>
      <c r="P138" s="2" t="s">
        <v>318</v>
      </c>
      <c r="Q138" s="2" t="s">
        <v>73</v>
      </c>
      <c r="R138" s="29" t="e">
        <f>IF(INDEX(#REF!,MATCH('data '!$B138,#REF!,0),MATCH('data '!R$3,#REF!,0))=0,"",INDEX(#REF!,MATCH('data '!$B138,#REF!,0),MATCH('data '!R$3,#REF!,0)))</f>
        <v>#REF!</v>
      </c>
      <c r="S138" s="29" t="e">
        <f>IF(INDEX(#REF!,MATCH('data '!$B138,#REF!,0),MATCH('data '!S$3,#REF!,0))=0,"",INDEX(#REF!,MATCH('data '!$B138,#REF!,0),MATCH('data '!S$3,#REF!,0)))</f>
        <v>#REF!</v>
      </c>
      <c r="T138" s="29" t="e">
        <f>IF(INDEX(#REF!,MATCH('data '!$B138,#REF!,0),MATCH('data '!T$3,#REF!,0))=0,"",INDEX(#REF!,MATCH('data '!$B138,#REF!,0),MATCH('data '!T$3,#REF!,0)))</f>
        <v>#REF!</v>
      </c>
      <c r="V138" s="25" t="s">
        <v>95</v>
      </c>
      <c r="W138" s="25">
        <v>0</v>
      </c>
      <c r="AC138" s="8" t="e">
        <f>VLOOKUP(B138,#REF!,19,0)</f>
        <v>#REF!</v>
      </c>
      <c r="AP138" s="8" t="str">
        <f t="shared" si="6"/>
        <v>Not yet endorsed</v>
      </c>
      <c r="AQ138" s="10" t="b" cm="1">
        <f t="array" aca="1" ref="AQ138" ca="1">IF(AM138&gt;0,(TODAY()-AM138),IF(AL138&gt;0,(TODAY()-AL138),IF(AK138&gt;0,(TODAY()-AK138,IF(AI138&gt;0,(TODAY()-AI138),IF(AG138&gt;0,(TODAY()-AG138),IF(AF138&gt;0,(TODAY()-AF138),IF(X138&gt;0,(TODAY()-X138)," "))))))))</f>
        <v>0</v>
      </c>
      <c r="BD138" s="2" t="str">
        <f t="shared" si="7"/>
        <v>Not yet endorsed</v>
      </c>
      <c r="BE138" s="2" t="s">
        <v>75</v>
      </c>
      <c r="BG138" s="2" t="e">
        <v>#N/A</v>
      </c>
    </row>
    <row r="139" spans="2:60" hidden="1" x14ac:dyDescent="0.25">
      <c r="B139" s="2" t="s">
        <v>847</v>
      </c>
      <c r="C139" s="2" t="s">
        <v>848</v>
      </c>
      <c r="D139" s="44" t="s">
        <v>849</v>
      </c>
      <c r="E139" s="2" t="s">
        <v>11</v>
      </c>
      <c r="F139" s="2" t="s">
        <v>850</v>
      </c>
      <c r="G139" s="2" t="s">
        <v>1</v>
      </c>
      <c r="H139" s="2" t="s">
        <v>165</v>
      </c>
      <c r="I139" s="2" t="s">
        <v>68</v>
      </c>
      <c r="J139" s="2" t="s">
        <v>173</v>
      </c>
      <c r="K139" s="2" t="s">
        <v>592</v>
      </c>
      <c r="L139" s="2" t="s">
        <v>851</v>
      </c>
      <c r="M139" s="2">
        <v>0</v>
      </c>
      <c r="N139" s="2">
        <v>0</v>
      </c>
      <c r="O139" s="2">
        <v>0</v>
      </c>
      <c r="P139" s="2" t="s">
        <v>133</v>
      </c>
      <c r="Q139" s="2" t="s">
        <v>73</v>
      </c>
      <c r="R139" s="29" t="e">
        <f>IF(INDEX(#REF!,MATCH('data '!$B139,#REF!,0),MATCH('data '!R$3,#REF!,0))=0,"",INDEX(#REF!,MATCH('data '!$B139,#REF!,0),MATCH('data '!R$3,#REF!,0)))</f>
        <v>#REF!</v>
      </c>
      <c r="S139" s="29" t="e">
        <f>IF(INDEX(#REF!,MATCH('data '!$B139,#REF!,0),MATCH('data '!S$3,#REF!,0))=0,"",INDEX(#REF!,MATCH('data '!$B139,#REF!,0),MATCH('data '!S$3,#REF!,0)))</f>
        <v>#REF!</v>
      </c>
      <c r="T139" s="29" t="e">
        <f>IF(INDEX(#REF!,MATCH('data '!$B139,#REF!,0),MATCH('data '!T$3,#REF!,0))=0,"",INDEX(#REF!,MATCH('data '!$B139,#REF!,0),MATCH('data '!T$3,#REF!,0)))</f>
        <v>#REF!</v>
      </c>
      <c r="U139" s="8" t="s">
        <v>25</v>
      </c>
      <c r="V139" s="25" t="s">
        <v>87</v>
      </c>
      <c r="W139" s="25" t="s">
        <v>144</v>
      </c>
      <c r="X139" s="61"/>
      <c r="Y139" s="61"/>
      <c r="AC139" s="8" t="e">
        <f>VLOOKUP(B139,#REF!,19,0)</f>
        <v>#REF!</v>
      </c>
      <c r="AP139" s="8" t="str">
        <f t="shared" si="6"/>
        <v>Not yet endorsed</v>
      </c>
      <c r="AQ139" s="10" t="b" cm="1">
        <f t="array" aca="1" ref="AQ139" ca="1">IF(AM139&gt;0,(TODAY()-AM139),IF(AL139&gt;0,(TODAY()-AL139),IF(AK139&gt;0,(TODAY()-AK139,IF(AI139&gt;0,(TODAY()-AI139),IF(AG139&gt;0,(TODAY()-AG139),IF(AF139&gt;0,(TODAY()-AF139),IF(X139&gt;0,(TODAY()-X139)," "))))))))</f>
        <v>0</v>
      </c>
      <c r="BD139" s="2" t="str">
        <f t="shared" si="7"/>
        <v>TSSR Approved</v>
      </c>
      <c r="BE139" s="2" t="e">
        <v>#VALUE!</v>
      </c>
      <c r="BG139" s="2" t="e">
        <v>#N/A</v>
      </c>
    </row>
    <row r="140" spans="2:60" hidden="1" x14ac:dyDescent="0.25">
      <c r="B140" s="2" t="s">
        <v>852</v>
      </c>
      <c r="C140" s="2" t="s">
        <v>853</v>
      </c>
      <c r="D140" s="44" t="s">
        <v>854</v>
      </c>
      <c r="E140" s="2" t="s">
        <v>6</v>
      </c>
      <c r="F140" s="2">
        <v>0</v>
      </c>
      <c r="G140" s="2" t="s">
        <v>1</v>
      </c>
      <c r="H140" s="2" t="s">
        <v>111</v>
      </c>
      <c r="I140" s="2" t="s">
        <v>112</v>
      </c>
      <c r="J140" s="2" t="s">
        <v>113</v>
      </c>
      <c r="K140" s="2" t="s">
        <v>114</v>
      </c>
      <c r="L140" s="2">
        <v>0</v>
      </c>
      <c r="M140" s="2">
        <v>0</v>
      </c>
      <c r="N140" s="2">
        <v>0</v>
      </c>
      <c r="O140" s="2">
        <v>0</v>
      </c>
      <c r="P140" s="2" t="s">
        <v>82</v>
      </c>
      <c r="Q140" s="2">
        <v>0</v>
      </c>
      <c r="R140" s="29" t="e">
        <f>IF(INDEX(#REF!,MATCH('data '!$B140,#REF!,0),MATCH('data '!R$3,#REF!,0))=0,"",INDEX(#REF!,MATCH('data '!$B140,#REF!,0),MATCH('data '!R$3,#REF!,0)))</f>
        <v>#REF!</v>
      </c>
      <c r="S140" s="29" t="e">
        <f>IF(INDEX(#REF!,MATCH('data '!$B140,#REF!,0),MATCH('data '!S$3,#REF!,0))=0,"",INDEX(#REF!,MATCH('data '!$B140,#REF!,0),MATCH('data '!S$3,#REF!,0)))</f>
        <v>#REF!</v>
      </c>
      <c r="T140" s="29" t="e">
        <f>IF(INDEX(#REF!,MATCH('data '!$B140,#REF!,0),MATCH('data '!T$3,#REF!,0))=0,"",INDEX(#REF!,MATCH('data '!$B140,#REF!,0),MATCH('data '!T$3,#REF!,0)))</f>
        <v>#REF!</v>
      </c>
      <c r="V140" s="25" t="s">
        <v>82</v>
      </c>
      <c r="W140" s="25" t="s">
        <v>83</v>
      </c>
      <c r="AC140" s="8" t="e">
        <f>VLOOKUP(B140,#REF!,19,0)</f>
        <v>#REF!</v>
      </c>
      <c r="AP140" s="8" t="str">
        <f t="shared" si="6"/>
        <v>Not yet endorsed</v>
      </c>
      <c r="AQ140" s="10" t="b" cm="1">
        <f t="array" aca="1" ref="AQ140" ca="1">IF(AM140&gt;0,(TODAY()-AM140),IF(AL140&gt;0,(TODAY()-AL140),IF(AK140&gt;0,(TODAY()-AK140,IF(AI140&gt;0,(TODAY()-AI140),IF(AG140&gt;0,(TODAY()-AG140),IF(AF140&gt;0,(TODAY()-AF140),IF(X140&gt;0,(TODAY()-X140)," "))))))))</f>
        <v>0</v>
      </c>
      <c r="BD140" s="2" t="str">
        <f t="shared" si="7"/>
        <v>Not yet endorsed</v>
      </c>
      <c r="BE140" s="2" t="s">
        <v>75</v>
      </c>
      <c r="BG140" s="2" t="e">
        <v>#N/A</v>
      </c>
    </row>
    <row r="141" spans="2:60" hidden="1" x14ac:dyDescent="0.25">
      <c r="B141" s="2" t="s">
        <v>855</v>
      </c>
      <c r="C141" s="2" t="s">
        <v>856</v>
      </c>
      <c r="D141" s="44" t="s">
        <v>857</v>
      </c>
      <c r="E141" s="2" t="s">
        <v>6</v>
      </c>
      <c r="F141" s="2">
        <v>0</v>
      </c>
      <c r="G141" s="2" t="s">
        <v>1</v>
      </c>
      <c r="H141" s="2" t="s">
        <v>111</v>
      </c>
      <c r="I141" s="2" t="s">
        <v>112</v>
      </c>
      <c r="J141" s="2" t="s">
        <v>113</v>
      </c>
      <c r="K141" s="2" t="s">
        <v>114</v>
      </c>
      <c r="L141" s="2">
        <v>0</v>
      </c>
      <c r="M141" s="2">
        <v>0</v>
      </c>
      <c r="N141" s="2">
        <v>0</v>
      </c>
      <c r="O141" s="2">
        <v>0</v>
      </c>
      <c r="P141" s="2" t="s">
        <v>82</v>
      </c>
      <c r="Q141" s="2">
        <v>0</v>
      </c>
      <c r="R141" s="29" t="e">
        <f>IF(INDEX(#REF!,MATCH('data '!$B141,#REF!,0),MATCH('data '!R$3,#REF!,0))=0,"",INDEX(#REF!,MATCH('data '!$B141,#REF!,0),MATCH('data '!R$3,#REF!,0)))</f>
        <v>#REF!</v>
      </c>
      <c r="S141" s="29" t="e">
        <f>IF(INDEX(#REF!,MATCH('data '!$B141,#REF!,0),MATCH('data '!S$3,#REF!,0))=0,"",INDEX(#REF!,MATCH('data '!$B141,#REF!,0),MATCH('data '!S$3,#REF!,0)))</f>
        <v>#REF!</v>
      </c>
      <c r="T141" s="29" t="e">
        <f>IF(INDEX(#REF!,MATCH('data '!$B141,#REF!,0),MATCH('data '!T$3,#REF!,0))=0,"",INDEX(#REF!,MATCH('data '!$B141,#REF!,0),MATCH('data '!T$3,#REF!,0)))</f>
        <v>#REF!</v>
      </c>
      <c r="V141" s="25" t="s">
        <v>82</v>
      </c>
      <c r="W141" s="25" t="s">
        <v>83</v>
      </c>
      <c r="AC141" s="8" t="e">
        <f>VLOOKUP(B141,#REF!,19,0)</f>
        <v>#REF!</v>
      </c>
      <c r="AP141" s="8" t="str">
        <f t="shared" si="6"/>
        <v>Not yet endorsed</v>
      </c>
      <c r="AQ141" s="10" t="b" cm="1">
        <f t="array" aca="1" ref="AQ141" ca="1">IF(AM141&gt;0,(TODAY()-AM141),IF(AL141&gt;0,(TODAY()-AL141),IF(AK141&gt;0,(TODAY()-AK141,IF(AI141&gt;0,(TODAY()-AI141),IF(AG141&gt;0,(TODAY()-AG141),IF(AF141&gt;0,(TODAY()-AF141),IF(X141&gt;0,(TODAY()-X141)," "))))))))</f>
        <v>0</v>
      </c>
      <c r="BD141" s="2" t="str">
        <f t="shared" si="7"/>
        <v>Not yet endorsed</v>
      </c>
      <c r="BE141" s="2" t="s">
        <v>75</v>
      </c>
      <c r="BG141" s="2" t="e">
        <v>#N/A</v>
      </c>
    </row>
    <row r="142" spans="2:60" hidden="1" x14ac:dyDescent="0.25">
      <c r="B142" s="2" t="s">
        <v>858</v>
      </c>
      <c r="C142" s="2" t="s">
        <v>859</v>
      </c>
      <c r="D142" s="44" t="s">
        <v>860</v>
      </c>
      <c r="E142" s="2" t="s">
        <v>11</v>
      </c>
      <c r="F142" s="2" t="s">
        <v>450</v>
      </c>
      <c r="G142" s="2" t="s">
        <v>1</v>
      </c>
      <c r="H142" s="2" t="s">
        <v>165</v>
      </c>
      <c r="I142" s="2" t="s">
        <v>68</v>
      </c>
      <c r="J142" s="2" t="s">
        <v>239</v>
      </c>
      <c r="K142" s="2" t="s">
        <v>451</v>
      </c>
      <c r="L142" s="2" t="s">
        <v>861</v>
      </c>
      <c r="M142" s="2">
        <v>0</v>
      </c>
      <c r="N142" s="2">
        <v>8.6056592100000007</v>
      </c>
      <c r="O142" s="2">
        <v>125.910382</v>
      </c>
      <c r="P142" s="2" t="s">
        <v>87</v>
      </c>
      <c r="Q142" s="2" t="s">
        <v>265</v>
      </c>
      <c r="R142" s="29" t="e">
        <f>IF(INDEX(#REF!,MATCH('data '!$B142,#REF!,0),MATCH('data '!R$3,#REF!,0))=0,"",INDEX(#REF!,MATCH('data '!$B142,#REF!,0),MATCH('data '!R$3,#REF!,0)))</f>
        <v>#REF!</v>
      </c>
      <c r="S142" s="29" t="e">
        <f>IF(INDEX(#REF!,MATCH('data '!$B142,#REF!,0),MATCH('data '!S$3,#REF!,0))=0,"",INDEX(#REF!,MATCH('data '!$B142,#REF!,0),MATCH('data '!S$3,#REF!,0)))</f>
        <v>#REF!</v>
      </c>
      <c r="T142" s="29" t="e">
        <f>IF(INDEX(#REF!,MATCH('data '!$B142,#REF!,0),MATCH('data '!T$3,#REF!,0))=0,"",INDEX(#REF!,MATCH('data '!$B142,#REF!,0),MATCH('data '!T$3,#REF!,0)))</f>
        <v>#REF!</v>
      </c>
      <c r="U142" s="8" t="s">
        <v>25</v>
      </c>
      <c r="V142" s="25" t="s">
        <v>185</v>
      </c>
      <c r="W142" s="25" t="s">
        <v>144</v>
      </c>
      <c r="X142" s="43" t="s">
        <v>25</v>
      </c>
      <c r="Y142" s="43">
        <v>45797</v>
      </c>
      <c r="AA142" s="8">
        <v>45784</v>
      </c>
      <c r="AC142" s="8" t="e">
        <f>VLOOKUP(B142,#REF!,19,0)</f>
        <v>#REF!</v>
      </c>
      <c r="AE142" s="8" t="s">
        <v>460</v>
      </c>
      <c r="AP142" s="8" t="str">
        <f t="shared" si="6"/>
        <v>BP Secured</v>
      </c>
      <c r="AQ142" s="10" t="b" cm="1">
        <f t="array" aca="1" ref="AQ142" ca="1">IF(AM142&gt;0,(TODAY()-AM142),IF(AL142&gt;0,(TODAY()-AL142),IF(AK142&gt;0,(TODAY()-AK142,IF(AI142&gt;0,(TODAY()-AI142),IF(AG142&gt;0,(TODAY()-AG142),IF(AF142&gt;0,(TODAY()-AF142),IF(X142&gt;0,(TODAY()-X142)," "))))))))</f>
        <v>0</v>
      </c>
      <c r="AT142" s="8" t="s">
        <v>155</v>
      </c>
      <c r="AU142" s="8">
        <v>45911</v>
      </c>
      <c r="AV142" s="8">
        <v>45909</v>
      </c>
      <c r="AX142" s="8">
        <v>45912</v>
      </c>
      <c r="BD142" s="2" t="str">
        <f t="shared" si="7"/>
        <v>PO Issued</v>
      </c>
      <c r="BE142" s="2">
        <v>28</v>
      </c>
      <c r="BG142" s="2" t="e">
        <v>#N/A</v>
      </c>
    </row>
    <row r="143" spans="2:60" hidden="1" x14ac:dyDescent="0.25">
      <c r="B143" s="2" t="s">
        <v>862</v>
      </c>
      <c r="C143" s="2" t="s">
        <v>863</v>
      </c>
      <c r="D143" s="44" t="s">
        <v>864</v>
      </c>
      <c r="E143" s="2" t="s">
        <v>11</v>
      </c>
      <c r="F143" s="2" t="s">
        <v>450</v>
      </c>
      <c r="G143" s="2" t="s">
        <v>1</v>
      </c>
      <c r="H143" s="2" t="s">
        <v>165</v>
      </c>
      <c r="I143" s="2" t="s">
        <v>68</v>
      </c>
      <c r="J143" s="2" t="s">
        <v>239</v>
      </c>
      <c r="K143" s="2" t="s">
        <v>451</v>
      </c>
      <c r="L143" s="2" t="s">
        <v>865</v>
      </c>
      <c r="M143" s="2">
        <v>0</v>
      </c>
      <c r="N143" s="2">
        <v>8.4588000000000001</v>
      </c>
      <c r="O143" s="2">
        <v>125.7816</v>
      </c>
      <c r="P143" s="2" t="s">
        <v>87</v>
      </c>
      <c r="Q143" s="2" t="s">
        <v>219</v>
      </c>
      <c r="R143" s="29" t="e">
        <f>IF(INDEX(#REF!,MATCH('data '!$B143,#REF!,0),MATCH('data '!R$3,#REF!,0))=0,"",INDEX(#REF!,MATCH('data '!$B143,#REF!,0),MATCH('data '!R$3,#REF!,0)))</f>
        <v>#REF!</v>
      </c>
      <c r="S143" s="29" t="e">
        <f>IF(INDEX(#REF!,MATCH('data '!$B143,#REF!,0),MATCH('data '!S$3,#REF!,0))=0,"",INDEX(#REF!,MATCH('data '!$B143,#REF!,0),MATCH('data '!S$3,#REF!,0)))</f>
        <v>#REF!</v>
      </c>
      <c r="T143" s="29" t="e">
        <f>IF(INDEX(#REF!,MATCH('data '!$B143,#REF!,0),MATCH('data '!T$3,#REF!,0))=0,"",INDEX(#REF!,MATCH('data '!$B143,#REF!,0),MATCH('data '!T$3,#REF!,0)))</f>
        <v>#REF!</v>
      </c>
      <c r="U143" s="8" t="s">
        <v>25</v>
      </c>
      <c r="V143" s="25" t="s">
        <v>185</v>
      </c>
      <c r="W143" s="25" t="s">
        <v>144</v>
      </c>
      <c r="X143" s="43" t="s">
        <v>25</v>
      </c>
      <c r="Y143" s="43">
        <v>45854</v>
      </c>
      <c r="Z143" s="8">
        <v>45785</v>
      </c>
      <c r="AC143" s="8" t="e">
        <f>VLOOKUP(B143,#REF!,19,0)</f>
        <v>#REF!</v>
      </c>
      <c r="AE143" s="8" t="s">
        <v>460</v>
      </c>
      <c r="AP143" s="8" t="str">
        <f t="shared" si="6"/>
        <v>BP Secured</v>
      </c>
      <c r="AQ143" s="10" t="b" cm="1">
        <f t="array" aca="1" ref="AQ143" ca="1">IF(AM143&gt;0,(TODAY()-AM143),IF(AL143&gt;0,(TODAY()-AL143),IF(AK143&gt;0,(TODAY()-AK143,IF(AI143&gt;0,(TODAY()-AI143),IF(AG143&gt;0,(TODAY()-AG143),IF(AF143&gt;0,(TODAY()-AF143),IF(X143&gt;0,(TODAY()-X143)," "))))))))</f>
        <v>0</v>
      </c>
      <c r="AT143" s="8" t="s">
        <v>155</v>
      </c>
      <c r="AU143" s="8">
        <v>45903</v>
      </c>
      <c r="AV143" s="8">
        <v>45901</v>
      </c>
      <c r="AX143" s="8">
        <v>45904</v>
      </c>
      <c r="BD143" s="2" t="str">
        <f t="shared" si="7"/>
        <v>PO Issued</v>
      </c>
      <c r="BE143" s="2">
        <v>36</v>
      </c>
      <c r="BG143" s="2" t="e">
        <v>#N/A</v>
      </c>
    </row>
    <row r="144" spans="2:60" hidden="1" x14ac:dyDescent="0.25">
      <c r="B144" s="2" t="s">
        <v>866</v>
      </c>
      <c r="C144" s="2" t="s">
        <v>867</v>
      </c>
      <c r="D144" s="44" t="s">
        <v>868</v>
      </c>
      <c r="E144" s="2" t="s">
        <v>11</v>
      </c>
      <c r="F144" s="2" t="s">
        <v>869</v>
      </c>
      <c r="G144" s="2" t="s">
        <v>1</v>
      </c>
      <c r="H144" s="2" t="s">
        <v>165</v>
      </c>
      <c r="I144" s="2" t="s">
        <v>68</v>
      </c>
      <c r="J144" s="2" t="s">
        <v>181</v>
      </c>
      <c r="K144" s="2" t="s">
        <v>870</v>
      </c>
      <c r="L144" s="2" t="s">
        <v>871</v>
      </c>
      <c r="M144" s="2">
        <v>0</v>
      </c>
      <c r="N144" s="2">
        <v>7.78803</v>
      </c>
      <c r="O144" s="2">
        <v>122.583692</v>
      </c>
      <c r="P144" s="2" t="s">
        <v>87</v>
      </c>
      <c r="Q144" s="2" t="s">
        <v>73</v>
      </c>
      <c r="R144" s="29" t="e">
        <f>IF(INDEX(#REF!,MATCH('data '!$B144,#REF!,0),MATCH('data '!R$3,#REF!,0))=0,"",INDEX(#REF!,MATCH('data '!$B144,#REF!,0),MATCH('data '!R$3,#REF!,0)))</f>
        <v>#REF!</v>
      </c>
      <c r="S144" s="29" t="e">
        <f>IF(INDEX(#REF!,MATCH('data '!$B144,#REF!,0),MATCH('data '!S$3,#REF!,0))=0,"",INDEX(#REF!,MATCH('data '!$B144,#REF!,0),MATCH('data '!S$3,#REF!,0)))</f>
        <v>#REF!</v>
      </c>
      <c r="T144" s="29" t="e">
        <f>IF(INDEX(#REF!,MATCH('data '!$B144,#REF!,0),MATCH('data '!T$3,#REF!,0))=0,"",INDEX(#REF!,MATCH('data '!$B144,#REF!,0),MATCH('data '!T$3,#REF!,0)))</f>
        <v>#REF!</v>
      </c>
      <c r="U144" s="8" t="s">
        <v>25</v>
      </c>
      <c r="V144" s="25" t="s">
        <v>168</v>
      </c>
      <c r="W144" s="25" t="s">
        <v>176</v>
      </c>
      <c r="AC144" s="8" t="e">
        <f>VLOOKUP(B144,#REF!,19,0)</f>
        <v>#REF!</v>
      </c>
      <c r="AP144" s="8" t="str">
        <f t="shared" si="6"/>
        <v>Not yet endorsed</v>
      </c>
      <c r="AQ144" s="10" t="b" cm="1">
        <f t="array" aca="1" ref="AQ144" ca="1">IF(AM144&gt;0,(TODAY()-AM144),IF(AL144&gt;0,(TODAY()-AL144),IF(AK144&gt;0,(TODAY()-AK144,IF(AI144&gt;0,(TODAY()-AI144),IF(AG144&gt;0,(TODAY()-AG144),IF(AF144&gt;0,(TODAY()-AF144),IF(X144&gt;0,(TODAY()-X144)," "))))))))</f>
        <v>0</v>
      </c>
      <c r="BD144" s="2" t="str">
        <f t="shared" si="7"/>
        <v>TSSR Approved</v>
      </c>
      <c r="BE144" s="2" t="e">
        <v>#VALUE!</v>
      </c>
      <c r="BG144" s="2" t="e">
        <v>#N/A</v>
      </c>
    </row>
    <row r="145" spans="1:60" hidden="1" x14ac:dyDescent="0.25">
      <c r="B145" s="2" t="s">
        <v>872</v>
      </c>
      <c r="C145" s="2" t="s">
        <v>873</v>
      </c>
      <c r="D145" s="44" t="s">
        <v>874</v>
      </c>
      <c r="E145" s="2" t="s">
        <v>11</v>
      </c>
      <c r="F145" s="2" t="s">
        <v>464</v>
      </c>
      <c r="G145" s="2" t="s">
        <v>1</v>
      </c>
      <c r="H145" s="2" t="s">
        <v>165</v>
      </c>
      <c r="I145" s="2" t="s">
        <v>68</v>
      </c>
      <c r="J145" s="2" t="s">
        <v>69</v>
      </c>
      <c r="K145" s="2" t="s">
        <v>465</v>
      </c>
      <c r="L145" s="2" t="s">
        <v>875</v>
      </c>
      <c r="M145" s="2">
        <v>0</v>
      </c>
      <c r="N145" s="2">
        <v>6.049651667</v>
      </c>
      <c r="O145" s="2">
        <v>121.00865330000001</v>
      </c>
      <c r="P145" s="2" t="s">
        <v>824</v>
      </c>
      <c r="Q145" s="2" t="s">
        <v>73</v>
      </c>
      <c r="R145" s="29" t="e">
        <f>IF(INDEX(#REF!,MATCH('data '!$B145,#REF!,0),MATCH('data '!R$3,#REF!,0))=0,"",INDEX(#REF!,MATCH('data '!$B145,#REF!,0),MATCH('data '!R$3,#REF!,0)))</f>
        <v>#REF!</v>
      </c>
      <c r="S145" s="29" t="e">
        <f>IF(INDEX(#REF!,MATCH('data '!$B145,#REF!,0),MATCH('data '!S$3,#REF!,0))=0,"",INDEX(#REF!,MATCH('data '!$B145,#REF!,0),MATCH('data '!S$3,#REF!,0)))</f>
        <v>#REF!</v>
      </c>
      <c r="T145" s="29" t="e">
        <f>IF(INDEX(#REF!,MATCH('data '!$B145,#REF!,0),MATCH('data '!T$3,#REF!,0))=0,"",INDEX(#REF!,MATCH('data '!$B145,#REF!,0),MATCH('data '!T$3,#REF!,0)))</f>
        <v>#REF!</v>
      </c>
      <c r="U145" s="8" t="s">
        <v>25</v>
      </c>
      <c r="V145" s="25" t="s">
        <v>95</v>
      </c>
      <c r="W145" s="25">
        <v>0</v>
      </c>
      <c r="AC145" s="8" t="e">
        <f>VLOOKUP(B145,#REF!,19,0)</f>
        <v>#REF!</v>
      </c>
      <c r="AP145" s="8" t="str">
        <f t="shared" si="6"/>
        <v>Not yet endorsed</v>
      </c>
      <c r="AQ145" s="10" t="b" cm="1">
        <f t="array" aca="1" ref="AQ145" ca="1">IF(AM145&gt;0,(TODAY()-AM145),IF(AL145&gt;0,(TODAY()-AL145),IF(AK145&gt;0,(TODAY()-AK145,IF(AI145&gt;0,(TODAY()-AI145),IF(AG145&gt;0,(TODAY()-AG145),IF(AF145&gt;0,(TODAY()-AF145),IF(X145&gt;0,(TODAY()-X145)," "))))))))</f>
        <v>0</v>
      </c>
      <c r="BD145" s="2" t="str">
        <f t="shared" si="7"/>
        <v>TSSR Approved</v>
      </c>
      <c r="BE145" s="2" t="e">
        <v>#VALUE!</v>
      </c>
      <c r="BG145" s="2" t="e">
        <v>#N/A</v>
      </c>
    </row>
    <row r="146" spans="1:60" hidden="1" x14ac:dyDescent="0.25">
      <c r="B146" s="2" t="s">
        <v>876</v>
      </c>
      <c r="C146" s="2" t="s">
        <v>877</v>
      </c>
      <c r="D146" s="44" t="s">
        <v>878</v>
      </c>
      <c r="E146" s="2" t="s">
        <v>11</v>
      </c>
      <c r="F146" s="2" t="s">
        <v>450</v>
      </c>
      <c r="G146" s="2" t="s">
        <v>1</v>
      </c>
      <c r="H146" s="2" t="s">
        <v>165</v>
      </c>
      <c r="I146" s="2" t="s">
        <v>68</v>
      </c>
      <c r="J146" s="2" t="s">
        <v>239</v>
      </c>
      <c r="K146" s="2" t="s">
        <v>451</v>
      </c>
      <c r="L146" s="2" t="s">
        <v>879</v>
      </c>
      <c r="M146" s="2">
        <v>0</v>
      </c>
      <c r="N146" s="2">
        <v>8.3605</v>
      </c>
      <c r="O146" s="2">
        <v>126.0157</v>
      </c>
      <c r="P146" s="2" t="s">
        <v>87</v>
      </c>
      <c r="Q146" s="2" t="s">
        <v>219</v>
      </c>
      <c r="R146" s="29" t="e">
        <f>IF(INDEX(#REF!,MATCH('data '!$B146,#REF!,0),MATCH('data '!R$3,#REF!,0))=0,"",INDEX(#REF!,MATCH('data '!$B146,#REF!,0),MATCH('data '!R$3,#REF!,0)))</f>
        <v>#REF!</v>
      </c>
      <c r="S146" s="29" t="e">
        <f>IF(INDEX(#REF!,MATCH('data '!$B146,#REF!,0),MATCH('data '!S$3,#REF!,0))=0,"",INDEX(#REF!,MATCH('data '!$B146,#REF!,0),MATCH('data '!S$3,#REF!,0)))</f>
        <v>#REF!</v>
      </c>
      <c r="T146" s="29" t="e">
        <f>IF(INDEX(#REF!,MATCH('data '!$B146,#REF!,0),MATCH('data '!T$3,#REF!,0))=0,"",INDEX(#REF!,MATCH('data '!$B146,#REF!,0),MATCH('data '!T$3,#REF!,0)))</f>
        <v>#REF!</v>
      </c>
      <c r="U146" s="8" t="s">
        <v>25</v>
      </c>
      <c r="V146" s="25" t="s">
        <v>351</v>
      </c>
      <c r="W146" s="25" t="s">
        <v>144</v>
      </c>
      <c r="X146" s="43" t="s">
        <v>25</v>
      </c>
      <c r="Y146" s="43">
        <v>45833</v>
      </c>
      <c r="AC146" s="8" t="e">
        <f>VLOOKUP(B146,#REF!,19,0)</f>
        <v>#REF!</v>
      </c>
      <c r="AP146" s="8" t="str">
        <f t="shared" si="6"/>
        <v>BP Secured</v>
      </c>
      <c r="AQ146" s="10" t="b" cm="1">
        <f t="array" aca="1" ref="AQ146" ca="1">IF(AM146&gt;0,(TODAY()-AM146),IF(AL146&gt;0,(TODAY()-AL146),IF(AK146&gt;0,(TODAY()-AK146,IF(AI146&gt;0,(TODAY()-AI146),IF(AG146&gt;0,(TODAY()-AG146),IF(AF146&gt;0,(TODAY()-AF146),IF(X146&gt;0,(TODAY()-X146)," "))))))))</f>
        <v>0</v>
      </c>
      <c r="BD146" s="2" t="str">
        <f t="shared" si="7"/>
        <v>BP Secured</v>
      </c>
      <c r="BE146" s="2" t="e">
        <v>#VALUE!</v>
      </c>
      <c r="BG146" s="2" t="e">
        <v>#N/A</v>
      </c>
    </row>
    <row r="147" spans="1:60" hidden="1" x14ac:dyDescent="0.25">
      <c r="B147" s="2" t="s">
        <v>880</v>
      </c>
      <c r="C147" s="2" t="s">
        <v>881</v>
      </c>
      <c r="D147" s="44" t="s">
        <v>882</v>
      </c>
      <c r="E147" s="2" t="s">
        <v>11</v>
      </c>
      <c r="F147" s="2" t="s">
        <v>450</v>
      </c>
      <c r="G147" s="2" t="s">
        <v>1</v>
      </c>
      <c r="H147" s="2" t="s">
        <v>165</v>
      </c>
      <c r="I147" s="2" t="s">
        <v>68</v>
      </c>
      <c r="J147" s="2" t="s">
        <v>239</v>
      </c>
      <c r="K147" s="2" t="s">
        <v>451</v>
      </c>
      <c r="L147" s="2" t="s">
        <v>883</v>
      </c>
      <c r="M147" s="2">
        <v>0</v>
      </c>
      <c r="N147" s="2">
        <v>8.0412999999999997</v>
      </c>
      <c r="O147" s="2">
        <v>126.0543</v>
      </c>
      <c r="P147" s="2" t="s">
        <v>87</v>
      </c>
      <c r="Q147" s="2" t="s">
        <v>184</v>
      </c>
      <c r="R147" s="29" t="e">
        <f>IF(INDEX(#REF!,MATCH('data '!$B147,#REF!,0),MATCH('data '!R$3,#REF!,0))=0,"",INDEX(#REF!,MATCH('data '!$B147,#REF!,0),MATCH('data '!R$3,#REF!,0)))</f>
        <v>#REF!</v>
      </c>
      <c r="S147" s="29" t="e">
        <f>IF(INDEX(#REF!,MATCH('data '!$B147,#REF!,0),MATCH('data '!S$3,#REF!,0))=0,"",INDEX(#REF!,MATCH('data '!$B147,#REF!,0),MATCH('data '!S$3,#REF!,0)))</f>
        <v>#REF!</v>
      </c>
      <c r="T147" s="29" t="e">
        <f>IF(INDEX(#REF!,MATCH('data '!$B147,#REF!,0),MATCH('data '!T$3,#REF!,0))=0,"",INDEX(#REF!,MATCH('data '!$B147,#REF!,0),MATCH('data '!T$3,#REF!,0)))</f>
        <v>#REF!</v>
      </c>
      <c r="U147" s="8" t="s">
        <v>25</v>
      </c>
      <c r="V147" s="25" t="s">
        <v>185</v>
      </c>
      <c r="W147" s="25" t="s">
        <v>144</v>
      </c>
      <c r="X147" s="43" t="s">
        <v>25</v>
      </c>
      <c r="Y147" s="43">
        <v>45777</v>
      </c>
      <c r="Z147" s="8">
        <v>45813</v>
      </c>
      <c r="AA147" s="8" t="s">
        <v>884</v>
      </c>
      <c r="AC147" s="8" t="e">
        <f>VLOOKUP(B147,#REF!,19,0)</f>
        <v>#REF!</v>
      </c>
      <c r="AE147" s="8" t="s">
        <v>460</v>
      </c>
      <c r="AK147" s="8">
        <v>45867</v>
      </c>
      <c r="AP147" s="8" t="str">
        <f t="shared" si="6"/>
        <v>COOP Surveyed</v>
      </c>
      <c r="AQ147" s="10" t="e" cm="1">
        <f t="array" aca="1" ref="AQ147" ca="1">IF(AM147&gt;0,(TODAY()-AM147),IF(AL147&gt;0,(TODAY()-AL147),IF(AK147&gt;0,(TODAY()-AK147,IF(AI147&gt;0,(TODAY()-AI147),IF(AG147&gt;0,(TODAY()-AG147),IF(AF147&gt;0,(TODAY()-AF147),IF(X147&gt;0,(TODAY()-X147)," "))))))))</f>
        <v>#VALUE!</v>
      </c>
      <c r="AT147" s="8" t="s">
        <v>155</v>
      </c>
      <c r="AU147" s="8">
        <v>45824</v>
      </c>
      <c r="AV147" s="8">
        <v>45825</v>
      </c>
      <c r="AX147" s="8">
        <v>45828</v>
      </c>
      <c r="BD147" s="2" t="str">
        <f t="shared" si="7"/>
        <v>PO Issued</v>
      </c>
      <c r="BE147" s="2">
        <v>112</v>
      </c>
      <c r="BG147" s="2" t="e">
        <v>#N/A</v>
      </c>
    </row>
    <row r="148" spans="1:60" hidden="1" x14ac:dyDescent="0.25">
      <c r="B148" s="2" t="s">
        <v>885</v>
      </c>
      <c r="C148" s="2" t="s">
        <v>886</v>
      </c>
      <c r="D148" s="44" t="s">
        <v>887</v>
      </c>
      <c r="E148" s="2" t="s">
        <v>11</v>
      </c>
      <c r="F148" s="2" t="s">
        <v>850</v>
      </c>
      <c r="G148" s="2" t="s">
        <v>1</v>
      </c>
      <c r="H148" s="2" t="s">
        <v>165</v>
      </c>
      <c r="I148" s="2" t="s">
        <v>68</v>
      </c>
      <c r="J148" s="2" t="s">
        <v>173</v>
      </c>
      <c r="K148" s="2" t="s">
        <v>592</v>
      </c>
      <c r="L148" s="2" t="s">
        <v>888</v>
      </c>
      <c r="M148" s="2">
        <v>0</v>
      </c>
      <c r="N148" s="2">
        <v>0</v>
      </c>
      <c r="O148" s="2">
        <v>0</v>
      </c>
      <c r="P148" s="2" t="s">
        <v>133</v>
      </c>
      <c r="Q148" s="2" t="s">
        <v>73</v>
      </c>
      <c r="R148" s="29" t="e">
        <f>IF(INDEX(#REF!,MATCH('data '!$B148,#REF!,0),MATCH('data '!R$3,#REF!,0))=0,"",INDEX(#REF!,MATCH('data '!$B148,#REF!,0),MATCH('data '!R$3,#REF!,0)))</f>
        <v>#REF!</v>
      </c>
      <c r="S148" s="29" t="e">
        <f>IF(INDEX(#REF!,MATCH('data '!$B148,#REF!,0),MATCH('data '!S$3,#REF!,0))=0,"",INDEX(#REF!,MATCH('data '!$B148,#REF!,0),MATCH('data '!S$3,#REF!,0)))</f>
        <v>#REF!</v>
      </c>
      <c r="T148" s="29" t="e">
        <f>IF(INDEX(#REF!,MATCH('data '!$B148,#REF!,0),MATCH('data '!T$3,#REF!,0))=0,"",INDEX(#REF!,MATCH('data '!$B148,#REF!,0),MATCH('data '!T$3,#REF!,0)))</f>
        <v>#REF!</v>
      </c>
      <c r="U148" s="8" t="s">
        <v>25</v>
      </c>
      <c r="V148" s="25" t="s">
        <v>160</v>
      </c>
      <c r="W148" s="25" t="s">
        <v>144</v>
      </c>
      <c r="X148" s="61"/>
      <c r="Y148" s="61"/>
      <c r="AC148" s="8" t="e">
        <f>VLOOKUP(B148,#REF!,19,0)</f>
        <v>#REF!</v>
      </c>
      <c r="AP148" s="8" t="str">
        <f t="shared" si="6"/>
        <v>Not yet endorsed</v>
      </c>
      <c r="AQ148" s="10" t="b" cm="1">
        <f t="array" aca="1" ref="AQ148" ca="1">IF(AM148&gt;0,(TODAY()-AM148),IF(AL148&gt;0,(TODAY()-AL148),IF(AK148&gt;0,(TODAY()-AK148,IF(AI148&gt;0,(TODAY()-AI148),IF(AG148&gt;0,(TODAY()-AG148),IF(AF148&gt;0,(TODAY()-AF148),IF(X148&gt;0,(TODAY()-X148)," "))))))))</f>
        <v>0</v>
      </c>
      <c r="BD148" s="2" t="str">
        <f t="shared" si="7"/>
        <v>TSSR Approved</v>
      </c>
      <c r="BE148" s="2" t="e">
        <v>#VALUE!</v>
      </c>
      <c r="BG148" s="2" t="e">
        <v>#N/A</v>
      </c>
    </row>
    <row r="149" spans="1:60" hidden="1" x14ac:dyDescent="0.25">
      <c r="B149" s="2" t="s">
        <v>889</v>
      </c>
      <c r="C149" s="2" t="s">
        <v>890</v>
      </c>
      <c r="D149" s="44" t="s">
        <v>891</v>
      </c>
      <c r="E149" s="2" t="s">
        <v>11</v>
      </c>
      <c r="F149" s="2" t="s">
        <v>892</v>
      </c>
      <c r="G149" s="2" t="s">
        <v>1</v>
      </c>
      <c r="H149" s="2" t="s">
        <v>67</v>
      </c>
      <c r="I149" s="2" t="s">
        <v>68</v>
      </c>
      <c r="J149" s="2" t="s">
        <v>80</v>
      </c>
      <c r="K149" s="2" t="s">
        <v>893</v>
      </c>
      <c r="L149" s="2" t="s">
        <v>894</v>
      </c>
      <c r="M149" s="2">
        <v>0</v>
      </c>
      <c r="N149" s="2">
        <v>6.63275097</v>
      </c>
      <c r="O149" s="2">
        <v>126.0753024</v>
      </c>
      <c r="P149" s="2" t="s">
        <v>87</v>
      </c>
      <c r="Q149" s="2" t="s">
        <v>314</v>
      </c>
      <c r="R149" s="29" t="e">
        <f>IF(INDEX(#REF!,MATCH('data '!$B149,#REF!,0),MATCH('data '!R$3,#REF!,0))=0,"",INDEX(#REF!,MATCH('data '!$B149,#REF!,0),MATCH('data '!R$3,#REF!,0)))</f>
        <v>#REF!</v>
      </c>
      <c r="S149" s="29" t="e">
        <f>IF(INDEX(#REF!,MATCH('data '!$B149,#REF!,0),MATCH('data '!S$3,#REF!,0))=0,"",INDEX(#REF!,MATCH('data '!$B149,#REF!,0),MATCH('data '!S$3,#REF!,0)))</f>
        <v>#REF!</v>
      </c>
      <c r="T149" s="29" t="e">
        <f>IF(INDEX(#REF!,MATCH('data '!$B149,#REF!,0),MATCH('data '!T$3,#REF!,0))=0,"",INDEX(#REF!,MATCH('data '!$B149,#REF!,0),MATCH('data '!T$3,#REF!,0)))</f>
        <v>#REF!</v>
      </c>
      <c r="V149" s="25" t="s">
        <v>185</v>
      </c>
      <c r="W149" s="25" t="s">
        <v>144</v>
      </c>
      <c r="X149" s="43" t="s">
        <v>25</v>
      </c>
      <c r="Y149" s="43">
        <v>45894</v>
      </c>
      <c r="AC149" s="8" t="e">
        <f>VLOOKUP(B149,#REF!,19,0)</f>
        <v>#REF!</v>
      </c>
      <c r="AE149" s="8" t="s">
        <v>895</v>
      </c>
      <c r="AP149" s="8" t="str">
        <f t="shared" si="6"/>
        <v>BP Secured</v>
      </c>
      <c r="AQ149" s="10" t="b" cm="1">
        <f t="array" aca="1" ref="AQ149" ca="1">IF(AM149&gt;0,(TODAY()-AM149),IF(AL149&gt;0,(TODAY()-AL149),IF(AK149&gt;0,(TODAY()-AK149,IF(AI149&gt;0,(TODAY()-AI149),IF(AG149&gt;0,(TODAY()-AG149),IF(AF149&gt;0,(TODAY()-AF149),IF(X149&gt;0,(TODAY()-X149)," "))))))))</f>
        <v>0</v>
      </c>
      <c r="AT149" s="8">
        <v>45927</v>
      </c>
      <c r="AU149" s="8">
        <v>45927</v>
      </c>
      <c r="AV149" s="8">
        <v>45929</v>
      </c>
      <c r="AX149" s="8">
        <v>45932</v>
      </c>
      <c r="BD149" s="2" t="str">
        <f t="shared" si="7"/>
        <v>PO Issued</v>
      </c>
      <c r="BE149" s="2">
        <v>8</v>
      </c>
      <c r="BG149" s="2" t="e">
        <v>#N/A</v>
      </c>
    </row>
    <row r="150" spans="1:60" hidden="1" x14ac:dyDescent="0.25">
      <c r="B150" s="2" t="s">
        <v>896</v>
      </c>
      <c r="C150" s="2" t="s">
        <v>897</v>
      </c>
      <c r="D150" s="44" t="s">
        <v>898</v>
      </c>
      <c r="E150" s="2" t="s">
        <v>11</v>
      </c>
      <c r="F150" s="2" t="s">
        <v>66</v>
      </c>
      <c r="G150" s="2" t="s">
        <v>1</v>
      </c>
      <c r="H150" s="2" t="s">
        <v>67</v>
      </c>
      <c r="I150" s="2" t="s">
        <v>68</v>
      </c>
      <c r="J150" s="2" t="s">
        <v>69</v>
      </c>
      <c r="K150" s="2" t="s">
        <v>70</v>
      </c>
      <c r="L150" s="2" t="s">
        <v>501</v>
      </c>
      <c r="M150" s="2">
        <v>0</v>
      </c>
      <c r="N150" s="2">
        <v>0</v>
      </c>
      <c r="O150" s="2">
        <v>0</v>
      </c>
      <c r="P150" s="2" t="s">
        <v>133</v>
      </c>
      <c r="Q150" s="2" t="s">
        <v>73</v>
      </c>
      <c r="R150" s="29" t="e">
        <f>IF(INDEX(#REF!,MATCH('data '!$B150,#REF!,0),MATCH('data '!R$3,#REF!,0))=0,"",INDEX(#REF!,MATCH('data '!$B150,#REF!,0),MATCH('data '!R$3,#REF!,0)))</f>
        <v>#REF!</v>
      </c>
      <c r="S150" s="29" t="e">
        <f>IF(INDEX(#REF!,MATCH('data '!$B150,#REF!,0),MATCH('data '!S$3,#REF!,0))=0,"",INDEX(#REF!,MATCH('data '!$B150,#REF!,0),MATCH('data '!S$3,#REF!,0)))</f>
        <v>#REF!</v>
      </c>
      <c r="T150" s="29" t="e">
        <f>IF(INDEX(#REF!,MATCH('data '!$B150,#REF!,0),MATCH('data '!T$3,#REF!,0))=0,"",INDEX(#REF!,MATCH('data '!$B150,#REF!,0),MATCH('data '!T$3,#REF!,0)))</f>
        <v>#REF!</v>
      </c>
      <c r="V150" s="25" t="s">
        <v>87</v>
      </c>
      <c r="W150" s="25" t="s">
        <v>144</v>
      </c>
      <c r="X150" s="61"/>
      <c r="Y150" s="61"/>
      <c r="AC150" s="8" t="e">
        <f>VLOOKUP(B150,#REF!,19,0)</f>
        <v>#REF!</v>
      </c>
      <c r="AP150" s="8" t="str">
        <f t="shared" si="6"/>
        <v>Not yet endorsed</v>
      </c>
      <c r="AQ150" s="10" t="b" cm="1">
        <f t="array" aca="1" ref="AQ150" ca="1">IF(AM150&gt;0,(TODAY()-AM150),IF(AL150&gt;0,(TODAY()-AL150),IF(AK150&gt;0,(TODAY()-AK150,IF(AI150&gt;0,(TODAY()-AI150),IF(AG150&gt;0,(TODAY()-AG150),IF(AF150&gt;0,(TODAY()-AF150),IF(X150&gt;0,(TODAY()-X150)," "))))))))</f>
        <v>0</v>
      </c>
      <c r="BD150" s="2" t="str">
        <f t="shared" si="7"/>
        <v>Not yet endorsed</v>
      </c>
      <c r="BE150" s="2" t="s">
        <v>75</v>
      </c>
      <c r="BG150" s="2" t="e">
        <v>#N/A</v>
      </c>
    </row>
    <row r="151" spans="1:60" hidden="1" x14ac:dyDescent="0.25">
      <c r="A151" s="48"/>
      <c r="B151" s="7" t="s">
        <v>899</v>
      </c>
      <c r="C151" s="2" t="s">
        <v>900</v>
      </c>
      <c r="D151" s="44" t="s">
        <v>901</v>
      </c>
      <c r="E151" s="2" t="s">
        <v>5</v>
      </c>
      <c r="F151" s="2" t="s">
        <v>279</v>
      </c>
      <c r="G151" s="2" t="s">
        <v>153</v>
      </c>
      <c r="H151" s="2" t="s">
        <v>139</v>
      </c>
      <c r="I151" s="2" t="s">
        <v>140</v>
      </c>
      <c r="J151" s="2" t="e">
        <v>#N/A</v>
      </c>
      <c r="K151" s="2" t="e">
        <v>#N/A</v>
      </c>
      <c r="L151" s="2" t="e">
        <v>#N/A</v>
      </c>
      <c r="M151" s="2" t="e">
        <v>#N/A</v>
      </c>
      <c r="N151" s="2" t="e">
        <v>#N/A</v>
      </c>
      <c r="O151" s="2" t="e">
        <v>#N/A</v>
      </c>
      <c r="P151" s="2" t="e">
        <v>#N/A</v>
      </c>
      <c r="Q151" s="2" t="e">
        <v>#N/A</v>
      </c>
      <c r="R151" s="29" t="e">
        <f>IF(INDEX(#REF!,MATCH('data '!$B151,#REF!,0),MATCH('data '!R$3,#REF!,0))=0,"",INDEX(#REF!,MATCH('data '!$B151,#REF!,0),MATCH('data '!R$3,#REF!,0)))</f>
        <v>#REF!</v>
      </c>
      <c r="S151" s="29" t="e">
        <f>IF(INDEX(#REF!,MATCH('data '!$B151,#REF!,0),MATCH('data '!S$3,#REF!,0))=0,"",INDEX(#REF!,MATCH('data '!$B151,#REF!,0),MATCH('data '!S$3,#REF!,0)))</f>
        <v>#REF!</v>
      </c>
      <c r="T151" s="29" t="e">
        <f>IF(INDEX(#REF!,MATCH('data '!$B151,#REF!,0),MATCH('data '!T$3,#REF!,0))=0,"",INDEX(#REF!,MATCH('data '!$B151,#REF!,0),MATCH('data '!T$3,#REF!,0)))</f>
        <v>#REF!</v>
      </c>
      <c r="V151" s="25">
        <v>0</v>
      </c>
      <c r="W151" s="25" t="s">
        <v>144</v>
      </c>
      <c r="X151" s="9" t="s">
        <v>25</v>
      </c>
      <c r="AC151" s="8" t="e">
        <f>VLOOKUP(B151,#REF!,19,0)</f>
        <v>#REF!</v>
      </c>
      <c r="AE151" s="8" t="s">
        <v>145</v>
      </c>
      <c r="AG151" s="8">
        <v>45946</v>
      </c>
      <c r="AH151" s="8" t="s">
        <v>283</v>
      </c>
      <c r="AI151" s="8">
        <v>45950</v>
      </c>
      <c r="AJ151" s="8" t="s">
        <v>284</v>
      </c>
      <c r="AK151" s="8">
        <v>45955</v>
      </c>
      <c r="AL151" s="8">
        <v>45966</v>
      </c>
      <c r="AM151" s="8">
        <v>45975</v>
      </c>
      <c r="AP151" s="8" t="str">
        <f t="shared" si="6"/>
        <v>Tempo Energized</v>
      </c>
      <c r="AQ151" s="10" cm="1">
        <f t="array" aca="1" ref="AQ151" ca="1">IF(AM151&gt;0,(TODAY()-AM151),IF(AL151&gt;0,(TODAY()-AL151),IF(AK151&gt;0,(TODAY()-AK151,IF(AI151&gt;0,(TODAY()-AI151),IF(AG151&gt;0,(TODAY()-AG151),IF(AF151&gt;0,(TODAY()-AF151),IF(X151&gt;0,(TODAY()-X151)," "))))))))</f>
        <v>131</v>
      </c>
      <c r="AS151" s="8" t="s">
        <v>424</v>
      </c>
      <c r="AT151" s="8">
        <v>45790</v>
      </c>
      <c r="AU151" s="8">
        <v>45798</v>
      </c>
      <c r="AV151" s="8">
        <v>45800</v>
      </c>
      <c r="AW151" s="8" t="s">
        <v>902</v>
      </c>
      <c r="AX151" s="8">
        <v>45803</v>
      </c>
      <c r="AY151" s="8" t="s">
        <v>903</v>
      </c>
      <c r="BD151" s="2" t="str">
        <f t="shared" si="7"/>
        <v>PO Issued</v>
      </c>
      <c r="BE151" s="2">
        <v>137</v>
      </c>
      <c r="BF151" s="2" t="s">
        <v>904</v>
      </c>
      <c r="BG151" s="2" t="e">
        <v>#N/A</v>
      </c>
    </row>
    <row r="152" spans="1:60" hidden="1" x14ac:dyDescent="0.25">
      <c r="B152" s="2" t="s">
        <v>905</v>
      </c>
      <c r="C152" s="2" t="s">
        <v>906</v>
      </c>
      <c r="D152" s="44" t="s">
        <v>907</v>
      </c>
      <c r="E152" s="2" t="s">
        <v>4</v>
      </c>
      <c r="F152" s="2" t="s">
        <v>575</v>
      </c>
      <c r="G152" s="2" t="s">
        <v>1</v>
      </c>
      <c r="H152" s="2" t="s">
        <v>120</v>
      </c>
      <c r="I152" s="2" t="s">
        <v>140</v>
      </c>
      <c r="J152" s="2" t="s">
        <v>122</v>
      </c>
      <c r="K152" s="2" t="s">
        <v>123</v>
      </c>
      <c r="L152" s="2" t="s">
        <v>908</v>
      </c>
      <c r="M152" s="2">
        <v>0</v>
      </c>
      <c r="N152" s="2">
        <v>0</v>
      </c>
      <c r="O152" s="2">
        <v>0</v>
      </c>
      <c r="P152" s="2" t="s">
        <v>82</v>
      </c>
      <c r="Q152" s="2" t="s">
        <v>73</v>
      </c>
      <c r="R152" s="29" t="e">
        <f>IF(INDEX(#REF!,MATCH('data '!$B152,#REF!,0),MATCH('data '!R$3,#REF!,0))=0,"",INDEX(#REF!,MATCH('data '!$B152,#REF!,0),MATCH('data '!R$3,#REF!,0)))</f>
        <v>#REF!</v>
      </c>
      <c r="S152" s="29" t="e">
        <f>IF(INDEX(#REF!,MATCH('data '!$B152,#REF!,0),MATCH('data '!S$3,#REF!,0))=0,"",INDEX(#REF!,MATCH('data '!$B152,#REF!,0),MATCH('data '!S$3,#REF!,0)))</f>
        <v>#REF!</v>
      </c>
      <c r="T152" s="29" t="e">
        <f>IF(INDEX(#REF!,MATCH('data '!$B152,#REF!,0),MATCH('data '!T$3,#REF!,0))=0,"",INDEX(#REF!,MATCH('data '!$B152,#REF!,0),MATCH('data '!T$3,#REF!,0)))</f>
        <v>#REF!</v>
      </c>
      <c r="V152" s="25" t="s">
        <v>731</v>
      </c>
      <c r="W152" s="25">
        <v>0</v>
      </c>
      <c r="AC152" s="8" t="e">
        <f>VLOOKUP(B152,#REF!,19,0)</f>
        <v>#REF!</v>
      </c>
      <c r="AP152" s="8" t="str">
        <f t="shared" si="6"/>
        <v>Not yet endorsed</v>
      </c>
      <c r="AQ152" s="10" t="b" cm="1">
        <f t="array" aca="1" ref="AQ152" ca="1">IF(AM152&gt;0,(TODAY()-AM152),IF(AL152&gt;0,(TODAY()-AL152),IF(AK152&gt;0,(TODAY()-AK152,IF(AI152&gt;0,(TODAY()-AI152),IF(AG152&gt;0,(TODAY()-AG152),IF(AF152&gt;0,(TODAY()-AF152),IF(X152&gt;0,(TODAY()-X152)," "))))))))</f>
        <v>0</v>
      </c>
      <c r="BD152" s="2" t="str">
        <f t="shared" si="7"/>
        <v>Not yet endorsed</v>
      </c>
      <c r="BE152" s="2" t="s">
        <v>75</v>
      </c>
      <c r="BG152" s="2" t="e">
        <v>#N/A</v>
      </c>
    </row>
    <row r="153" spans="1:60" ht="90" hidden="1" x14ac:dyDescent="0.25">
      <c r="B153" s="51" t="s">
        <v>909</v>
      </c>
      <c r="C153" s="2" t="s">
        <v>910</v>
      </c>
      <c r="D153" s="44" t="s">
        <v>911</v>
      </c>
      <c r="E153" s="2" t="s">
        <v>5</v>
      </c>
      <c r="F153" s="14" t="s">
        <v>912</v>
      </c>
      <c r="G153" s="2" t="s">
        <v>1</v>
      </c>
      <c r="H153" s="2" t="s">
        <v>139</v>
      </c>
      <c r="I153" s="2" t="s">
        <v>140</v>
      </c>
      <c r="J153" s="2" t="s">
        <v>224</v>
      </c>
      <c r="K153" s="2" t="s">
        <v>913</v>
      </c>
      <c r="L153" s="2" t="s">
        <v>914</v>
      </c>
      <c r="M153" s="2">
        <v>0</v>
      </c>
      <c r="N153" s="2">
        <v>17.114699999999999</v>
      </c>
      <c r="O153" s="2">
        <v>121.88039999999999</v>
      </c>
      <c r="P153" s="2" t="s">
        <v>87</v>
      </c>
      <c r="Q153" s="2" t="s">
        <v>198</v>
      </c>
      <c r="R153" s="29" t="e">
        <f>IF(INDEX(#REF!,MATCH('data '!$B153,#REF!,0),MATCH('data '!R$3,#REF!,0))=0,"",INDEX(#REF!,MATCH('data '!$B153,#REF!,0),MATCH('data '!R$3,#REF!,0)))</f>
        <v>#REF!</v>
      </c>
      <c r="S153" s="29" t="e">
        <f>IF(INDEX(#REF!,MATCH('data '!$B153,#REF!,0),MATCH('data '!S$3,#REF!,0))=0,"",INDEX(#REF!,MATCH('data '!$B153,#REF!,0),MATCH('data '!S$3,#REF!,0)))</f>
        <v>#REF!</v>
      </c>
      <c r="T153" s="29" t="e">
        <f>IF(INDEX(#REF!,MATCH('data '!$B153,#REF!,0),MATCH('data '!T$3,#REF!,0))=0,"",INDEX(#REF!,MATCH('data '!$B153,#REF!,0),MATCH('data '!T$3,#REF!,0)))</f>
        <v>#REF!</v>
      </c>
      <c r="V153" s="25" t="s">
        <v>383</v>
      </c>
      <c r="W153" s="25" t="s">
        <v>144</v>
      </c>
      <c r="X153" s="9" t="s">
        <v>25</v>
      </c>
      <c r="Y153" s="9">
        <v>45831</v>
      </c>
      <c r="AC153" s="8" t="e">
        <f>VLOOKUP(B153,#REF!,19,0)</f>
        <v>#REF!</v>
      </c>
      <c r="AE153" s="8" t="s">
        <v>438</v>
      </c>
      <c r="AF153" s="8">
        <v>45838</v>
      </c>
      <c r="AG153" s="8">
        <v>45943</v>
      </c>
      <c r="AH153" s="8" t="s">
        <v>915</v>
      </c>
      <c r="AI153" s="8">
        <v>45945</v>
      </c>
      <c r="AJ153" s="8" t="s">
        <v>916</v>
      </c>
      <c r="AK153" s="8">
        <v>45933</v>
      </c>
      <c r="AL153" s="8">
        <v>45945</v>
      </c>
      <c r="AP153" s="8" t="str">
        <f t="shared" si="6"/>
        <v>Tempo Permit Released</v>
      </c>
      <c r="AQ153" s="10" cm="1">
        <f t="array" aca="1" ref="AQ153" ca="1">IF(AM153&gt;0,(TODAY()-AM153),IF(AL153&gt;0,(TODAY()-AL153),IF(AK153&gt;0,(TODAY()-AK153,IF(AI153&gt;0,(TODAY()-AI153),IF(AG153&gt;0,(TODAY()-AG153),IF(AF153&gt;0,(TODAY()-AF153),IF(X153&gt;0,(TODAY()-X153)," "))))))))</f>
        <v>161</v>
      </c>
      <c r="AR153" s="10" t="s">
        <v>917</v>
      </c>
      <c r="AS153" s="50" t="s">
        <v>918</v>
      </c>
      <c r="AT153" s="8">
        <v>45943</v>
      </c>
      <c r="AU153" s="11"/>
      <c r="AV153" s="11"/>
      <c r="AW153" s="11"/>
      <c r="AX153" s="11"/>
      <c r="AY153" s="11"/>
      <c r="BD153" s="2" t="str">
        <f t="shared" si="7"/>
        <v>BoQ Submitted</v>
      </c>
      <c r="BE153" s="2">
        <v>102</v>
      </c>
      <c r="BF153" s="2" t="s">
        <v>919</v>
      </c>
      <c r="BG153" s="2" t="e">
        <v>#N/A</v>
      </c>
      <c r="BH153" s="2" t="e" vm="1">
        <v>#REF!</v>
      </c>
    </row>
    <row r="154" spans="1:60" ht="45" hidden="1" x14ac:dyDescent="0.25">
      <c r="B154" s="26" t="s">
        <v>920</v>
      </c>
      <c r="C154" s="7" t="s">
        <v>921</v>
      </c>
      <c r="D154" s="44" t="s">
        <v>922</v>
      </c>
      <c r="E154" s="2" t="s">
        <v>5</v>
      </c>
      <c r="F154" s="14" t="s">
        <v>912</v>
      </c>
      <c r="G154" s="2" t="s">
        <v>1</v>
      </c>
      <c r="H154" s="2" t="s">
        <v>139</v>
      </c>
      <c r="I154" s="2" t="s">
        <v>140</v>
      </c>
      <c r="J154" s="2" t="s">
        <v>224</v>
      </c>
      <c r="K154" s="2" t="s">
        <v>913</v>
      </c>
      <c r="L154" s="2" t="s">
        <v>914</v>
      </c>
      <c r="M154" s="2">
        <v>0</v>
      </c>
      <c r="N154" s="2">
        <v>17.056229999999999</v>
      </c>
      <c r="O154" s="2">
        <v>121.971296</v>
      </c>
      <c r="P154" s="2" t="s">
        <v>87</v>
      </c>
      <c r="Q154" s="2" t="s">
        <v>265</v>
      </c>
      <c r="R154" s="29" t="e">
        <f>IF(INDEX(#REF!,MATCH('data '!$B154,#REF!,0),MATCH('data '!R$3,#REF!,0))=0,"",INDEX(#REF!,MATCH('data '!$B154,#REF!,0),MATCH('data '!R$3,#REF!,0)))</f>
        <v>#REF!</v>
      </c>
      <c r="S154" s="29" t="e">
        <f>IF(INDEX(#REF!,MATCH('data '!$B154,#REF!,0),MATCH('data '!S$3,#REF!,0))=0,"",INDEX(#REF!,MATCH('data '!$B154,#REF!,0),MATCH('data '!S$3,#REF!,0)))</f>
        <v>#REF!</v>
      </c>
      <c r="T154" s="29" t="e">
        <f>IF(INDEX(#REF!,MATCH('data '!$B154,#REF!,0),MATCH('data '!T$3,#REF!,0))=0,"",INDEX(#REF!,MATCH('data '!$B154,#REF!,0),MATCH('data '!T$3,#REF!,0)))</f>
        <v>#REF!</v>
      </c>
      <c r="U154" s="8" t="s">
        <v>25</v>
      </c>
      <c r="V154" s="25" t="s">
        <v>185</v>
      </c>
      <c r="W154" s="25" t="s">
        <v>144</v>
      </c>
      <c r="X154" s="9" t="s">
        <v>25</v>
      </c>
      <c r="Y154" s="9">
        <v>45819</v>
      </c>
      <c r="AA154" s="8" t="s">
        <v>923</v>
      </c>
      <c r="AC154" s="8" t="e">
        <f>VLOOKUP(B154,#REF!,19,0)</f>
        <v>#REF!</v>
      </c>
      <c r="AE154" s="8" t="s">
        <v>438</v>
      </c>
      <c r="AF154" s="8">
        <v>45912</v>
      </c>
      <c r="AG154" s="8">
        <v>45943</v>
      </c>
      <c r="AH154" s="8" t="s">
        <v>924</v>
      </c>
      <c r="AI154" s="8">
        <v>45945</v>
      </c>
      <c r="AJ154" s="8" t="s">
        <v>925</v>
      </c>
      <c r="AK154" s="8">
        <v>45933</v>
      </c>
      <c r="AL154" s="8">
        <v>45986</v>
      </c>
      <c r="AP154" s="8" t="str">
        <f t="shared" si="6"/>
        <v>Tempo Permit Released</v>
      </c>
      <c r="AQ154" s="10" cm="1">
        <f t="array" aca="1" ref="AQ154" ca="1">IF(AM154&gt;0,(TODAY()-AM154),IF(AL154&gt;0,(TODAY()-AL154),IF(AK154&gt;0,(TODAY()-AK154,IF(AI154&gt;0,(TODAY()-AI154),IF(AG154&gt;0,(TODAY()-AG154),IF(AF154&gt;0,(TODAY()-AF154),IF(X154&gt;0,(TODAY()-X154)," "))))))))</f>
        <v>120</v>
      </c>
      <c r="AR154" s="10" t="s">
        <v>917</v>
      </c>
      <c r="AS154" s="50" t="s">
        <v>926</v>
      </c>
      <c r="AT154" s="8">
        <v>45919</v>
      </c>
      <c r="AU154" s="8">
        <v>45950</v>
      </c>
      <c r="AV154" s="8">
        <v>45950</v>
      </c>
      <c r="AW154" s="8" t="s">
        <v>927</v>
      </c>
      <c r="AX154" s="8">
        <v>45950</v>
      </c>
      <c r="AY154" s="8" t="s">
        <v>928</v>
      </c>
      <c r="BD154" s="2" t="str">
        <f t="shared" si="7"/>
        <v>PO Issued</v>
      </c>
      <c r="BE154" s="2">
        <v>21</v>
      </c>
      <c r="BF154" s="2" t="s">
        <v>929</v>
      </c>
      <c r="BG154" s="2" t="e">
        <v>#N/A</v>
      </c>
      <c r="BH154" s="2" t="e" vm="1">
        <v>#REF!</v>
      </c>
    </row>
    <row r="155" spans="1:60" hidden="1" x14ac:dyDescent="0.25">
      <c r="B155" s="2" t="s">
        <v>930</v>
      </c>
      <c r="C155" s="2" t="s">
        <v>931</v>
      </c>
      <c r="D155" s="44" t="s">
        <v>932</v>
      </c>
      <c r="E155" s="2" t="s">
        <v>5</v>
      </c>
      <c r="F155" s="2" t="s">
        <v>208</v>
      </c>
      <c r="G155" s="2" t="s">
        <v>1</v>
      </c>
      <c r="H155" s="2" t="s">
        <v>139</v>
      </c>
      <c r="I155" s="2" t="s">
        <v>140</v>
      </c>
      <c r="J155" s="2" t="s">
        <v>209</v>
      </c>
      <c r="K155" s="2" t="s">
        <v>210</v>
      </c>
      <c r="L155" s="2" t="s">
        <v>211</v>
      </c>
      <c r="M155" s="2">
        <v>0</v>
      </c>
      <c r="N155" s="2">
        <v>17.370999999999999</v>
      </c>
      <c r="O155" s="2">
        <v>121.514</v>
      </c>
      <c r="P155" s="2" t="s">
        <v>87</v>
      </c>
      <c r="Q155" s="2" t="s">
        <v>184</v>
      </c>
      <c r="R155" s="29" t="e">
        <f>IF(INDEX(#REF!,MATCH('data '!$B155,#REF!,0),MATCH('data '!R$3,#REF!,0))=0,"",INDEX(#REF!,MATCH('data '!$B155,#REF!,0),MATCH('data '!R$3,#REF!,0)))</f>
        <v>#REF!</v>
      </c>
      <c r="S155" s="29" t="e">
        <f>IF(INDEX(#REF!,MATCH('data '!$B155,#REF!,0),MATCH('data '!S$3,#REF!,0))=0,"",INDEX(#REF!,MATCH('data '!$B155,#REF!,0),MATCH('data '!S$3,#REF!,0)))</f>
        <v>#REF!</v>
      </c>
      <c r="T155" s="29" t="e">
        <f>IF(INDEX(#REF!,MATCH('data '!$B155,#REF!,0),MATCH('data '!T$3,#REF!,0))=0,"",INDEX(#REF!,MATCH('data '!$B155,#REF!,0),MATCH('data '!T$3,#REF!,0)))</f>
        <v>#REF!</v>
      </c>
      <c r="U155" s="8" t="s">
        <v>25</v>
      </c>
      <c r="V155" s="25" t="s">
        <v>266</v>
      </c>
      <c r="W155" s="25" t="s">
        <v>144</v>
      </c>
      <c r="X155" s="9" t="s">
        <v>25</v>
      </c>
      <c r="Y155" s="9">
        <v>45754</v>
      </c>
      <c r="AA155" s="8">
        <v>45937</v>
      </c>
      <c r="AB155" s="8">
        <v>45880</v>
      </c>
      <c r="AC155" s="8" t="e">
        <f>VLOOKUP(B155,#REF!,19,0)</f>
        <v>#REF!</v>
      </c>
      <c r="AE155" s="8" t="s">
        <v>212</v>
      </c>
      <c r="AF155" s="8">
        <v>45761</v>
      </c>
      <c r="AH155" s="8" t="s">
        <v>362</v>
      </c>
      <c r="AP155" s="8" t="str">
        <f t="shared" si="6"/>
        <v>Vendor Allocated</v>
      </c>
      <c r="AQ155" s="10" t="b" cm="1">
        <f t="array" aca="1" ref="AQ155" ca="1">IF(AM155&gt;0,(TODAY()-AM155),IF(AL155&gt;0,(TODAY()-AL155),IF(AK155&gt;0,(TODAY()-AK155,IF(AI155&gt;0,(TODAY()-AI155),IF(AG155&gt;0,(TODAY()-AG155),IF(AF155&gt;0,(TODAY()-AF155),IF(X155&gt;0,(TODAY()-X155)," "))))))))</f>
        <v>0</v>
      </c>
      <c r="AS155" s="8" t="s">
        <v>421</v>
      </c>
      <c r="AT155" s="8">
        <v>45887</v>
      </c>
      <c r="AU155" s="8">
        <v>45887</v>
      </c>
      <c r="AV155" s="8">
        <v>45886</v>
      </c>
      <c r="AW155" s="8" t="s">
        <v>933</v>
      </c>
      <c r="AX155" s="8">
        <v>45889</v>
      </c>
      <c r="AY155" s="8" t="s">
        <v>934</v>
      </c>
      <c r="AZ155" s="8">
        <v>45885</v>
      </c>
      <c r="BA155" s="8">
        <v>45889</v>
      </c>
      <c r="BB155" s="8">
        <v>45894</v>
      </c>
      <c r="BC155" s="8">
        <v>45906</v>
      </c>
      <c r="BD155" s="2" t="str">
        <f t="shared" si="7"/>
        <v>Permanent Energized</v>
      </c>
      <c r="BE155" s="2">
        <v>282</v>
      </c>
      <c r="BF155" s="2" t="s">
        <v>424</v>
      </c>
      <c r="BG155" s="2" t="e">
        <v>#N/A</v>
      </c>
      <c r="BH155" s="2" t="e" vm="1">
        <v>#REF!</v>
      </c>
    </row>
    <row r="156" spans="1:60" hidden="1" x14ac:dyDescent="0.25">
      <c r="B156" s="2" t="s">
        <v>935</v>
      </c>
      <c r="C156" s="2" t="s">
        <v>936</v>
      </c>
      <c r="D156" s="44" t="s">
        <v>937</v>
      </c>
      <c r="E156" s="2" t="s">
        <v>5</v>
      </c>
      <c r="F156" s="2" t="s">
        <v>208</v>
      </c>
      <c r="G156" s="2" t="s">
        <v>1</v>
      </c>
      <c r="H156" s="2" t="s">
        <v>139</v>
      </c>
      <c r="I156" s="2" t="s">
        <v>140</v>
      </c>
      <c r="J156" s="2" t="s">
        <v>209</v>
      </c>
      <c r="K156" s="2" t="s">
        <v>210</v>
      </c>
      <c r="L156" s="2" t="s">
        <v>211</v>
      </c>
      <c r="M156" s="2">
        <v>0</v>
      </c>
      <c r="N156" s="2">
        <v>17.458300000000001</v>
      </c>
      <c r="O156" s="2">
        <v>121.4599</v>
      </c>
      <c r="P156" s="2" t="s">
        <v>87</v>
      </c>
      <c r="Q156" s="2" t="s">
        <v>184</v>
      </c>
      <c r="R156" s="29" t="e">
        <f>IF(INDEX(#REF!,MATCH('data '!$B156,#REF!,0),MATCH('data '!R$3,#REF!,0))=0,"",INDEX(#REF!,MATCH('data '!$B156,#REF!,0),MATCH('data '!R$3,#REF!,0)))</f>
        <v>#REF!</v>
      </c>
      <c r="S156" s="29" t="e">
        <f>IF(INDEX(#REF!,MATCH('data '!$B156,#REF!,0),MATCH('data '!S$3,#REF!,0))=0,"",INDEX(#REF!,MATCH('data '!$B156,#REF!,0),MATCH('data '!S$3,#REF!,0)))</f>
        <v>#REF!</v>
      </c>
      <c r="T156" s="29" t="e">
        <f>IF(INDEX(#REF!,MATCH('data '!$B156,#REF!,0),MATCH('data '!T$3,#REF!,0))=0,"",INDEX(#REF!,MATCH('data '!$B156,#REF!,0),MATCH('data '!T$3,#REF!,0)))</f>
        <v>#REF!</v>
      </c>
      <c r="U156" s="8" t="s">
        <v>25</v>
      </c>
      <c r="V156" s="25" t="s">
        <v>266</v>
      </c>
      <c r="W156" s="25" t="s">
        <v>144</v>
      </c>
      <c r="X156" s="9" t="s">
        <v>25</v>
      </c>
      <c r="Y156" s="9">
        <v>45754</v>
      </c>
      <c r="AA156" s="8" t="s">
        <v>938</v>
      </c>
      <c r="AB156" s="8">
        <v>45874</v>
      </c>
      <c r="AC156" s="8" t="e">
        <f>VLOOKUP(B156,#REF!,19,0)</f>
        <v>#REF!</v>
      </c>
      <c r="AE156" s="8" t="s">
        <v>212</v>
      </c>
      <c r="AF156" s="8">
        <v>45761</v>
      </c>
      <c r="AH156" s="8" t="s">
        <v>362</v>
      </c>
      <c r="AP156" s="8" t="str">
        <f t="shared" si="6"/>
        <v>Vendor Allocated</v>
      </c>
      <c r="AQ156" s="10" t="b" cm="1">
        <f t="array" aca="1" ref="AQ156" ca="1">IF(AM156&gt;0,(TODAY()-AM156),IF(AL156&gt;0,(TODAY()-AL156),IF(AK156&gt;0,(TODAY()-AK156,IF(AI156&gt;0,(TODAY()-AI156),IF(AG156&gt;0,(TODAY()-AG156),IF(AF156&gt;0,(TODAY()-AF156),IF(X156&gt;0,(TODAY()-X156)," "))))))))</f>
        <v>0</v>
      </c>
      <c r="AS156" s="8" t="s">
        <v>421</v>
      </c>
      <c r="AT156" s="8">
        <v>45889</v>
      </c>
      <c r="AU156" s="8">
        <v>45889</v>
      </c>
      <c r="AV156" s="8">
        <v>45892</v>
      </c>
      <c r="AW156" s="8" t="s">
        <v>939</v>
      </c>
      <c r="AX156" s="8">
        <v>45895</v>
      </c>
      <c r="AY156" s="8" t="s">
        <v>940</v>
      </c>
      <c r="AZ156" s="8">
        <v>45885</v>
      </c>
      <c r="BA156" s="8">
        <v>45889</v>
      </c>
      <c r="BB156" s="8">
        <v>45894</v>
      </c>
      <c r="BC156" s="8">
        <v>45906</v>
      </c>
      <c r="BD156" s="2" t="str">
        <f t="shared" si="7"/>
        <v>Permanent Energized</v>
      </c>
      <c r="BE156" s="2">
        <v>282</v>
      </c>
      <c r="BF156" s="2" t="s">
        <v>424</v>
      </c>
      <c r="BG156" s="2" t="e">
        <v>#N/A</v>
      </c>
      <c r="BH156" s="2" t="e" vm="1">
        <v>#REF!</v>
      </c>
    </row>
    <row r="157" spans="1:60" hidden="1" x14ac:dyDescent="0.25">
      <c r="B157" s="2" t="s">
        <v>941</v>
      </c>
      <c r="C157" s="2" t="s">
        <v>942</v>
      </c>
      <c r="D157" s="44" t="s">
        <v>943</v>
      </c>
      <c r="E157" s="2" t="s">
        <v>4</v>
      </c>
      <c r="F157" s="2" t="s">
        <v>722</v>
      </c>
      <c r="G157" s="2" t="s">
        <v>1</v>
      </c>
      <c r="H157" s="2" t="s">
        <v>120</v>
      </c>
      <c r="I157" s="2" t="s">
        <v>140</v>
      </c>
      <c r="J157" s="2" t="s">
        <v>122</v>
      </c>
      <c r="K157" s="2" t="s">
        <v>723</v>
      </c>
      <c r="L157" s="2" t="s">
        <v>724</v>
      </c>
      <c r="M157" s="2">
        <v>0</v>
      </c>
      <c r="N157" s="2">
        <v>0</v>
      </c>
      <c r="O157" s="2">
        <v>0</v>
      </c>
      <c r="P157" s="2" t="s">
        <v>944</v>
      </c>
      <c r="Q157" s="2" t="s">
        <v>73</v>
      </c>
      <c r="R157" s="29" t="e">
        <f>IF(INDEX(#REF!,MATCH('data '!$B157,#REF!,0),MATCH('data '!R$3,#REF!,0))=0,"",INDEX(#REF!,MATCH('data '!$B157,#REF!,0),MATCH('data '!R$3,#REF!,0)))</f>
        <v>#REF!</v>
      </c>
      <c r="S157" s="29" t="e">
        <f>IF(INDEX(#REF!,MATCH('data '!$B157,#REF!,0),MATCH('data '!S$3,#REF!,0))=0,"",INDEX(#REF!,MATCH('data '!$B157,#REF!,0),MATCH('data '!S$3,#REF!,0)))</f>
        <v>#REF!</v>
      </c>
      <c r="T157" s="29" t="e">
        <f>IF(INDEX(#REF!,MATCH('data '!$B157,#REF!,0),MATCH('data '!T$3,#REF!,0))=0,"",INDEX(#REF!,MATCH('data '!$B157,#REF!,0),MATCH('data '!T$3,#REF!,0)))</f>
        <v>#REF!</v>
      </c>
      <c r="V157" s="25" t="s">
        <v>248</v>
      </c>
      <c r="W157" s="25">
        <v>0</v>
      </c>
      <c r="AC157" s="8" t="e">
        <f>VLOOKUP(B157,#REF!,19,0)</f>
        <v>#REF!</v>
      </c>
      <c r="AP157" s="8" t="str">
        <f t="shared" si="6"/>
        <v>Not yet endorsed</v>
      </c>
      <c r="AQ157" s="10" t="b" cm="1">
        <f t="array" aca="1" ref="AQ157" ca="1">IF(AM157&gt;0,(TODAY()-AM157),IF(AL157&gt;0,(TODAY()-AL157),IF(AK157&gt;0,(TODAY()-AK157,IF(AI157&gt;0,(TODAY()-AI157),IF(AG157&gt;0,(TODAY()-AG157),IF(AF157&gt;0,(TODAY()-AF157),IF(X157&gt;0,(TODAY()-X157)," "))))))))</f>
        <v>0</v>
      </c>
      <c r="BD157" s="2" t="str">
        <f t="shared" si="7"/>
        <v>Not yet endorsed</v>
      </c>
      <c r="BE157" s="2" t="s">
        <v>75</v>
      </c>
      <c r="BG157" s="2" t="e">
        <v>#N/A</v>
      </c>
    </row>
    <row r="158" spans="1:60" hidden="1" x14ac:dyDescent="0.25">
      <c r="B158" s="2" t="s">
        <v>945</v>
      </c>
      <c r="C158" s="2" t="s">
        <v>946</v>
      </c>
      <c r="D158" s="44" t="s">
        <v>947</v>
      </c>
      <c r="E158" s="2" t="s">
        <v>4</v>
      </c>
      <c r="F158" s="2" t="s">
        <v>722</v>
      </c>
      <c r="G158" s="2" t="s">
        <v>1</v>
      </c>
      <c r="H158" s="2" t="s">
        <v>120</v>
      </c>
      <c r="I158" s="2" t="s">
        <v>140</v>
      </c>
      <c r="J158" s="2" t="s">
        <v>122</v>
      </c>
      <c r="K158" s="2" t="s">
        <v>723</v>
      </c>
      <c r="L158" s="2" t="s">
        <v>724</v>
      </c>
      <c r="M158" s="2">
        <v>0</v>
      </c>
      <c r="N158" s="2">
        <v>0</v>
      </c>
      <c r="O158" s="2">
        <v>0</v>
      </c>
      <c r="P158" s="2" t="s">
        <v>944</v>
      </c>
      <c r="Q158" s="2" t="s">
        <v>73</v>
      </c>
      <c r="R158" s="29" t="e">
        <f>IF(INDEX(#REF!,MATCH('data '!$B158,#REF!,0),MATCH('data '!R$3,#REF!,0))=0,"",INDEX(#REF!,MATCH('data '!$B158,#REF!,0),MATCH('data '!R$3,#REF!,0)))</f>
        <v>#REF!</v>
      </c>
      <c r="S158" s="29" t="e">
        <f>IF(INDEX(#REF!,MATCH('data '!$B158,#REF!,0),MATCH('data '!S$3,#REF!,0))=0,"",INDEX(#REF!,MATCH('data '!$B158,#REF!,0),MATCH('data '!S$3,#REF!,0)))</f>
        <v>#REF!</v>
      </c>
      <c r="T158" s="29" t="e">
        <f>IF(INDEX(#REF!,MATCH('data '!$B158,#REF!,0),MATCH('data '!T$3,#REF!,0))=0,"",INDEX(#REF!,MATCH('data '!$B158,#REF!,0),MATCH('data '!T$3,#REF!,0)))</f>
        <v>#REF!</v>
      </c>
      <c r="V158" s="25" t="s">
        <v>125</v>
      </c>
      <c r="W158" s="25">
        <v>0</v>
      </c>
      <c r="AC158" s="8" t="e">
        <f>VLOOKUP(B158,#REF!,19,0)</f>
        <v>#REF!</v>
      </c>
      <c r="AP158" s="8" t="str">
        <f t="shared" si="6"/>
        <v>Not yet endorsed</v>
      </c>
      <c r="AQ158" s="10" t="b" cm="1">
        <f t="array" aca="1" ref="AQ158" ca="1">IF(AM158&gt;0,(TODAY()-AM158),IF(AL158&gt;0,(TODAY()-AL158),IF(AK158&gt;0,(TODAY()-AK158,IF(AI158&gt;0,(TODAY()-AI158),IF(AG158&gt;0,(TODAY()-AG158),IF(AF158&gt;0,(TODAY()-AF158),IF(X158&gt;0,(TODAY()-X158)," "))))))))</f>
        <v>0</v>
      </c>
      <c r="BD158" s="2" t="str">
        <f t="shared" si="7"/>
        <v>Not yet endorsed</v>
      </c>
      <c r="BE158" s="2" t="s">
        <v>75</v>
      </c>
      <c r="BG158" s="2" t="e">
        <v>#N/A</v>
      </c>
    </row>
    <row r="159" spans="1:60" hidden="1" x14ac:dyDescent="0.25">
      <c r="B159" s="2" t="s">
        <v>948</v>
      </c>
      <c r="C159" s="2" t="s">
        <v>949</v>
      </c>
      <c r="D159" s="44" t="s">
        <v>950</v>
      </c>
      <c r="E159" s="2" t="s">
        <v>3</v>
      </c>
      <c r="F159" s="2">
        <v>0</v>
      </c>
      <c r="G159" s="2" t="s">
        <v>1</v>
      </c>
      <c r="H159" s="2" t="s">
        <v>120</v>
      </c>
      <c r="I159" s="2" t="s">
        <v>121</v>
      </c>
      <c r="J159" s="2" t="s">
        <v>141</v>
      </c>
      <c r="K159" s="2" t="s">
        <v>370</v>
      </c>
      <c r="L159" s="2" t="s">
        <v>388</v>
      </c>
      <c r="M159" s="2">
        <v>0</v>
      </c>
      <c r="N159" s="2">
        <v>0</v>
      </c>
      <c r="O159" s="2">
        <v>0</v>
      </c>
      <c r="P159" s="2" t="s">
        <v>125</v>
      </c>
      <c r="Q159" s="2">
        <v>0</v>
      </c>
      <c r="R159" s="29" t="e">
        <f>IF(INDEX(#REF!,MATCH('data '!$B159,#REF!,0),MATCH('data '!R$3,#REF!,0))=0,"",INDEX(#REF!,MATCH('data '!$B159,#REF!,0),MATCH('data '!R$3,#REF!,0)))</f>
        <v>#REF!</v>
      </c>
      <c r="S159" s="29" t="e">
        <f>IF(INDEX(#REF!,MATCH('data '!$B159,#REF!,0),MATCH('data '!S$3,#REF!,0))=0,"",INDEX(#REF!,MATCH('data '!$B159,#REF!,0),MATCH('data '!S$3,#REF!,0)))</f>
        <v>#REF!</v>
      </c>
      <c r="T159" s="29" t="e">
        <f>IF(INDEX(#REF!,MATCH('data '!$B159,#REF!,0),MATCH('data '!T$3,#REF!,0))=0,"",INDEX(#REF!,MATCH('data '!$B159,#REF!,0),MATCH('data '!T$3,#REF!,0)))</f>
        <v>#REF!</v>
      </c>
      <c r="V159" s="25" t="s">
        <v>204</v>
      </c>
      <c r="W159" s="25">
        <v>0</v>
      </c>
      <c r="AC159" s="8" t="e">
        <f>VLOOKUP(B159,#REF!,19,0)</f>
        <v>#REF!</v>
      </c>
      <c r="AP159" s="8" t="str">
        <f t="shared" si="6"/>
        <v>Not yet endorsed</v>
      </c>
      <c r="AQ159" s="10" t="b" cm="1">
        <f t="array" aca="1" ref="AQ159" ca="1">IF(AM159&gt;0,(TODAY()-AM159),IF(AL159&gt;0,(TODAY()-AL159),IF(AK159&gt;0,(TODAY()-AK159,IF(AI159&gt;0,(TODAY()-AI159),IF(AG159&gt;0,(TODAY()-AG159),IF(AF159&gt;0,(TODAY()-AF159),IF(X159&gt;0,(TODAY()-X159)," "))))))))</f>
        <v>0</v>
      </c>
      <c r="BD159" s="2" t="str">
        <f t="shared" si="7"/>
        <v>Not yet endorsed</v>
      </c>
      <c r="BE159" s="2" t="s">
        <v>75</v>
      </c>
      <c r="BG159" s="2" t="e">
        <v>#N/A</v>
      </c>
      <c r="BH159" s="2" t="e" vm="1">
        <v>#REF!</v>
      </c>
    </row>
    <row r="160" spans="1:60" hidden="1" x14ac:dyDescent="0.25">
      <c r="B160" s="26" t="s">
        <v>951</v>
      </c>
      <c r="C160" s="26" t="s">
        <v>952</v>
      </c>
      <c r="D160" s="46" t="s">
        <v>953</v>
      </c>
      <c r="E160" s="2" t="s">
        <v>5</v>
      </c>
      <c r="F160" s="2" t="s">
        <v>382</v>
      </c>
      <c r="G160" s="2" t="s">
        <v>1</v>
      </c>
      <c r="H160" s="2" t="s">
        <v>120</v>
      </c>
      <c r="I160" s="2" t="s">
        <v>140</v>
      </c>
      <c r="J160" s="2" t="s">
        <v>141</v>
      </c>
      <c r="K160" s="2" t="s">
        <v>370</v>
      </c>
      <c r="L160" s="2" t="s">
        <v>388</v>
      </c>
      <c r="M160" s="2">
        <v>0</v>
      </c>
      <c r="N160" s="2">
        <v>0</v>
      </c>
      <c r="O160" s="2">
        <v>0</v>
      </c>
      <c r="P160" s="2" t="s">
        <v>87</v>
      </c>
      <c r="Q160" s="2" t="s">
        <v>73</v>
      </c>
      <c r="R160" s="29" t="e">
        <f>IF(INDEX(#REF!,MATCH('data '!$B160,#REF!,0),MATCH('data '!R$3,#REF!,0))=0,"",INDEX(#REF!,MATCH('data '!$B160,#REF!,0),MATCH('data '!R$3,#REF!,0)))</f>
        <v>#REF!</v>
      </c>
      <c r="S160" s="29" t="e">
        <f>IF(INDEX(#REF!,MATCH('data '!$B160,#REF!,0),MATCH('data '!S$3,#REF!,0))=0,"",INDEX(#REF!,MATCH('data '!$B160,#REF!,0),MATCH('data '!S$3,#REF!,0)))</f>
        <v>#REF!</v>
      </c>
      <c r="T160" s="29" t="e">
        <f>IF(INDEX(#REF!,MATCH('data '!$B160,#REF!,0),MATCH('data '!T$3,#REF!,0))=0,"",INDEX(#REF!,MATCH('data '!$B160,#REF!,0),MATCH('data '!T$3,#REF!,0)))</f>
        <v>#REF!</v>
      </c>
      <c r="U160" s="8" t="s">
        <v>25</v>
      </c>
      <c r="V160" s="25" t="s">
        <v>87</v>
      </c>
      <c r="W160" s="25" t="s">
        <v>144</v>
      </c>
      <c r="X160" s="43" t="s">
        <v>25</v>
      </c>
      <c r="Y160" s="43">
        <v>45932</v>
      </c>
      <c r="AC160" s="8" t="e">
        <f>VLOOKUP(B160,#REF!,19,0)</f>
        <v>#REF!</v>
      </c>
      <c r="AE160" s="8" t="s">
        <v>295</v>
      </c>
      <c r="AF160" s="8">
        <v>45938</v>
      </c>
      <c r="AG160" s="8">
        <v>45946</v>
      </c>
      <c r="AH160" s="8" t="s">
        <v>954</v>
      </c>
      <c r="AI160" s="8">
        <v>45950</v>
      </c>
      <c r="AJ160" s="8" t="s">
        <v>955</v>
      </c>
      <c r="AK160" s="8">
        <v>45939</v>
      </c>
      <c r="AP160" s="8" t="str">
        <f t="shared" si="6"/>
        <v>COOP Surveyed</v>
      </c>
      <c r="AQ160" s="10" t="e" cm="1">
        <f t="array" aca="1" ref="AQ160" ca="1">IF(AM160&gt;0,(TODAY()-AM160),IF(AL160&gt;0,(TODAY()-AL160),IF(AK160&gt;0,(TODAY()-AK160,IF(AI160&gt;0,(TODAY()-AI160),IF(AG160&gt;0,(TODAY()-AG160),IF(AF160&gt;0,(TODAY()-AF160),IF(X160&gt;0,(TODAY()-X160)," "))))))))</f>
        <v>#VALUE!</v>
      </c>
      <c r="AS160" s="8" t="s">
        <v>956</v>
      </c>
      <c r="AT160" s="8">
        <v>45994</v>
      </c>
      <c r="AU160" s="8">
        <v>45994</v>
      </c>
      <c r="AV160" s="8">
        <v>45994</v>
      </c>
      <c r="AW160" s="8" t="s">
        <v>957</v>
      </c>
      <c r="AX160" s="8">
        <v>45995</v>
      </c>
      <c r="AY160" s="8" t="s">
        <v>958</v>
      </c>
      <c r="BD160" s="2" t="str">
        <f t="shared" si="7"/>
        <v>PO Issued</v>
      </c>
      <c r="BE160" s="2">
        <v>2</v>
      </c>
      <c r="BG160" s="2" t="s">
        <v>540</v>
      </c>
      <c r="BH160" s="2" t="e" vm="1">
        <v>#REF!</v>
      </c>
    </row>
    <row r="161" spans="2:60" hidden="1" x14ac:dyDescent="0.25">
      <c r="B161" s="2" t="s">
        <v>959</v>
      </c>
      <c r="C161" s="2" t="s">
        <v>960</v>
      </c>
      <c r="D161" s="44" t="s">
        <v>961</v>
      </c>
      <c r="E161" s="2" t="s">
        <v>6</v>
      </c>
      <c r="F161" s="2" t="s">
        <v>962</v>
      </c>
      <c r="G161" s="2" t="s">
        <v>1</v>
      </c>
      <c r="H161" s="2" t="s">
        <v>111</v>
      </c>
      <c r="I161" s="2" t="s">
        <v>112</v>
      </c>
      <c r="J161" s="2" t="s">
        <v>344</v>
      </c>
      <c r="K161" s="2" t="s">
        <v>963</v>
      </c>
      <c r="L161" s="2" t="s">
        <v>964</v>
      </c>
      <c r="M161" s="2" t="s">
        <v>965</v>
      </c>
      <c r="N161" s="2">
        <v>11.982113999999999</v>
      </c>
      <c r="O161" s="2">
        <v>121.914314</v>
      </c>
      <c r="P161" s="2" t="s">
        <v>88</v>
      </c>
      <c r="Q161" s="2" t="s">
        <v>73</v>
      </c>
      <c r="R161" s="29" t="e">
        <f>IF(INDEX(#REF!,MATCH('data '!$B161,#REF!,0),MATCH('data '!R$3,#REF!,0))=0,"",INDEX(#REF!,MATCH('data '!$B161,#REF!,0),MATCH('data '!R$3,#REF!,0)))</f>
        <v>#REF!</v>
      </c>
      <c r="S161" s="29" t="e">
        <f>IF(INDEX(#REF!,MATCH('data '!$B161,#REF!,0),MATCH('data '!S$3,#REF!,0))=0,"",INDEX(#REF!,MATCH('data '!$B161,#REF!,0),MATCH('data '!S$3,#REF!,0)))</f>
        <v>#REF!</v>
      </c>
      <c r="T161" s="29" t="e">
        <f>IF(INDEX(#REF!,MATCH('data '!$B161,#REF!,0),MATCH('data '!T$3,#REF!,0))=0,"",INDEX(#REF!,MATCH('data '!$B161,#REF!,0),MATCH('data '!T$3,#REF!,0)))</f>
        <v>#REF!</v>
      </c>
      <c r="U161" s="8" t="s">
        <v>25</v>
      </c>
      <c r="V161" s="25" t="s">
        <v>160</v>
      </c>
      <c r="W161" s="25" t="s">
        <v>144</v>
      </c>
      <c r="X161" s="9" t="s">
        <v>25</v>
      </c>
      <c r="Y161" s="9">
        <v>45960</v>
      </c>
      <c r="AC161" s="8" t="e">
        <f>VLOOKUP(B161,#REF!,19,0)</f>
        <v>#REF!</v>
      </c>
      <c r="AE161" s="8" t="s">
        <v>966</v>
      </c>
      <c r="AF161" s="8">
        <v>45957</v>
      </c>
      <c r="AG161" s="8">
        <v>45957</v>
      </c>
      <c r="AH161" s="8" t="s">
        <v>967</v>
      </c>
      <c r="AI161" s="8">
        <v>45964</v>
      </c>
      <c r="AJ161" s="8" t="s">
        <v>968</v>
      </c>
      <c r="AP161" s="8" t="str">
        <f t="shared" si="6"/>
        <v>PO Issued</v>
      </c>
      <c r="AQ161" s="10" t="b" cm="1">
        <f t="array" aca="1" ref="AQ161" ca="1">IF(AM161&gt;0,(TODAY()-AM161),IF(AL161&gt;0,(TODAY()-AL161),IF(AK161&gt;0,(TODAY()-AK161,IF(AI161&gt;0,(TODAY()-AI161),IF(AG161&gt;0,(TODAY()-AG161),IF(AF161&gt;0,(TODAY()-AF161),IF(X161&gt;0,(TODAY()-X161)," "))))))))</f>
        <v>0</v>
      </c>
      <c r="BD161" s="2" t="str">
        <f t="shared" si="7"/>
        <v>Vendor Allocated</v>
      </c>
      <c r="BE161" s="2" t="e">
        <v>#VALUE!</v>
      </c>
      <c r="BG161" s="2" t="e">
        <v>#N/A</v>
      </c>
    </row>
    <row r="162" spans="2:60" hidden="1" x14ac:dyDescent="0.25">
      <c r="B162" s="2" t="s">
        <v>969</v>
      </c>
      <c r="C162" s="2" t="s">
        <v>970</v>
      </c>
      <c r="D162" s="44" t="s">
        <v>971</v>
      </c>
      <c r="E162" s="2" t="s">
        <v>11</v>
      </c>
      <c r="F162" s="2" t="s">
        <v>480</v>
      </c>
      <c r="G162" s="2" t="s">
        <v>1</v>
      </c>
      <c r="H162" s="2" t="s">
        <v>67</v>
      </c>
      <c r="I162" s="2" t="s">
        <v>68</v>
      </c>
      <c r="J162" s="2" t="s">
        <v>330</v>
      </c>
      <c r="K162" s="2" t="s">
        <v>331</v>
      </c>
      <c r="L162" s="2" t="s">
        <v>972</v>
      </c>
      <c r="M162" s="2" t="s">
        <v>973</v>
      </c>
      <c r="N162" s="2">
        <v>6.9962</v>
      </c>
      <c r="O162" s="2">
        <v>125.052522</v>
      </c>
      <c r="P162" s="2" t="s">
        <v>87</v>
      </c>
      <c r="Q162" s="2" t="s">
        <v>265</v>
      </c>
      <c r="R162" s="29" t="e">
        <f>IF(INDEX(#REF!,MATCH('data '!$B162,#REF!,0),MATCH('data '!R$3,#REF!,0))=0,"",INDEX(#REF!,MATCH('data '!$B162,#REF!,0),MATCH('data '!R$3,#REF!,0)))</f>
        <v>#REF!</v>
      </c>
      <c r="S162" s="29" t="e">
        <f>IF(INDEX(#REF!,MATCH('data '!$B162,#REF!,0),MATCH('data '!S$3,#REF!,0))=0,"",INDEX(#REF!,MATCH('data '!$B162,#REF!,0),MATCH('data '!S$3,#REF!,0)))</f>
        <v>#REF!</v>
      </c>
      <c r="T162" s="29" t="e">
        <f>IF(INDEX(#REF!,MATCH('data '!$B162,#REF!,0),MATCH('data '!T$3,#REF!,0))=0,"",INDEX(#REF!,MATCH('data '!$B162,#REF!,0),MATCH('data '!T$3,#REF!,0)))</f>
        <v>#REF!</v>
      </c>
      <c r="V162" s="25" t="s">
        <v>185</v>
      </c>
      <c r="W162" s="25" t="s">
        <v>144</v>
      </c>
      <c r="X162" s="43" t="s">
        <v>25</v>
      </c>
      <c r="Y162" s="43">
        <v>45859</v>
      </c>
      <c r="Z162" s="8">
        <v>45696</v>
      </c>
      <c r="AA162" s="8">
        <v>45878</v>
      </c>
      <c r="AC162" s="8" t="e">
        <f>VLOOKUP(B162,#REF!,19,0)</f>
        <v>#REF!</v>
      </c>
      <c r="AP162" s="8" t="str">
        <f t="shared" si="6"/>
        <v>BP Secured</v>
      </c>
      <c r="AQ162" s="10" t="b" cm="1">
        <f t="array" aca="1" ref="AQ162" ca="1">IF(AM162&gt;0,(TODAY()-AM162),IF(AL162&gt;0,(TODAY()-AL162),IF(AK162&gt;0,(TODAY()-AK162,IF(AI162&gt;0,(TODAY()-AI162),IF(AG162&gt;0,(TODAY()-AG162),IF(AF162&gt;0,(TODAY()-AF162),IF(X162&gt;0,(TODAY()-X162)," "))))))))</f>
        <v>0</v>
      </c>
      <c r="BD162" s="2" t="str">
        <f t="shared" si="7"/>
        <v>BP Secured</v>
      </c>
      <c r="BE162" s="2" t="e">
        <v>#VALUE!</v>
      </c>
      <c r="BG162" s="2" t="e">
        <v>#N/A</v>
      </c>
    </row>
    <row r="163" spans="2:60" hidden="1" x14ac:dyDescent="0.25">
      <c r="B163" s="2" t="s">
        <v>974</v>
      </c>
      <c r="C163" s="2" t="s">
        <v>975</v>
      </c>
      <c r="D163" s="44" t="s">
        <v>976</v>
      </c>
      <c r="E163" s="2" t="s">
        <v>11</v>
      </c>
      <c r="F163" s="2">
        <v>0</v>
      </c>
      <c r="G163" s="2" t="s">
        <v>1</v>
      </c>
      <c r="H163" s="2" t="s">
        <v>67</v>
      </c>
      <c r="I163" s="2" t="s">
        <v>68</v>
      </c>
      <c r="J163" s="2" t="s">
        <v>330</v>
      </c>
      <c r="K163" s="2" t="s">
        <v>331</v>
      </c>
      <c r="L163" s="2" t="s">
        <v>332</v>
      </c>
      <c r="M163" s="2" t="s">
        <v>977</v>
      </c>
      <c r="N163" s="2">
        <v>7.2044139999999999</v>
      </c>
      <c r="O163" s="2">
        <v>124.55428499999999</v>
      </c>
      <c r="P163" s="2" t="s">
        <v>87</v>
      </c>
      <c r="Q163" s="2" t="s">
        <v>265</v>
      </c>
      <c r="R163" s="29" t="e">
        <f>IF(INDEX(#REF!,MATCH('data '!$B163,#REF!,0),MATCH('data '!R$3,#REF!,0))=0,"",INDEX(#REF!,MATCH('data '!$B163,#REF!,0),MATCH('data '!R$3,#REF!,0)))</f>
        <v>#REF!</v>
      </c>
      <c r="S163" s="29" t="e">
        <f>IF(INDEX(#REF!,MATCH('data '!$B163,#REF!,0),MATCH('data '!S$3,#REF!,0))=0,"",INDEX(#REF!,MATCH('data '!$B163,#REF!,0),MATCH('data '!S$3,#REF!,0)))</f>
        <v>#REF!</v>
      </c>
      <c r="T163" s="29" t="e">
        <f>IF(INDEX(#REF!,MATCH('data '!$B163,#REF!,0),MATCH('data '!T$3,#REF!,0))=0,"",INDEX(#REF!,MATCH('data '!$B163,#REF!,0),MATCH('data '!T$3,#REF!,0)))</f>
        <v>#REF!</v>
      </c>
      <c r="V163" s="25" t="s">
        <v>266</v>
      </c>
      <c r="W163" s="25" t="s">
        <v>144</v>
      </c>
      <c r="X163" s="43" t="s">
        <v>25</v>
      </c>
      <c r="Y163" s="43">
        <v>45835</v>
      </c>
      <c r="Z163" s="8">
        <v>45845</v>
      </c>
      <c r="AA163" s="8">
        <v>45999</v>
      </c>
      <c r="AC163" s="8" t="e">
        <f>VLOOKUP(B163,#REF!,19,0)</f>
        <v>#REF!</v>
      </c>
      <c r="AE163" s="8" t="s">
        <v>978</v>
      </c>
      <c r="AP163" s="8" t="str">
        <f t="shared" si="6"/>
        <v>BP Secured</v>
      </c>
      <c r="AQ163" s="10" t="b" cm="1">
        <f t="array" aca="1" ref="AQ163" ca="1">IF(AM163&gt;0,(TODAY()-AM163),IF(AL163&gt;0,(TODAY()-AL163),IF(AK163&gt;0,(TODAY()-AK163,IF(AI163&gt;0,(TODAY()-AI163),IF(AG163&gt;0,(TODAY()-AG163),IF(AF163&gt;0,(TODAY()-AF163),IF(X163&gt;0,(TODAY()-X163)," "))))))))</f>
        <v>0</v>
      </c>
      <c r="AT163" s="8">
        <v>45917</v>
      </c>
      <c r="AU163" s="8">
        <v>45929</v>
      </c>
      <c r="AV163" s="8">
        <v>45929</v>
      </c>
      <c r="AX163" s="8">
        <v>45932</v>
      </c>
      <c r="BD163" s="2" t="str">
        <f t="shared" si="7"/>
        <v>PO Issued</v>
      </c>
      <c r="BE163" s="2">
        <v>8</v>
      </c>
      <c r="BG163" s="2" t="e">
        <v>#N/A</v>
      </c>
    </row>
    <row r="164" spans="2:60" hidden="1" x14ac:dyDescent="0.25">
      <c r="B164" s="2" t="s">
        <v>979</v>
      </c>
      <c r="C164" s="2" t="s">
        <v>980</v>
      </c>
      <c r="D164" s="44" t="s">
        <v>981</v>
      </c>
      <c r="E164" s="2" t="s">
        <v>11</v>
      </c>
      <c r="F164" s="2">
        <v>0</v>
      </c>
      <c r="G164" s="2" t="s">
        <v>1</v>
      </c>
      <c r="H164" s="2" t="s">
        <v>67</v>
      </c>
      <c r="I164" s="2" t="s">
        <v>68</v>
      </c>
      <c r="J164" s="2" t="s">
        <v>330</v>
      </c>
      <c r="K164" s="2" t="s">
        <v>331</v>
      </c>
      <c r="L164" s="2" t="s">
        <v>332</v>
      </c>
      <c r="M164" s="2" t="s">
        <v>639</v>
      </c>
      <c r="N164" s="2">
        <v>7.1582356999999996</v>
      </c>
      <c r="O164" s="2">
        <v>124.5123341</v>
      </c>
      <c r="P164" s="2" t="s">
        <v>87</v>
      </c>
      <c r="Q164" s="2" t="s">
        <v>227</v>
      </c>
      <c r="R164" s="29" t="e">
        <f>IF(INDEX(#REF!,MATCH('data '!$B164,#REF!,0),MATCH('data '!R$3,#REF!,0))=0,"",INDEX(#REF!,MATCH('data '!$B164,#REF!,0),MATCH('data '!R$3,#REF!,0)))</f>
        <v>#REF!</v>
      </c>
      <c r="S164" s="29" t="e">
        <f>IF(INDEX(#REF!,MATCH('data '!$B164,#REF!,0),MATCH('data '!S$3,#REF!,0))=0,"",INDEX(#REF!,MATCH('data '!$B164,#REF!,0),MATCH('data '!S$3,#REF!,0)))</f>
        <v>#REF!</v>
      </c>
      <c r="T164" s="29" t="e">
        <f>IF(INDEX(#REF!,MATCH('data '!$B164,#REF!,0),MATCH('data '!T$3,#REF!,0))=0,"",INDEX(#REF!,MATCH('data '!$B164,#REF!,0),MATCH('data '!T$3,#REF!,0)))</f>
        <v>#REF!</v>
      </c>
      <c r="V164" s="25" t="s">
        <v>160</v>
      </c>
      <c r="W164" s="25" t="s">
        <v>144</v>
      </c>
      <c r="X164" s="43" t="s">
        <v>25</v>
      </c>
      <c r="Y164" s="43">
        <v>45875</v>
      </c>
      <c r="AC164" s="8" t="e">
        <f>VLOOKUP(B164,#REF!,19,0)</f>
        <v>#REF!</v>
      </c>
      <c r="AP164" s="8" t="str">
        <f t="shared" si="6"/>
        <v>BP Secured</v>
      </c>
      <c r="AQ164" s="10" t="b" cm="1">
        <f t="array" aca="1" ref="AQ164" ca="1">IF(AM164&gt;0,(TODAY()-AM164),IF(AL164&gt;0,(TODAY()-AL164),IF(AK164&gt;0,(TODAY()-AK164,IF(AI164&gt;0,(TODAY()-AI164),IF(AG164&gt;0,(TODAY()-AG164),IF(AF164&gt;0,(TODAY()-AF164),IF(X164&gt;0,(TODAY()-X164)," "))))))))</f>
        <v>0</v>
      </c>
      <c r="BD164" s="2" t="str">
        <f t="shared" si="7"/>
        <v>BP Secured</v>
      </c>
      <c r="BE164" s="2" t="e">
        <v>#VALUE!</v>
      </c>
      <c r="BG164" s="2" t="e">
        <v>#N/A</v>
      </c>
    </row>
    <row r="165" spans="2:60" hidden="1" x14ac:dyDescent="0.25">
      <c r="B165" s="2" t="s">
        <v>982</v>
      </c>
      <c r="C165" s="2" t="s">
        <v>983</v>
      </c>
      <c r="D165" s="44" t="s">
        <v>984</v>
      </c>
      <c r="E165" s="2" t="s">
        <v>11</v>
      </c>
      <c r="F165" s="2" t="s">
        <v>216</v>
      </c>
      <c r="G165" s="2" t="s">
        <v>1</v>
      </c>
      <c r="H165" s="2" t="s">
        <v>165</v>
      </c>
      <c r="I165" s="2" t="s">
        <v>68</v>
      </c>
      <c r="J165" s="2" t="s">
        <v>69</v>
      </c>
      <c r="K165" s="2" t="s">
        <v>217</v>
      </c>
      <c r="L165" s="2" t="s">
        <v>985</v>
      </c>
      <c r="M165" s="2">
        <v>0</v>
      </c>
      <c r="N165" s="2">
        <v>6.6865483330000002</v>
      </c>
      <c r="O165" s="2">
        <v>121.9517067</v>
      </c>
      <c r="P165" s="2" t="s">
        <v>87</v>
      </c>
      <c r="Q165" s="2" t="s">
        <v>184</v>
      </c>
      <c r="R165" s="29" t="e">
        <f>IF(INDEX(#REF!,MATCH('data '!$B165,#REF!,0),MATCH('data '!R$3,#REF!,0))=0,"",INDEX(#REF!,MATCH('data '!$B165,#REF!,0),MATCH('data '!R$3,#REF!,0)))</f>
        <v>#REF!</v>
      </c>
      <c r="S165" s="29" t="e">
        <f>IF(INDEX(#REF!,MATCH('data '!$B165,#REF!,0),MATCH('data '!S$3,#REF!,0))=0,"",INDEX(#REF!,MATCH('data '!$B165,#REF!,0),MATCH('data '!S$3,#REF!,0)))</f>
        <v>#REF!</v>
      </c>
      <c r="T165" s="29" t="e">
        <f>IF(INDEX(#REF!,MATCH('data '!$B165,#REF!,0),MATCH('data '!T$3,#REF!,0))=0,"",INDEX(#REF!,MATCH('data '!$B165,#REF!,0),MATCH('data '!T$3,#REF!,0)))</f>
        <v>#REF!</v>
      </c>
      <c r="V165" s="25" t="s">
        <v>185</v>
      </c>
      <c r="W165" s="25" t="s">
        <v>144</v>
      </c>
      <c r="X165" s="43" t="s">
        <v>25</v>
      </c>
      <c r="Y165" s="43">
        <v>45856</v>
      </c>
      <c r="AA165" s="8" t="s">
        <v>986</v>
      </c>
      <c r="AC165" s="8" t="e">
        <f>VLOOKUP(B165,#REF!,19,0)</f>
        <v>#REF!</v>
      </c>
      <c r="AP165" s="8" t="str">
        <f t="shared" si="6"/>
        <v>BP Secured</v>
      </c>
      <c r="AQ165" s="10" t="b" cm="1">
        <f t="array" aca="1" ref="AQ165" ca="1">IF(AM165&gt;0,(TODAY()-AM165),IF(AL165&gt;0,(TODAY()-AL165),IF(AK165&gt;0,(TODAY()-AK165,IF(AI165&gt;0,(TODAY()-AI165),IF(AG165&gt;0,(TODAY()-AG165),IF(AF165&gt;0,(TODAY()-AF165),IF(X165&gt;0,(TODAY()-X165)," "))))))))</f>
        <v>0</v>
      </c>
      <c r="BD165" s="2" t="str">
        <f t="shared" si="7"/>
        <v>BP Secured</v>
      </c>
      <c r="BE165" s="2" t="e">
        <v>#VALUE!</v>
      </c>
      <c r="BG165" s="2" t="e">
        <v>#N/A</v>
      </c>
    </row>
    <row r="166" spans="2:60" hidden="1" x14ac:dyDescent="0.25">
      <c r="B166" s="2" t="s">
        <v>987</v>
      </c>
      <c r="C166" s="2" t="s">
        <v>988</v>
      </c>
      <c r="D166" s="44" t="s">
        <v>989</v>
      </c>
      <c r="E166" s="2" t="s">
        <v>11</v>
      </c>
      <c r="F166" s="2" t="s">
        <v>480</v>
      </c>
      <c r="G166" s="2" t="s">
        <v>1</v>
      </c>
      <c r="H166" s="2" t="s">
        <v>67</v>
      </c>
      <c r="I166" s="2" t="s">
        <v>68</v>
      </c>
      <c r="J166" s="2" t="e">
        <v>#N/A</v>
      </c>
      <c r="K166" s="2" t="e">
        <v>#N/A</v>
      </c>
      <c r="L166" s="2" t="e">
        <v>#N/A</v>
      </c>
      <c r="M166" s="2" t="e">
        <v>#N/A</v>
      </c>
      <c r="N166" s="2" t="e">
        <v>#N/A</v>
      </c>
      <c r="O166" s="2" t="e">
        <v>#N/A</v>
      </c>
      <c r="P166" s="2" t="s">
        <v>482</v>
      </c>
      <c r="Q166" s="2">
        <v>0</v>
      </c>
      <c r="R166" s="29" t="e">
        <f>IF(INDEX(#REF!,MATCH('data '!$B166,#REF!,0),MATCH('data '!R$3,#REF!,0))=0,"",INDEX(#REF!,MATCH('data '!$B166,#REF!,0),MATCH('data '!R$3,#REF!,0)))</f>
        <v>#REF!</v>
      </c>
      <c r="S166" s="29" t="e">
        <f>IF(INDEX(#REF!,MATCH('data '!$B166,#REF!,0),MATCH('data '!S$3,#REF!,0))=0,"",INDEX(#REF!,MATCH('data '!$B166,#REF!,0),MATCH('data '!S$3,#REF!,0)))</f>
        <v>#REF!</v>
      </c>
      <c r="T166" s="29" t="e">
        <f>IF(INDEX(#REF!,MATCH('data '!$B166,#REF!,0),MATCH('data '!T$3,#REF!,0))=0,"",INDEX(#REF!,MATCH('data '!$B166,#REF!,0),MATCH('data '!T$3,#REF!,0)))</f>
        <v>#REF!</v>
      </c>
      <c r="V166" s="25" t="s">
        <v>74</v>
      </c>
      <c r="W166" s="25">
        <v>0</v>
      </c>
      <c r="AC166" s="8" t="e">
        <f>VLOOKUP(B166,#REF!,19,0)</f>
        <v>#REF!</v>
      </c>
      <c r="AP166" s="8" t="str">
        <f t="shared" si="6"/>
        <v>Not yet endorsed</v>
      </c>
      <c r="AQ166" s="10" t="b" cm="1">
        <f t="array" aca="1" ref="AQ166" ca="1">IF(AM166&gt;0,(TODAY()-AM166),IF(AL166&gt;0,(TODAY()-AL166),IF(AK166&gt;0,(TODAY()-AK166,IF(AI166&gt;0,(TODAY()-AI166),IF(AG166&gt;0,(TODAY()-AG166),IF(AF166&gt;0,(TODAY()-AF166),IF(X166&gt;0,(TODAY()-X166)," "))))))))</f>
        <v>0</v>
      </c>
      <c r="BD166" s="2" t="str">
        <f t="shared" si="7"/>
        <v>Not yet endorsed</v>
      </c>
      <c r="BE166" s="2" t="s">
        <v>75</v>
      </c>
      <c r="BG166" s="2" t="e">
        <v>#N/A</v>
      </c>
    </row>
    <row r="167" spans="2:60" hidden="1" x14ac:dyDescent="0.25">
      <c r="B167" s="2" t="s">
        <v>990</v>
      </c>
      <c r="C167" s="2" t="s">
        <v>991</v>
      </c>
      <c r="D167" s="44" t="s">
        <v>992</v>
      </c>
      <c r="E167" s="2" t="s">
        <v>11</v>
      </c>
      <c r="F167" s="2" t="s">
        <v>597</v>
      </c>
      <c r="G167" s="2" t="s">
        <v>1</v>
      </c>
      <c r="H167" s="2" t="s">
        <v>165</v>
      </c>
      <c r="I167" s="2" t="s">
        <v>68</v>
      </c>
      <c r="J167" s="2" t="s">
        <v>239</v>
      </c>
      <c r="K167" s="2" t="s">
        <v>598</v>
      </c>
      <c r="L167" s="2" t="s">
        <v>599</v>
      </c>
      <c r="M167" s="2">
        <v>0</v>
      </c>
      <c r="N167" s="2">
        <v>0</v>
      </c>
      <c r="O167" s="2">
        <v>0</v>
      </c>
      <c r="P167" s="2" t="s">
        <v>72</v>
      </c>
      <c r="Q167" s="2" t="s">
        <v>73</v>
      </c>
      <c r="R167" s="29" t="e">
        <f>IF(INDEX(#REF!,MATCH('data '!$B167,#REF!,0),MATCH('data '!R$3,#REF!,0))=0,"",INDEX(#REF!,MATCH('data '!$B167,#REF!,0),MATCH('data '!R$3,#REF!,0)))</f>
        <v>#REF!</v>
      </c>
      <c r="S167" s="29" t="e">
        <f>IF(INDEX(#REF!,MATCH('data '!$B167,#REF!,0),MATCH('data '!S$3,#REF!,0))=0,"",INDEX(#REF!,MATCH('data '!$B167,#REF!,0),MATCH('data '!S$3,#REF!,0)))</f>
        <v>#REF!</v>
      </c>
      <c r="T167" s="29" t="e">
        <f>IF(INDEX(#REF!,MATCH('data '!$B167,#REF!,0),MATCH('data '!T$3,#REF!,0))=0,"",INDEX(#REF!,MATCH('data '!$B167,#REF!,0),MATCH('data '!T$3,#REF!,0)))</f>
        <v>#REF!</v>
      </c>
      <c r="V167" s="25" t="s">
        <v>74</v>
      </c>
      <c r="W167" s="25">
        <v>0</v>
      </c>
      <c r="AC167" s="8" t="e">
        <f>VLOOKUP(B167,#REF!,19,0)</f>
        <v>#REF!</v>
      </c>
      <c r="AP167" s="8" t="str">
        <f t="shared" si="6"/>
        <v>Not yet endorsed</v>
      </c>
      <c r="AQ167" s="10" t="b" cm="1">
        <f t="array" aca="1" ref="AQ167" ca="1">IF(AM167&gt;0,(TODAY()-AM167),IF(AL167&gt;0,(TODAY()-AL167),IF(AK167&gt;0,(TODAY()-AK167,IF(AI167&gt;0,(TODAY()-AI167),IF(AG167&gt;0,(TODAY()-AG167),IF(AF167&gt;0,(TODAY()-AF167),IF(X167&gt;0,(TODAY()-X167)," "))))))))</f>
        <v>0</v>
      </c>
      <c r="BD167" s="2" t="str">
        <f t="shared" si="7"/>
        <v>Not yet endorsed</v>
      </c>
      <c r="BE167" s="2" t="s">
        <v>75</v>
      </c>
      <c r="BG167" s="2" t="e">
        <v>#N/A</v>
      </c>
    </row>
    <row r="168" spans="2:60" hidden="1" x14ac:dyDescent="0.25">
      <c r="B168" s="2" t="s">
        <v>993</v>
      </c>
      <c r="C168" s="2" t="s">
        <v>994</v>
      </c>
      <c r="D168" s="44" t="s">
        <v>995</v>
      </c>
      <c r="E168" s="2" t="s">
        <v>4</v>
      </c>
      <c r="F168" s="2" t="s">
        <v>722</v>
      </c>
      <c r="G168" s="2" t="s">
        <v>1</v>
      </c>
      <c r="H168" s="2" t="s">
        <v>120</v>
      </c>
      <c r="I168" s="2" t="s">
        <v>140</v>
      </c>
      <c r="J168" s="2" t="s">
        <v>122</v>
      </c>
      <c r="K168" s="2" t="s">
        <v>723</v>
      </c>
      <c r="L168" s="2" t="s">
        <v>724</v>
      </c>
      <c r="M168" s="2">
        <v>0</v>
      </c>
      <c r="N168" s="2">
        <v>0</v>
      </c>
      <c r="O168" s="2">
        <v>0</v>
      </c>
      <c r="P168" s="2" t="s">
        <v>944</v>
      </c>
      <c r="Q168" s="2" t="s">
        <v>73</v>
      </c>
      <c r="R168" s="29" t="e">
        <f>IF(INDEX(#REF!,MATCH('data '!$B168,#REF!,0),MATCH('data '!R$3,#REF!,0))=0,"",INDEX(#REF!,MATCH('data '!$B168,#REF!,0),MATCH('data '!R$3,#REF!,0)))</f>
        <v>#REF!</v>
      </c>
      <c r="S168" s="29" t="e">
        <f>IF(INDEX(#REF!,MATCH('data '!$B168,#REF!,0),MATCH('data '!S$3,#REF!,0))=0,"",INDEX(#REF!,MATCH('data '!$B168,#REF!,0),MATCH('data '!S$3,#REF!,0)))</f>
        <v>#REF!</v>
      </c>
      <c r="T168" s="29" t="e">
        <f>IF(INDEX(#REF!,MATCH('data '!$B168,#REF!,0),MATCH('data '!T$3,#REF!,0))=0,"",INDEX(#REF!,MATCH('data '!$B168,#REF!,0),MATCH('data '!T$3,#REF!,0)))</f>
        <v>#REF!</v>
      </c>
      <c r="V168" s="25" t="s">
        <v>248</v>
      </c>
      <c r="W168" s="25">
        <v>0</v>
      </c>
      <c r="AC168" s="8" t="e">
        <f>VLOOKUP(B168,#REF!,19,0)</f>
        <v>#REF!</v>
      </c>
      <c r="AP168" s="8" t="str">
        <f t="shared" si="6"/>
        <v>Not yet endorsed</v>
      </c>
      <c r="AQ168" s="10" t="b" cm="1">
        <f t="array" aca="1" ref="AQ168" ca="1">IF(AM168&gt;0,(TODAY()-AM168),IF(AL168&gt;0,(TODAY()-AL168),IF(AK168&gt;0,(TODAY()-AK168,IF(AI168&gt;0,(TODAY()-AI168),IF(AG168&gt;0,(TODAY()-AG168),IF(AF168&gt;0,(TODAY()-AF168),IF(X168&gt;0,(TODAY()-X168)," "))))))))</f>
        <v>0</v>
      </c>
      <c r="BD168" s="2" t="str">
        <f t="shared" si="7"/>
        <v>Not yet endorsed</v>
      </c>
      <c r="BE168" s="2" t="s">
        <v>75</v>
      </c>
      <c r="BG168" s="2" t="e">
        <v>#N/A</v>
      </c>
    </row>
    <row r="169" spans="2:60" hidden="1" x14ac:dyDescent="0.25">
      <c r="B169" s="2" t="s">
        <v>996</v>
      </c>
      <c r="C169" s="2" t="s">
        <v>997</v>
      </c>
      <c r="D169" s="44" t="s">
        <v>998</v>
      </c>
      <c r="E169" s="2" t="s">
        <v>11</v>
      </c>
      <c r="F169" s="2" t="s">
        <v>591</v>
      </c>
      <c r="G169" s="2" t="s">
        <v>1</v>
      </c>
      <c r="H169" s="2" t="s">
        <v>165</v>
      </c>
      <c r="I169" s="2" t="s">
        <v>68</v>
      </c>
      <c r="J169" s="2" t="s">
        <v>173</v>
      </c>
      <c r="K169" s="2" t="s">
        <v>592</v>
      </c>
      <c r="L169" s="2" t="s">
        <v>593</v>
      </c>
      <c r="M169" s="2">
        <v>0</v>
      </c>
      <c r="N169" s="2">
        <v>0</v>
      </c>
      <c r="O169" s="2">
        <v>0</v>
      </c>
      <c r="P169" s="2" t="s">
        <v>82</v>
      </c>
      <c r="Q169" s="2" t="s">
        <v>73</v>
      </c>
      <c r="R169" s="29" t="e">
        <f>IF(INDEX(#REF!,MATCH('data '!$B169,#REF!,0),MATCH('data '!R$3,#REF!,0))=0,"",INDEX(#REF!,MATCH('data '!$B169,#REF!,0),MATCH('data '!R$3,#REF!,0)))</f>
        <v>#REF!</v>
      </c>
      <c r="S169" s="29" t="e">
        <f>IF(INDEX(#REF!,MATCH('data '!$B169,#REF!,0),MATCH('data '!S$3,#REF!,0))=0,"",INDEX(#REF!,MATCH('data '!$B169,#REF!,0),MATCH('data '!S$3,#REF!,0)))</f>
        <v>#REF!</v>
      </c>
      <c r="T169" s="29" t="e">
        <f>IF(INDEX(#REF!,MATCH('data '!$B169,#REF!,0),MATCH('data '!T$3,#REF!,0))=0,"",INDEX(#REF!,MATCH('data '!$B169,#REF!,0),MATCH('data '!T$3,#REF!,0)))</f>
        <v>#REF!</v>
      </c>
      <c r="U169" s="8" t="s">
        <v>25</v>
      </c>
      <c r="V169" s="25" t="s">
        <v>82</v>
      </c>
      <c r="W169" s="25" t="s">
        <v>83</v>
      </c>
      <c r="AC169" s="8" t="e">
        <f>VLOOKUP(B169,#REF!,19,0)</f>
        <v>#REF!</v>
      </c>
      <c r="AP169" s="8" t="str">
        <f t="shared" si="6"/>
        <v>Not yet endorsed</v>
      </c>
      <c r="AQ169" s="10" t="b" cm="1">
        <f t="array" aca="1" ref="AQ169" ca="1">IF(AM169&gt;0,(TODAY()-AM169),IF(AL169&gt;0,(TODAY()-AL169),IF(AK169&gt;0,(TODAY()-AK169,IF(AI169&gt;0,(TODAY()-AI169),IF(AG169&gt;0,(TODAY()-AG169),IF(AF169&gt;0,(TODAY()-AF169),IF(X169&gt;0,(TODAY()-X169)," "))))))))</f>
        <v>0</v>
      </c>
      <c r="BD169" s="2" t="str">
        <f t="shared" si="7"/>
        <v>TSSR Approved</v>
      </c>
      <c r="BE169" s="2" t="e">
        <v>#VALUE!</v>
      </c>
      <c r="BG169" s="2" t="e">
        <v>#N/A</v>
      </c>
    </row>
    <row r="170" spans="2:60" hidden="1" x14ac:dyDescent="0.25">
      <c r="B170" s="2" t="s">
        <v>999</v>
      </c>
      <c r="C170" s="2" t="s">
        <v>1000</v>
      </c>
      <c r="D170" s="44" t="s">
        <v>1001</v>
      </c>
      <c r="E170" s="2" t="s">
        <v>11</v>
      </c>
      <c r="F170" s="2" t="s">
        <v>302</v>
      </c>
      <c r="G170" s="2" t="s">
        <v>1</v>
      </c>
      <c r="H170" s="2" t="s">
        <v>165</v>
      </c>
      <c r="I170" s="2" t="s">
        <v>68</v>
      </c>
      <c r="J170" s="2" t="s">
        <v>173</v>
      </c>
      <c r="K170" s="2" t="s">
        <v>303</v>
      </c>
      <c r="L170" s="2" t="s">
        <v>1002</v>
      </c>
      <c r="M170" s="2" t="s">
        <v>1003</v>
      </c>
      <c r="N170" s="2">
        <v>8.3592510000000004</v>
      </c>
      <c r="O170" s="2">
        <v>124.866185</v>
      </c>
      <c r="P170" s="2" t="s">
        <v>87</v>
      </c>
      <c r="Q170" s="2" t="s">
        <v>184</v>
      </c>
      <c r="R170" s="29" t="e">
        <f>IF(INDEX(#REF!,MATCH('data '!$B170,#REF!,0),MATCH('data '!R$3,#REF!,0))=0,"",INDEX(#REF!,MATCH('data '!$B170,#REF!,0),MATCH('data '!R$3,#REF!,0)))</f>
        <v>#REF!</v>
      </c>
      <c r="S170" s="29" t="e">
        <f>IF(INDEX(#REF!,MATCH('data '!$B170,#REF!,0),MATCH('data '!S$3,#REF!,0))=0,"",INDEX(#REF!,MATCH('data '!$B170,#REF!,0),MATCH('data '!S$3,#REF!,0)))</f>
        <v>#REF!</v>
      </c>
      <c r="T170" s="29" t="e">
        <f>IF(INDEX(#REF!,MATCH('data '!$B170,#REF!,0),MATCH('data '!T$3,#REF!,0))=0,"",INDEX(#REF!,MATCH('data '!$B170,#REF!,0),MATCH('data '!T$3,#REF!,0)))</f>
        <v>#REF!</v>
      </c>
      <c r="V170" s="25" t="s">
        <v>185</v>
      </c>
      <c r="W170" s="25" t="s">
        <v>144</v>
      </c>
      <c r="X170" s="43" t="s">
        <v>25</v>
      </c>
      <c r="Y170" s="43">
        <v>45831</v>
      </c>
      <c r="Z170" s="8">
        <v>45723</v>
      </c>
      <c r="AA170" s="8" t="s">
        <v>1004</v>
      </c>
      <c r="AC170" s="8" t="e">
        <f>VLOOKUP(B170,#REF!,19,0)</f>
        <v>#REF!</v>
      </c>
      <c r="AE170" s="8" t="s">
        <v>307</v>
      </c>
      <c r="AP170" s="8" t="str">
        <f t="shared" si="6"/>
        <v>BP Secured</v>
      </c>
      <c r="AQ170" s="10" t="b" cm="1">
        <f t="array" aca="1" ref="AQ170" ca="1">IF(AM170&gt;0,(TODAY()-AM170),IF(AL170&gt;0,(TODAY()-AL170),IF(AK170&gt;0,(TODAY()-AK170,IF(AI170&gt;0,(TODAY()-AI170),IF(AG170&gt;0,(TODAY()-AG170),IF(AF170&gt;0,(TODAY()-AF170),IF(X170&gt;0,(TODAY()-X170)," "))))))))</f>
        <v>0</v>
      </c>
      <c r="AT170" s="8" t="s">
        <v>155</v>
      </c>
      <c r="AU170" s="8">
        <v>45868</v>
      </c>
      <c r="AV170" s="8">
        <v>45867</v>
      </c>
      <c r="AX170" s="8">
        <v>45870</v>
      </c>
      <c r="BD170" s="2" t="str">
        <f t="shared" si="7"/>
        <v>PO Issued</v>
      </c>
      <c r="BE170" s="2">
        <v>70</v>
      </c>
      <c r="BG170" s="2" t="e">
        <v>#N/A</v>
      </c>
    </row>
    <row r="171" spans="2:60" hidden="1" x14ac:dyDescent="0.25">
      <c r="B171" s="49" t="s">
        <v>1005</v>
      </c>
      <c r="C171" s="49" t="s">
        <v>1006</v>
      </c>
      <c r="D171" s="55" t="s">
        <v>1007</v>
      </c>
      <c r="E171" s="2" t="s">
        <v>5</v>
      </c>
      <c r="F171" s="2" t="s">
        <v>813</v>
      </c>
      <c r="G171" s="2" t="s">
        <v>1</v>
      </c>
      <c r="H171" s="2" t="s">
        <v>120</v>
      </c>
      <c r="I171" s="2" t="s">
        <v>140</v>
      </c>
      <c r="J171" s="2" t="s">
        <v>141</v>
      </c>
      <c r="K171" s="2" t="s">
        <v>370</v>
      </c>
      <c r="L171" s="2" t="s">
        <v>814</v>
      </c>
      <c r="M171" s="2">
        <v>0</v>
      </c>
      <c r="N171" s="2">
        <v>0</v>
      </c>
      <c r="O171" s="2">
        <v>0</v>
      </c>
      <c r="P171" s="2" t="s">
        <v>82</v>
      </c>
      <c r="Q171" s="2" t="s">
        <v>73</v>
      </c>
      <c r="R171" s="29" t="e">
        <f>IF(INDEX(#REF!,MATCH('data '!$B171,#REF!,0),MATCH('data '!R$3,#REF!,0))=0,"",INDEX(#REF!,MATCH('data '!$B171,#REF!,0),MATCH('data '!R$3,#REF!,0)))</f>
        <v>#REF!</v>
      </c>
      <c r="S171" s="29" t="e">
        <f>IF(INDEX(#REF!,MATCH('data '!$B171,#REF!,0),MATCH('data '!S$3,#REF!,0))=0,"",INDEX(#REF!,MATCH('data '!$B171,#REF!,0),MATCH('data '!S$3,#REF!,0)))</f>
        <v>#REF!</v>
      </c>
      <c r="T171" s="29" t="e">
        <f>IF(INDEX(#REF!,MATCH('data '!$B171,#REF!,0),MATCH('data '!T$3,#REF!,0))=0,"",INDEX(#REF!,MATCH('data '!$B171,#REF!,0),MATCH('data '!T$3,#REF!,0)))</f>
        <v>#REF!</v>
      </c>
      <c r="V171" s="25" t="s">
        <v>82</v>
      </c>
      <c r="W171" s="25" t="s">
        <v>83</v>
      </c>
      <c r="AC171" s="8" t="e">
        <f>VLOOKUP(B171,#REF!,19,0)</f>
        <v>#REF!</v>
      </c>
      <c r="AE171" s="8" t="s">
        <v>295</v>
      </c>
      <c r="AF171" s="21">
        <v>45938</v>
      </c>
      <c r="AG171" s="8">
        <v>45952</v>
      </c>
      <c r="AH171" s="8" t="s">
        <v>815</v>
      </c>
      <c r="AI171" s="8">
        <v>45958</v>
      </c>
      <c r="AJ171" s="8" t="s">
        <v>816</v>
      </c>
      <c r="AP171" s="8" t="str">
        <f t="shared" si="6"/>
        <v>PO Issued</v>
      </c>
      <c r="AQ171" s="10" t="b" cm="1">
        <f t="array" aca="1" ref="AQ171" ca="1">IF(AM171&gt;0,(TODAY()-AM171),IF(AL171&gt;0,(TODAY()-AL171),IF(AK171&gt;0,(TODAY()-AK171,IF(AI171&gt;0,(TODAY()-AI171),IF(AG171&gt;0,(TODAY()-AG171),IF(AF171&gt;0,(TODAY()-AF171),IF(X171&gt;0,(TODAY()-X171)," "))))))))</f>
        <v>0</v>
      </c>
      <c r="BD171" s="2" t="str">
        <f t="shared" si="7"/>
        <v>Vendor Allocated</v>
      </c>
      <c r="BE171" s="2">
        <v>2</v>
      </c>
      <c r="BG171" s="2" t="s">
        <v>540</v>
      </c>
      <c r="BH171" s="2" t="e" vm="1">
        <v>#REF!</v>
      </c>
    </row>
    <row r="172" spans="2:60" hidden="1" x14ac:dyDescent="0.25">
      <c r="B172" s="2" t="s">
        <v>1008</v>
      </c>
      <c r="C172" s="2" t="s">
        <v>1009</v>
      </c>
      <c r="D172" s="44" t="s">
        <v>1010</v>
      </c>
      <c r="E172" s="2" t="s">
        <v>6</v>
      </c>
      <c r="F172" s="2">
        <v>0</v>
      </c>
      <c r="G172" s="2" t="s">
        <v>1</v>
      </c>
      <c r="H172" s="2" t="s">
        <v>111</v>
      </c>
      <c r="I172" s="2" t="s">
        <v>112</v>
      </c>
      <c r="J172" s="2" t="s">
        <v>113</v>
      </c>
      <c r="K172" s="2" t="s">
        <v>114</v>
      </c>
      <c r="L172" s="2">
        <v>0</v>
      </c>
      <c r="M172" s="2">
        <v>0</v>
      </c>
      <c r="N172" s="2">
        <v>0</v>
      </c>
      <c r="O172" s="2">
        <v>0</v>
      </c>
      <c r="P172" s="2" t="s">
        <v>116</v>
      </c>
      <c r="Q172" s="2">
        <v>0</v>
      </c>
      <c r="R172" s="29" t="e">
        <f>IF(INDEX(#REF!,MATCH('data '!$B172,#REF!,0),MATCH('data '!R$3,#REF!,0))=0,"",INDEX(#REF!,MATCH('data '!$B172,#REF!,0),MATCH('data '!R$3,#REF!,0)))</f>
        <v>#REF!</v>
      </c>
      <c r="S172" s="29" t="e">
        <f>IF(INDEX(#REF!,MATCH('data '!$B172,#REF!,0),MATCH('data '!S$3,#REF!,0))=0,"",INDEX(#REF!,MATCH('data '!$B172,#REF!,0),MATCH('data '!S$3,#REF!,0)))</f>
        <v>#REF!</v>
      </c>
      <c r="T172" s="29" t="e">
        <f>IF(INDEX(#REF!,MATCH('data '!$B172,#REF!,0),MATCH('data '!T$3,#REF!,0))=0,"",INDEX(#REF!,MATCH('data '!$B172,#REF!,0),MATCH('data '!T$3,#REF!,0)))</f>
        <v>#REF!</v>
      </c>
      <c r="V172" s="25" t="s">
        <v>95</v>
      </c>
      <c r="W172" s="25">
        <v>0</v>
      </c>
      <c r="AC172" s="8" t="e">
        <f>VLOOKUP(B172,#REF!,19,0)</f>
        <v>#REF!</v>
      </c>
      <c r="AP172" s="8" t="str">
        <f t="shared" si="6"/>
        <v>Not yet endorsed</v>
      </c>
      <c r="AQ172" s="10" t="b" cm="1">
        <f t="array" aca="1" ref="AQ172" ca="1">IF(AM172&gt;0,(TODAY()-AM172),IF(AL172&gt;0,(TODAY()-AL172),IF(AK172&gt;0,(TODAY()-AK172,IF(AI172&gt;0,(TODAY()-AI172),IF(AG172&gt;0,(TODAY()-AG172),IF(AF172&gt;0,(TODAY()-AF172),IF(X172&gt;0,(TODAY()-X172)," "))))))))</f>
        <v>0</v>
      </c>
      <c r="BD172" s="2" t="str">
        <f t="shared" si="7"/>
        <v>Not yet endorsed</v>
      </c>
      <c r="BE172" s="2" t="s">
        <v>75</v>
      </c>
      <c r="BG172" s="2" t="e">
        <v>#N/A</v>
      </c>
    </row>
    <row r="173" spans="2:60" hidden="1" x14ac:dyDescent="0.25">
      <c r="B173" s="2" t="s">
        <v>1011</v>
      </c>
      <c r="C173" s="2" t="s">
        <v>1012</v>
      </c>
      <c r="D173" s="44" t="s">
        <v>1013</v>
      </c>
      <c r="E173" s="2" t="s">
        <v>6</v>
      </c>
      <c r="F173" s="2" t="s">
        <v>1014</v>
      </c>
      <c r="G173" s="2" t="s">
        <v>1</v>
      </c>
      <c r="H173" s="2" t="s">
        <v>111</v>
      </c>
      <c r="I173" s="2" t="s">
        <v>112</v>
      </c>
      <c r="J173" s="2" t="s">
        <v>113</v>
      </c>
      <c r="K173" s="2" t="s">
        <v>114</v>
      </c>
      <c r="L173" s="2" t="s">
        <v>1015</v>
      </c>
      <c r="M173" s="2">
        <v>0</v>
      </c>
      <c r="N173" s="2">
        <v>10.299004</v>
      </c>
      <c r="O173" s="2">
        <v>124.00459499999999</v>
      </c>
      <c r="P173" s="2" t="s">
        <v>82</v>
      </c>
      <c r="Q173" s="2" t="s">
        <v>73</v>
      </c>
      <c r="R173" s="29" t="e">
        <f>IF(INDEX(#REF!,MATCH('data '!$B173,#REF!,0),MATCH('data '!R$3,#REF!,0))=0,"",INDEX(#REF!,MATCH('data '!$B173,#REF!,0),MATCH('data '!R$3,#REF!,0)))</f>
        <v>#REF!</v>
      </c>
      <c r="S173" s="29" t="e">
        <f>IF(INDEX(#REF!,MATCH('data '!$B173,#REF!,0),MATCH('data '!S$3,#REF!,0))=0,"",INDEX(#REF!,MATCH('data '!$B173,#REF!,0),MATCH('data '!S$3,#REF!,0)))</f>
        <v>#REF!</v>
      </c>
      <c r="T173" s="29" t="e">
        <f>IF(INDEX(#REF!,MATCH('data '!$B173,#REF!,0),MATCH('data '!T$3,#REF!,0))=0,"",INDEX(#REF!,MATCH('data '!$B173,#REF!,0),MATCH('data '!T$3,#REF!,0)))</f>
        <v>#REF!</v>
      </c>
      <c r="U173" s="8" t="s">
        <v>25</v>
      </c>
      <c r="V173" s="25" t="s">
        <v>82</v>
      </c>
      <c r="W173" s="25" t="s">
        <v>83</v>
      </c>
      <c r="AC173" s="8" t="e">
        <f>VLOOKUP(B173,#REF!,19,0)</f>
        <v>#REF!</v>
      </c>
      <c r="AP173" s="8" t="str">
        <f t="shared" si="6"/>
        <v>Not yet endorsed</v>
      </c>
      <c r="AQ173" s="10" t="b" cm="1">
        <f t="array" aca="1" ref="AQ173" ca="1">IF(AM173&gt;0,(TODAY()-AM173),IF(AL173&gt;0,(TODAY()-AL173),IF(AK173&gt;0,(TODAY()-AK173,IF(AI173&gt;0,(TODAY()-AI173),IF(AG173&gt;0,(TODAY()-AG173),IF(AF173&gt;0,(TODAY()-AF173),IF(X173&gt;0,(TODAY()-X173)," "))))))))</f>
        <v>0</v>
      </c>
      <c r="BD173" s="2" t="str">
        <f t="shared" si="7"/>
        <v>TSSR Approved</v>
      </c>
      <c r="BE173" s="2" t="e">
        <v>#VALUE!</v>
      </c>
      <c r="BG173" s="2" t="e">
        <v>#N/A</v>
      </c>
    </row>
    <row r="174" spans="2:60" hidden="1" x14ac:dyDescent="0.25">
      <c r="B174" s="2" t="s">
        <v>1016</v>
      </c>
      <c r="C174" s="2" t="s">
        <v>1017</v>
      </c>
      <c r="D174" s="44" t="s">
        <v>1018</v>
      </c>
      <c r="E174" s="2" t="s">
        <v>6</v>
      </c>
      <c r="F174" s="2" t="s">
        <v>1014</v>
      </c>
      <c r="G174" s="2" t="s">
        <v>1</v>
      </c>
      <c r="H174" s="2" t="s">
        <v>111</v>
      </c>
      <c r="I174" s="2" t="s">
        <v>112</v>
      </c>
      <c r="J174" s="2" t="s">
        <v>113</v>
      </c>
      <c r="K174" s="2" t="s">
        <v>114</v>
      </c>
      <c r="L174" s="2" t="s">
        <v>1015</v>
      </c>
      <c r="M174" s="2">
        <v>0</v>
      </c>
      <c r="N174" s="2">
        <v>10.296799999999999</v>
      </c>
      <c r="O174" s="2">
        <v>123.98356800000001</v>
      </c>
      <c r="P174" s="2" t="s">
        <v>82</v>
      </c>
      <c r="Q174" s="2" t="s">
        <v>73</v>
      </c>
      <c r="R174" s="29" t="e">
        <f>IF(INDEX(#REF!,MATCH('data '!$B174,#REF!,0),MATCH('data '!R$3,#REF!,0))=0,"",INDEX(#REF!,MATCH('data '!$B174,#REF!,0),MATCH('data '!R$3,#REF!,0)))</f>
        <v>#REF!</v>
      </c>
      <c r="S174" s="29" t="e">
        <f>IF(INDEX(#REF!,MATCH('data '!$B174,#REF!,0),MATCH('data '!S$3,#REF!,0))=0,"",INDEX(#REF!,MATCH('data '!$B174,#REF!,0),MATCH('data '!S$3,#REF!,0)))</f>
        <v>#REF!</v>
      </c>
      <c r="T174" s="29" t="e">
        <f>IF(INDEX(#REF!,MATCH('data '!$B174,#REF!,0),MATCH('data '!T$3,#REF!,0))=0,"",INDEX(#REF!,MATCH('data '!$B174,#REF!,0),MATCH('data '!T$3,#REF!,0)))</f>
        <v>#REF!</v>
      </c>
      <c r="U174" s="8" t="s">
        <v>25</v>
      </c>
      <c r="V174" s="25" t="s">
        <v>82</v>
      </c>
      <c r="W174" s="25" t="s">
        <v>83</v>
      </c>
      <c r="AC174" s="8" t="e">
        <f>VLOOKUP(B174,#REF!,19,0)</f>
        <v>#REF!</v>
      </c>
      <c r="AP174" s="8" t="str">
        <f t="shared" si="6"/>
        <v>Not yet endorsed</v>
      </c>
      <c r="AQ174" s="10" t="b" cm="1">
        <f t="array" aca="1" ref="AQ174" ca="1">IF(AM174&gt;0,(TODAY()-AM174),IF(AL174&gt;0,(TODAY()-AL174),IF(AK174&gt;0,(TODAY()-AK174,IF(AI174&gt;0,(TODAY()-AI174),IF(AG174&gt;0,(TODAY()-AG174),IF(AF174&gt;0,(TODAY()-AF174),IF(X174&gt;0,(TODAY()-X174)," "))))))))</f>
        <v>0</v>
      </c>
      <c r="BD174" s="2" t="str">
        <f t="shared" si="7"/>
        <v>TSSR Approved</v>
      </c>
      <c r="BE174" s="2" t="e">
        <v>#VALUE!</v>
      </c>
      <c r="BG174" s="2" t="e">
        <v>#N/A</v>
      </c>
    </row>
    <row r="175" spans="2:60" hidden="1" x14ac:dyDescent="0.25">
      <c r="B175" s="2" t="s">
        <v>1019</v>
      </c>
      <c r="C175" s="2" t="s">
        <v>1020</v>
      </c>
      <c r="D175" s="44" t="s">
        <v>1021</v>
      </c>
      <c r="E175" s="2" t="s">
        <v>6</v>
      </c>
      <c r="F175" s="2" t="s">
        <v>1014</v>
      </c>
      <c r="G175" s="2" t="s">
        <v>1</v>
      </c>
      <c r="H175" s="2" t="s">
        <v>111</v>
      </c>
      <c r="I175" s="2" t="s">
        <v>112</v>
      </c>
      <c r="J175" s="2" t="s">
        <v>113</v>
      </c>
      <c r="K175" s="2" t="s">
        <v>114</v>
      </c>
      <c r="L175" s="2" t="s">
        <v>1015</v>
      </c>
      <c r="M175" s="2">
        <v>0</v>
      </c>
      <c r="N175" s="2">
        <v>0</v>
      </c>
      <c r="O175" s="2">
        <v>0</v>
      </c>
      <c r="P175" s="2" t="s">
        <v>82</v>
      </c>
      <c r="Q175" s="2" t="s">
        <v>73</v>
      </c>
      <c r="R175" s="29" t="e">
        <f>IF(INDEX(#REF!,MATCH('data '!$B175,#REF!,0),MATCH('data '!R$3,#REF!,0))=0,"",INDEX(#REF!,MATCH('data '!$B175,#REF!,0),MATCH('data '!R$3,#REF!,0)))</f>
        <v>#REF!</v>
      </c>
      <c r="S175" s="29" t="e">
        <f>IF(INDEX(#REF!,MATCH('data '!$B175,#REF!,0),MATCH('data '!S$3,#REF!,0))=0,"",INDEX(#REF!,MATCH('data '!$B175,#REF!,0),MATCH('data '!S$3,#REF!,0)))</f>
        <v>#REF!</v>
      </c>
      <c r="T175" s="29" t="e">
        <f>IF(INDEX(#REF!,MATCH('data '!$B175,#REF!,0),MATCH('data '!T$3,#REF!,0))=0,"",INDEX(#REF!,MATCH('data '!$B175,#REF!,0),MATCH('data '!T$3,#REF!,0)))</f>
        <v>#REF!</v>
      </c>
      <c r="V175" s="25" t="s">
        <v>82</v>
      </c>
      <c r="W175" s="25" t="s">
        <v>83</v>
      </c>
      <c r="AC175" s="8" t="e">
        <f>VLOOKUP(B175,#REF!,19,0)</f>
        <v>#REF!</v>
      </c>
      <c r="AP175" s="8" t="str">
        <f t="shared" si="6"/>
        <v>Not yet endorsed</v>
      </c>
      <c r="AQ175" s="10" t="b" cm="1">
        <f t="array" aca="1" ref="AQ175" ca="1">IF(AM175&gt;0,(TODAY()-AM175),IF(AL175&gt;0,(TODAY()-AL175),IF(AK175&gt;0,(TODAY()-AK175,IF(AI175&gt;0,(TODAY()-AI175),IF(AG175&gt;0,(TODAY()-AG175),IF(AF175&gt;0,(TODAY()-AF175),IF(X175&gt;0,(TODAY()-X175)," "))))))))</f>
        <v>0</v>
      </c>
      <c r="BD175" s="2" t="str">
        <f t="shared" si="7"/>
        <v>Not yet endorsed</v>
      </c>
      <c r="BE175" s="2" t="s">
        <v>75</v>
      </c>
      <c r="BG175" s="2" t="e">
        <v>#N/A</v>
      </c>
    </row>
    <row r="176" spans="2:60" hidden="1" x14ac:dyDescent="0.25">
      <c r="B176" s="2" t="s">
        <v>1022</v>
      </c>
      <c r="C176" s="2" t="s">
        <v>1023</v>
      </c>
      <c r="D176" s="44" t="s">
        <v>1024</v>
      </c>
      <c r="E176" s="2" t="s">
        <v>6</v>
      </c>
      <c r="F176" s="2" t="s">
        <v>962</v>
      </c>
      <c r="G176" s="2" t="s">
        <v>1</v>
      </c>
      <c r="H176" s="2" t="s">
        <v>111</v>
      </c>
      <c r="I176" s="2" t="s">
        <v>112</v>
      </c>
      <c r="J176" s="2" t="s">
        <v>344</v>
      </c>
      <c r="K176" s="2" t="s">
        <v>963</v>
      </c>
      <c r="L176" s="2" t="s">
        <v>964</v>
      </c>
      <c r="M176" s="2" t="s">
        <v>1025</v>
      </c>
      <c r="N176" s="2">
        <v>0</v>
      </c>
      <c r="O176" s="2">
        <v>0</v>
      </c>
      <c r="P176" s="2" t="s">
        <v>82</v>
      </c>
      <c r="Q176" s="2" t="s">
        <v>73</v>
      </c>
      <c r="R176" s="29" t="e">
        <f>IF(INDEX(#REF!,MATCH('data '!$B176,#REF!,0),MATCH('data '!R$3,#REF!,0))=0,"",INDEX(#REF!,MATCH('data '!$B176,#REF!,0),MATCH('data '!R$3,#REF!,0)))</f>
        <v>#REF!</v>
      </c>
      <c r="S176" s="29" t="e">
        <f>IF(INDEX(#REF!,MATCH('data '!$B176,#REF!,0),MATCH('data '!S$3,#REF!,0))=0,"",INDEX(#REF!,MATCH('data '!$B176,#REF!,0),MATCH('data '!S$3,#REF!,0)))</f>
        <v>#REF!</v>
      </c>
      <c r="T176" s="29" t="e">
        <f>IF(INDEX(#REF!,MATCH('data '!$B176,#REF!,0),MATCH('data '!T$3,#REF!,0))=0,"",INDEX(#REF!,MATCH('data '!$B176,#REF!,0),MATCH('data '!T$3,#REF!,0)))</f>
        <v>#REF!</v>
      </c>
      <c r="U176" s="8" t="s">
        <v>25</v>
      </c>
      <c r="V176" s="25" t="s">
        <v>160</v>
      </c>
      <c r="W176" s="25" t="s">
        <v>144</v>
      </c>
      <c r="X176" s="9" t="s">
        <v>25</v>
      </c>
      <c r="Y176" s="9">
        <v>45958</v>
      </c>
      <c r="AC176" s="8" t="e">
        <f>VLOOKUP(B176,#REF!,19,0)</f>
        <v>#REF!</v>
      </c>
      <c r="AP176" s="8" t="str">
        <f t="shared" si="6"/>
        <v>BP Secured</v>
      </c>
      <c r="AQ176" s="10" t="b" cm="1">
        <f t="array" aca="1" ref="AQ176" ca="1">IF(AM176&gt;0,(TODAY()-AM176),IF(AL176&gt;0,(TODAY()-AL176),IF(AK176&gt;0,(TODAY()-AK176,IF(AI176&gt;0,(TODAY()-AI176),IF(AG176&gt;0,(TODAY()-AG176),IF(AF176&gt;0,(TODAY()-AF176),IF(X176&gt;0,(TODAY()-X176)," "))))))))</f>
        <v>0</v>
      </c>
      <c r="BD176" s="2" t="str">
        <f t="shared" si="7"/>
        <v>BP Secured</v>
      </c>
      <c r="BE176" s="2" t="e">
        <v>#VALUE!</v>
      </c>
      <c r="BG176" s="2" t="e">
        <v>#N/A</v>
      </c>
    </row>
    <row r="177" spans="2:59" hidden="1" x14ac:dyDescent="0.25">
      <c r="B177" s="2" t="s">
        <v>1026</v>
      </c>
      <c r="C177" s="2" t="s">
        <v>1027</v>
      </c>
      <c r="D177" s="44" t="s">
        <v>1028</v>
      </c>
      <c r="E177" s="2" t="s">
        <v>6</v>
      </c>
      <c r="F177" s="2" t="s">
        <v>110</v>
      </c>
      <c r="G177" s="2" t="s">
        <v>1</v>
      </c>
      <c r="H177" s="2" t="s">
        <v>111</v>
      </c>
      <c r="I177" s="2" t="s">
        <v>112</v>
      </c>
      <c r="J177" s="2" t="s">
        <v>113</v>
      </c>
      <c r="K177" s="2" t="s">
        <v>114</v>
      </c>
      <c r="L177" s="2" t="s">
        <v>1029</v>
      </c>
      <c r="M177" s="2">
        <v>0</v>
      </c>
      <c r="N177" s="2">
        <v>0</v>
      </c>
      <c r="O177" s="2">
        <v>0</v>
      </c>
      <c r="P177" s="2" t="s">
        <v>944</v>
      </c>
      <c r="Q177" s="2" t="s">
        <v>73</v>
      </c>
      <c r="R177" s="29" t="e">
        <f>IF(INDEX(#REF!,MATCH('data '!$B177,#REF!,0),MATCH('data '!R$3,#REF!,0))=0,"",INDEX(#REF!,MATCH('data '!$B177,#REF!,0),MATCH('data '!R$3,#REF!,0)))</f>
        <v>#REF!</v>
      </c>
      <c r="S177" s="29" t="e">
        <f>IF(INDEX(#REF!,MATCH('data '!$B177,#REF!,0),MATCH('data '!S$3,#REF!,0))=0,"",INDEX(#REF!,MATCH('data '!$B177,#REF!,0),MATCH('data '!S$3,#REF!,0)))</f>
        <v>#REF!</v>
      </c>
      <c r="T177" s="29" t="e">
        <f>IF(INDEX(#REF!,MATCH('data '!$B177,#REF!,0),MATCH('data '!T$3,#REF!,0))=0,"",INDEX(#REF!,MATCH('data '!$B177,#REF!,0),MATCH('data '!T$3,#REF!,0)))</f>
        <v>#REF!</v>
      </c>
      <c r="V177" s="25" t="s">
        <v>74</v>
      </c>
      <c r="W177" s="25">
        <v>0</v>
      </c>
      <c r="AC177" s="8" t="e">
        <f>VLOOKUP(B177,#REF!,19,0)</f>
        <v>#REF!</v>
      </c>
      <c r="AP177" s="8" t="str">
        <f t="shared" si="6"/>
        <v>Not yet endorsed</v>
      </c>
      <c r="AQ177" s="10" t="b" cm="1">
        <f t="array" aca="1" ref="AQ177" ca="1">IF(AM177&gt;0,(TODAY()-AM177),IF(AL177&gt;0,(TODAY()-AL177),IF(AK177&gt;0,(TODAY()-AK177,IF(AI177&gt;0,(TODAY()-AI177),IF(AG177&gt;0,(TODAY()-AG177),IF(AF177&gt;0,(TODAY()-AF177),IF(X177&gt;0,(TODAY()-X177)," "))))))))</f>
        <v>0</v>
      </c>
      <c r="BD177" s="2" t="str">
        <f t="shared" si="7"/>
        <v>Not yet endorsed</v>
      </c>
      <c r="BE177" s="2" t="s">
        <v>75</v>
      </c>
      <c r="BG177" s="2" t="e">
        <v>#N/A</v>
      </c>
    </row>
    <row r="178" spans="2:59" hidden="1" x14ac:dyDescent="0.25">
      <c r="B178" s="2" t="s">
        <v>1030</v>
      </c>
      <c r="C178" s="2" t="s">
        <v>1031</v>
      </c>
      <c r="D178" s="44" t="s">
        <v>1032</v>
      </c>
      <c r="E178" s="2" t="s">
        <v>6</v>
      </c>
      <c r="F178" s="2" t="s">
        <v>110</v>
      </c>
      <c r="G178" s="2" t="s">
        <v>1</v>
      </c>
      <c r="H178" s="2" t="s">
        <v>111</v>
      </c>
      <c r="I178" s="2" t="s">
        <v>112</v>
      </c>
      <c r="J178" s="2" t="s">
        <v>113</v>
      </c>
      <c r="K178" s="2" t="s">
        <v>114</v>
      </c>
      <c r="L178" s="2" t="s">
        <v>1029</v>
      </c>
      <c r="M178" s="2">
        <v>0</v>
      </c>
      <c r="N178" s="2">
        <v>10.326736</v>
      </c>
      <c r="O178" s="2">
        <v>123.943484</v>
      </c>
      <c r="P178" s="2" t="s">
        <v>944</v>
      </c>
      <c r="Q178" s="2" t="s">
        <v>73</v>
      </c>
      <c r="R178" s="29" t="e">
        <f>IF(INDEX(#REF!,MATCH('data '!$B178,#REF!,0),MATCH('data '!R$3,#REF!,0))=0,"",INDEX(#REF!,MATCH('data '!$B178,#REF!,0),MATCH('data '!R$3,#REF!,0)))</f>
        <v>#REF!</v>
      </c>
      <c r="S178" s="29" t="e">
        <f>IF(INDEX(#REF!,MATCH('data '!$B178,#REF!,0),MATCH('data '!S$3,#REF!,0))=0,"",INDEX(#REF!,MATCH('data '!$B178,#REF!,0),MATCH('data '!S$3,#REF!,0)))</f>
        <v>#REF!</v>
      </c>
      <c r="T178" s="29" t="e">
        <f>IF(INDEX(#REF!,MATCH('data '!$B178,#REF!,0),MATCH('data '!T$3,#REF!,0))=0,"",INDEX(#REF!,MATCH('data '!$B178,#REF!,0),MATCH('data '!T$3,#REF!,0)))</f>
        <v>#REF!</v>
      </c>
      <c r="U178" s="8" t="s">
        <v>25</v>
      </c>
      <c r="V178" s="25" t="s">
        <v>74</v>
      </c>
      <c r="W178" s="25">
        <v>0</v>
      </c>
      <c r="AC178" s="8" t="e">
        <f>VLOOKUP(B178,#REF!,19,0)</f>
        <v>#REF!</v>
      </c>
      <c r="AP178" s="8" t="str">
        <f t="shared" si="6"/>
        <v>Not yet endorsed</v>
      </c>
      <c r="AQ178" s="10" t="b" cm="1">
        <f t="array" aca="1" ref="AQ178" ca="1">IF(AM178&gt;0,(TODAY()-AM178),IF(AL178&gt;0,(TODAY()-AL178),IF(AK178&gt;0,(TODAY()-AK178,IF(AI178&gt;0,(TODAY()-AI178),IF(AG178&gt;0,(TODAY()-AG178),IF(AF178&gt;0,(TODAY()-AF178),IF(X178&gt;0,(TODAY()-X178)," "))))))))</f>
        <v>0</v>
      </c>
      <c r="BD178" s="2" t="str">
        <f t="shared" si="7"/>
        <v>TSSR Approved</v>
      </c>
      <c r="BE178" s="2" t="e">
        <v>#VALUE!</v>
      </c>
      <c r="BG178" s="2" t="e">
        <v>#N/A</v>
      </c>
    </row>
    <row r="179" spans="2:59" hidden="1" x14ac:dyDescent="0.25">
      <c r="B179" s="2" t="s">
        <v>1033</v>
      </c>
      <c r="C179" s="2" t="s">
        <v>1034</v>
      </c>
      <c r="D179" s="44" t="s">
        <v>1035</v>
      </c>
      <c r="E179" s="2" t="s">
        <v>6</v>
      </c>
      <c r="F179" s="2">
        <v>0</v>
      </c>
      <c r="G179" s="2" t="s">
        <v>1</v>
      </c>
      <c r="H179" s="2" t="s">
        <v>111</v>
      </c>
      <c r="I179" s="2" t="s">
        <v>112</v>
      </c>
      <c r="J179" s="2" t="s">
        <v>113</v>
      </c>
      <c r="K179" s="2" t="s">
        <v>114</v>
      </c>
      <c r="L179" s="2">
        <v>0</v>
      </c>
      <c r="M179" s="2">
        <v>0</v>
      </c>
      <c r="N179" s="2">
        <v>0</v>
      </c>
      <c r="O179" s="2">
        <v>0</v>
      </c>
      <c r="P179" s="2" t="s">
        <v>82</v>
      </c>
      <c r="Q179" s="2">
        <v>0</v>
      </c>
      <c r="R179" s="29" t="e">
        <f>IF(INDEX(#REF!,MATCH('data '!$B179,#REF!,0),MATCH('data '!R$3,#REF!,0))=0,"",INDEX(#REF!,MATCH('data '!$B179,#REF!,0),MATCH('data '!R$3,#REF!,0)))</f>
        <v>#REF!</v>
      </c>
      <c r="S179" s="29" t="e">
        <f>IF(INDEX(#REF!,MATCH('data '!$B179,#REF!,0),MATCH('data '!S$3,#REF!,0))=0,"",INDEX(#REF!,MATCH('data '!$B179,#REF!,0),MATCH('data '!S$3,#REF!,0)))</f>
        <v>#REF!</v>
      </c>
      <c r="T179" s="29" t="e">
        <f>IF(INDEX(#REF!,MATCH('data '!$B179,#REF!,0),MATCH('data '!T$3,#REF!,0))=0,"",INDEX(#REF!,MATCH('data '!$B179,#REF!,0),MATCH('data '!T$3,#REF!,0)))</f>
        <v>#REF!</v>
      </c>
      <c r="V179" s="25" t="s">
        <v>82</v>
      </c>
      <c r="W179" s="25" t="s">
        <v>83</v>
      </c>
      <c r="AC179" s="8" t="e">
        <f>VLOOKUP(B179,#REF!,19,0)</f>
        <v>#REF!</v>
      </c>
      <c r="AP179" s="8" t="str">
        <f t="shared" si="6"/>
        <v>Not yet endorsed</v>
      </c>
      <c r="AQ179" s="10" t="b" cm="1">
        <f t="array" aca="1" ref="AQ179" ca="1">IF(AM179&gt;0,(TODAY()-AM179),IF(AL179&gt;0,(TODAY()-AL179),IF(AK179&gt;0,(TODAY()-AK179,IF(AI179&gt;0,(TODAY()-AI179),IF(AG179&gt;0,(TODAY()-AG179),IF(AF179&gt;0,(TODAY()-AF179),IF(X179&gt;0,(TODAY()-X179)," "))))))))</f>
        <v>0</v>
      </c>
      <c r="BD179" s="2" t="str">
        <f t="shared" si="7"/>
        <v>Not yet endorsed</v>
      </c>
      <c r="BE179" s="2" t="s">
        <v>75</v>
      </c>
      <c r="BG179" s="2" t="e">
        <v>#N/A</v>
      </c>
    </row>
    <row r="180" spans="2:59" hidden="1" x14ac:dyDescent="0.25">
      <c r="B180" s="2" t="s">
        <v>1036</v>
      </c>
      <c r="C180" s="2" t="s">
        <v>1037</v>
      </c>
      <c r="D180" s="44" t="s">
        <v>1038</v>
      </c>
      <c r="E180" s="2" t="s">
        <v>6</v>
      </c>
      <c r="F180" s="2" t="s">
        <v>110</v>
      </c>
      <c r="G180" s="2" t="s">
        <v>1</v>
      </c>
      <c r="H180" s="2" t="s">
        <v>111</v>
      </c>
      <c r="I180" s="2" t="s">
        <v>112</v>
      </c>
      <c r="J180" s="2" t="s">
        <v>113</v>
      </c>
      <c r="K180" s="2" t="s">
        <v>114</v>
      </c>
      <c r="L180" s="2" t="s">
        <v>1039</v>
      </c>
      <c r="M180" s="2">
        <v>0</v>
      </c>
      <c r="N180" s="2">
        <v>10.390852000000001</v>
      </c>
      <c r="O180" s="2">
        <v>123.977339</v>
      </c>
      <c r="P180" s="2" t="s">
        <v>168</v>
      </c>
      <c r="Q180" s="2" t="s">
        <v>73</v>
      </c>
      <c r="R180" s="29" t="e">
        <f>IF(INDEX(#REF!,MATCH('data '!$B180,#REF!,0),MATCH('data '!R$3,#REF!,0))=0,"",INDEX(#REF!,MATCH('data '!$B180,#REF!,0),MATCH('data '!R$3,#REF!,0)))</f>
        <v>#REF!</v>
      </c>
      <c r="S180" s="29" t="e">
        <f>IF(INDEX(#REF!,MATCH('data '!$B180,#REF!,0),MATCH('data '!S$3,#REF!,0))=0,"",INDEX(#REF!,MATCH('data '!$B180,#REF!,0),MATCH('data '!S$3,#REF!,0)))</f>
        <v>#REF!</v>
      </c>
      <c r="T180" s="29" t="e">
        <f>IF(INDEX(#REF!,MATCH('data '!$B180,#REF!,0),MATCH('data '!T$3,#REF!,0))=0,"",INDEX(#REF!,MATCH('data '!$B180,#REF!,0),MATCH('data '!T$3,#REF!,0)))</f>
        <v>#REF!</v>
      </c>
      <c r="U180" s="8" t="s">
        <v>25</v>
      </c>
      <c r="V180" s="25" t="s">
        <v>160</v>
      </c>
      <c r="W180" s="25" t="s">
        <v>144</v>
      </c>
      <c r="X180" s="61"/>
      <c r="Y180" s="61"/>
      <c r="AC180" s="8" t="e">
        <f>VLOOKUP(B180,#REF!,19,0)</f>
        <v>#REF!</v>
      </c>
      <c r="AE180" s="8" t="s">
        <v>582</v>
      </c>
      <c r="AF180" s="8">
        <v>45957</v>
      </c>
      <c r="AG180" s="8">
        <v>45957</v>
      </c>
      <c r="AH180" s="8" t="s">
        <v>583</v>
      </c>
      <c r="AI180" s="8">
        <v>45964</v>
      </c>
      <c r="AJ180" s="8" t="s">
        <v>584</v>
      </c>
      <c r="AP180" s="8" t="str">
        <f t="shared" si="6"/>
        <v>PO Issued</v>
      </c>
      <c r="AQ180" s="10" t="b" cm="1">
        <f t="array" aca="1" ref="AQ180" ca="1">IF(AM180&gt;0,(TODAY()-AM180),IF(AL180&gt;0,(TODAY()-AL180),IF(AK180&gt;0,(TODAY()-AK180,IF(AI180&gt;0,(TODAY()-AI180),IF(AG180&gt;0,(TODAY()-AG180),IF(AF180&gt;0,(TODAY()-AF180),IF(X180&gt;0,(TODAY()-X180)," "))))))))</f>
        <v>0</v>
      </c>
      <c r="BD180" s="2" t="str">
        <f t="shared" si="7"/>
        <v>Vendor Allocated</v>
      </c>
      <c r="BE180" s="2" t="e">
        <v>#VALUE!</v>
      </c>
      <c r="BG180" s="2" t="e">
        <v>#N/A</v>
      </c>
    </row>
    <row r="181" spans="2:59" hidden="1" x14ac:dyDescent="0.25">
      <c r="B181" s="2" t="s">
        <v>1040</v>
      </c>
      <c r="C181" s="2" t="s">
        <v>1041</v>
      </c>
      <c r="D181" s="44" t="s">
        <v>1042</v>
      </c>
      <c r="E181" s="2" t="s">
        <v>6</v>
      </c>
      <c r="F181" s="2" t="s">
        <v>110</v>
      </c>
      <c r="G181" s="2" t="s">
        <v>1</v>
      </c>
      <c r="H181" s="2" t="s">
        <v>111</v>
      </c>
      <c r="I181" s="2" t="s">
        <v>112</v>
      </c>
      <c r="J181" s="2" t="s">
        <v>113</v>
      </c>
      <c r="K181" s="2" t="s">
        <v>114</v>
      </c>
      <c r="L181" s="2" t="s">
        <v>1029</v>
      </c>
      <c r="M181" s="2">
        <v>0</v>
      </c>
      <c r="N181" s="2">
        <v>0</v>
      </c>
      <c r="O181" s="2">
        <v>0</v>
      </c>
      <c r="P181" s="2" t="s">
        <v>72</v>
      </c>
      <c r="Q181" s="2" t="s">
        <v>73</v>
      </c>
      <c r="R181" s="29" t="e">
        <f>IF(INDEX(#REF!,MATCH('data '!$B181,#REF!,0),MATCH('data '!R$3,#REF!,0))=0,"",INDEX(#REF!,MATCH('data '!$B181,#REF!,0),MATCH('data '!R$3,#REF!,0)))</f>
        <v>#REF!</v>
      </c>
      <c r="S181" s="29" t="e">
        <f>IF(INDEX(#REF!,MATCH('data '!$B181,#REF!,0),MATCH('data '!S$3,#REF!,0))=0,"",INDEX(#REF!,MATCH('data '!$B181,#REF!,0),MATCH('data '!S$3,#REF!,0)))</f>
        <v>#REF!</v>
      </c>
      <c r="T181" s="29" t="e">
        <f>IF(INDEX(#REF!,MATCH('data '!$B181,#REF!,0),MATCH('data '!T$3,#REF!,0))=0,"",INDEX(#REF!,MATCH('data '!$B181,#REF!,0),MATCH('data '!T$3,#REF!,0)))</f>
        <v>#REF!</v>
      </c>
      <c r="V181" s="25" t="s">
        <v>74</v>
      </c>
      <c r="W181" s="25">
        <v>0</v>
      </c>
      <c r="AC181" s="8" t="e">
        <f>VLOOKUP(B181,#REF!,19,0)</f>
        <v>#REF!</v>
      </c>
      <c r="AP181" s="8" t="str">
        <f t="shared" si="6"/>
        <v>Not yet endorsed</v>
      </c>
      <c r="AQ181" s="10" t="b" cm="1">
        <f t="array" aca="1" ref="AQ181" ca="1">IF(AM181&gt;0,(TODAY()-AM181),IF(AL181&gt;0,(TODAY()-AL181),IF(AK181&gt;0,(TODAY()-AK181,IF(AI181&gt;0,(TODAY()-AI181),IF(AG181&gt;0,(TODAY()-AG181),IF(AF181&gt;0,(TODAY()-AF181),IF(X181&gt;0,(TODAY()-X181)," "))))))))</f>
        <v>0</v>
      </c>
      <c r="BD181" s="2" t="str">
        <f t="shared" si="7"/>
        <v>Not yet endorsed</v>
      </c>
      <c r="BE181" s="2" t="s">
        <v>75</v>
      </c>
      <c r="BG181" s="2" t="e">
        <v>#N/A</v>
      </c>
    </row>
    <row r="182" spans="2:59" hidden="1" x14ac:dyDescent="0.25">
      <c r="B182" s="2" t="s">
        <v>1043</v>
      </c>
      <c r="C182" s="2" t="s">
        <v>1044</v>
      </c>
      <c r="D182" s="44" t="s">
        <v>1045</v>
      </c>
      <c r="E182" s="2" t="s">
        <v>6</v>
      </c>
      <c r="F182" s="2" t="s">
        <v>110</v>
      </c>
      <c r="G182" s="2" t="s">
        <v>1</v>
      </c>
      <c r="H182" s="2" t="s">
        <v>111</v>
      </c>
      <c r="I182" s="2" t="s">
        <v>112</v>
      </c>
      <c r="J182" s="2" t="s">
        <v>113</v>
      </c>
      <c r="K182" s="2" t="s">
        <v>114</v>
      </c>
      <c r="L182" s="2" t="s">
        <v>1029</v>
      </c>
      <c r="M182" s="2">
        <v>0</v>
      </c>
      <c r="N182" s="2">
        <v>0</v>
      </c>
      <c r="O182" s="2">
        <v>0</v>
      </c>
      <c r="P182" s="2" t="s">
        <v>72</v>
      </c>
      <c r="Q182" s="2" t="s">
        <v>73</v>
      </c>
      <c r="R182" s="29" t="e">
        <f>IF(INDEX(#REF!,MATCH('data '!$B182,#REF!,0),MATCH('data '!R$3,#REF!,0))=0,"",INDEX(#REF!,MATCH('data '!$B182,#REF!,0),MATCH('data '!R$3,#REF!,0)))</f>
        <v>#REF!</v>
      </c>
      <c r="S182" s="29" t="e">
        <f>IF(INDEX(#REF!,MATCH('data '!$B182,#REF!,0),MATCH('data '!S$3,#REF!,0))=0,"",INDEX(#REF!,MATCH('data '!$B182,#REF!,0),MATCH('data '!S$3,#REF!,0)))</f>
        <v>#REF!</v>
      </c>
      <c r="T182" s="29" t="e">
        <f>IF(INDEX(#REF!,MATCH('data '!$B182,#REF!,0),MATCH('data '!T$3,#REF!,0))=0,"",INDEX(#REF!,MATCH('data '!$B182,#REF!,0),MATCH('data '!T$3,#REF!,0)))</f>
        <v>#REF!</v>
      </c>
      <c r="U182" s="8" t="s">
        <v>25</v>
      </c>
      <c r="V182" s="25" t="s">
        <v>74</v>
      </c>
      <c r="W182" s="25">
        <v>0</v>
      </c>
      <c r="AC182" s="8" t="e">
        <f>VLOOKUP(B182,#REF!,19,0)</f>
        <v>#REF!</v>
      </c>
      <c r="AP182" s="8" t="str">
        <f t="shared" si="6"/>
        <v>Not yet endorsed</v>
      </c>
      <c r="AQ182" s="10" t="b" cm="1">
        <f t="array" aca="1" ref="AQ182" ca="1">IF(AM182&gt;0,(TODAY()-AM182),IF(AL182&gt;0,(TODAY()-AL182),IF(AK182&gt;0,(TODAY()-AK182,IF(AI182&gt;0,(TODAY()-AI182),IF(AG182&gt;0,(TODAY()-AG182),IF(AF182&gt;0,(TODAY()-AF182),IF(X182&gt;0,(TODAY()-X182)," "))))))))</f>
        <v>0</v>
      </c>
      <c r="BD182" s="2" t="str">
        <f t="shared" si="7"/>
        <v>TSSR Approved</v>
      </c>
      <c r="BE182" s="2" t="e">
        <v>#VALUE!</v>
      </c>
      <c r="BG182" s="2" t="e">
        <v>#N/A</v>
      </c>
    </row>
    <row r="183" spans="2:59" hidden="1" x14ac:dyDescent="0.25">
      <c r="B183" s="2" t="s">
        <v>1046</v>
      </c>
      <c r="C183" s="2" t="s">
        <v>1047</v>
      </c>
      <c r="D183" s="44" t="s">
        <v>1048</v>
      </c>
      <c r="E183" s="2" t="s">
        <v>6</v>
      </c>
      <c r="F183" s="2" t="e">
        <v>#N/A</v>
      </c>
      <c r="G183" s="2" t="s">
        <v>1</v>
      </c>
      <c r="H183" s="2" t="s">
        <v>111</v>
      </c>
      <c r="I183" s="2" t="s">
        <v>112</v>
      </c>
      <c r="J183" s="2" t="e">
        <v>#N/A</v>
      </c>
      <c r="K183" s="2" t="e">
        <v>#N/A</v>
      </c>
      <c r="L183" s="2" t="e">
        <v>#N/A</v>
      </c>
      <c r="M183" s="2" t="e">
        <v>#N/A</v>
      </c>
      <c r="N183" s="2" t="e">
        <v>#N/A</v>
      </c>
      <c r="O183" s="2" t="e">
        <v>#N/A</v>
      </c>
      <c r="P183" s="2" t="e">
        <v>#N/A</v>
      </c>
      <c r="Q183" s="2" t="e">
        <v>#N/A</v>
      </c>
      <c r="R183" s="29" t="e">
        <f>IF(INDEX(#REF!,MATCH('data '!$B183,#REF!,0),MATCH('data '!R$3,#REF!,0))=0,"",INDEX(#REF!,MATCH('data '!$B183,#REF!,0),MATCH('data '!R$3,#REF!,0)))</f>
        <v>#REF!</v>
      </c>
      <c r="S183" s="29" t="e">
        <f>IF(INDEX(#REF!,MATCH('data '!$B183,#REF!,0),MATCH('data '!S$3,#REF!,0))=0,"",INDEX(#REF!,MATCH('data '!$B183,#REF!,0),MATCH('data '!S$3,#REF!,0)))</f>
        <v>#REF!</v>
      </c>
      <c r="T183" s="29" t="e">
        <f>IF(INDEX(#REF!,MATCH('data '!$B183,#REF!,0),MATCH('data '!T$3,#REF!,0))=0,"",INDEX(#REF!,MATCH('data '!$B183,#REF!,0),MATCH('data '!T$3,#REF!,0)))</f>
        <v>#REF!</v>
      </c>
      <c r="V183" s="25" t="s">
        <v>88</v>
      </c>
      <c r="W183" s="25" t="s">
        <v>89</v>
      </c>
      <c r="AC183" s="8" t="e">
        <f>VLOOKUP(B183,#REF!,19,0)</f>
        <v>#REF!</v>
      </c>
      <c r="AP183" s="8" t="str">
        <f t="shared" si="6"/>
        <v>Not yet endorsed</v>
      </c>
      <c r="AQ183" s="10" t="b" cm="1">
        <f t="array" aca="1" ref="AQ183" ca="1">IF(AM183&gt;0,(TODAY()-AM183),IF(AL183&gt;0,(TODAY()-AL183),IF(AK183&gt;0,(TODAY()-AK183,IF(AI183&gt;0,(TODAY()-AI183),IF(AG183&gt;0,(TODAY()-AG183),IF(AF183&gt;0,(TODAY()-AF183),IF(X183&gt;0,(TODAY()-X183)," "))))))))</f>
        <v>0</v>
      </c>
      <c r="BD183" s="2" t="str">
        <f t="shared" si="7"/>
        <v>Not yet endorsed</v>
      </c>
      <c r="BE183" s="2" t="s">
        <v>75</v>
      </c>
      <c r="BG183" s="2" t="e">
        <v>#N/A</v>
      </c>
    </row>
    <row r="184" spans="2:59" hidden="1" x14ac:dyDescent="0.25">
      <c r="B184" s="2" t="s">
        <v>1049</v>
      </c>
      <c r="C184" s="2" t="s">
        <v>1050</v>
      </c>
      <c r="D184" s="44" t="s">
        <v>1051</v>
      </c>
      <c r="E184" s="2" t="s">
        <v>6</v>
      </c>
      <c r="F184" s="2">
        <v>0</v>
      </c>
      <c r="G184" s="2" t="s">
        <v>1</v>
      </c>
      <c r="H184" s="2" t="s">
        <v>111</v>
      </c>
      <c r="I184" s="2" t="s">
        <v>112</v>
      </c>
      <c r="J184" s="2" t="s">
        <v>344</v>
      </c>
      <c r="K184" s="2" t="s">
        <v>1052</v>
      </c>
      <c r="L184" s="2" t="s">
        <v>1053</v>
      </c>
      <c r="M184" s="2">
        <v>0</v>
      </c>
      <c r="N184" s="2">
        <v>0</v>
      </c>
      <c r="O184" s="2">
        <v>0</v>
      </c>
      <c r="P184" s="2" t="s">
        <v>133</v>
      </c>
      <c r="Q184" s="2">
        <v>0</v>
      </c>
      <c r="R184" s="29" t="e">
        <f>IF(INDEX(#REF!,MATCH('data '!$B184,#REF!,0),MATCH('data '!R$3,#REF!,0))=0,"",INDEX(#REF!,MATCH('data '!$B184,#REF!,0),MATCH('data '!R$3,#REF!,0)))</f>
        <v>#REF!</v>
      </c>
      <c r="S184" s="29" t="e">
        <f>IF(INDEX(#REF!,MATCH('data '!$B184,#REF!,0),MATCH('data '!S$3,#REF!,0))=0,"",INDEX(#REF!,MATCH('data '!$B184,#REF!,0),MATCH('data '!S$3,#REF!,0)))</f>
        <v>#REF!</v>
      </c>
      <c r="T184" s="29" t="e">
        <f>IF(INDEX(#REF!,MATCH('data '!$B184,#REF!,0),MATCH('data '!T$3,#REF!,0))=0,"",INDEX(#REF!,MATCH('data '!$B184,#REF!,0),MATCH('data '!T$3,#REF!,0)))</f>
        <v>#REF!</v>
      </c>
      <c r="V184" s="25" t="s">
        <v>133</v>
      </c>
      <c r="W184" s="25" t="s">
        <v>134</v>
      </c>
      <c r="AC184" s="8" t="e">
        <f>VLOOKUP(B184,#REF!,19,0)</f>
        <v>#REF!</v>
      </c>
      <c r="AP184" s="8" t="str">
        <f t="shared" si="6"/>
        <v>Not yet endorsed</v>
      </c>
      <c r="AQ184" s="10" t="b" cm="1">
        <f t="array" aca="1" ref="AQ184" ca="1">IF(AM184&gt;0,(TODAY()-AM184),IF(AL184&gt;0,(TODAY()-AL184),IF(AK184&gt;0,(TODAY()-AK184,IF(AI184&gt;0,(TODAY()-AI184),IF(AG184&gt;0,(TODAY()-AG184),IF(AF184&gt;0,(TODAY()-AF184),IF(X184&gt;0,(TODAY()-X184)," "))))))))</f>
        <v>0</v>
      </c>
      <c r="BD184" s="2" t="str">
        <f t="shared" si="7"/>
        <v>Not yet endorsed</v>
      </c>
      <c r="BE184" s="2" t="s">
        <v>75</v>
      </c>
      <c r="BG184" s="2" t="e">
        <v>#N/A</v>
      </c>
    </row>
    <row r="185" spans="2:59" hidden="1" x14ac:dyDescent="0.25">
      <c r="B185" s="2" t="s">
        <v>1054</v>
      </c>
      <c r="C185" s="2" t="s">
        <v>1055</v>
      </c>
      <c r="D185" s="44" t="s">
        <v>1056</v>
      </c>
      <c r="E185" s="2" t="s">
        <v>6</v>
      </c>
      <c r="F185" s="2" t="s">
        <v>110</v>
      </c>
      <c r="G185" s="2" t="s">
        <v>1</v>
      </c>
      <c r="H185" s="2" t="s">
        <v>111</v>
      </c>
      <c r="I185" s="2" t="s">
        <v>112</v>
      </c>
      <c r="J185" s="2" t="s">
        <v>113</v>
      </c>
      <c r="K185" s="2" t="s">
        <v>114</v>
      </c>
      <c r="L185" s="2" t="s">
        <v>1029</v>
      </c>
      <c r="M185" s="2">
        <v>0</v>
      </c>
      <c r="N185" s="2">
        <v>0</v>
      </c>
      <c r="O185" s="2">
        <v>0</v>
      </c>
      <c r="P185" s="2" t="s">
        <v>168</v>
      </c>
      <c r="Q185" s="2" t="s">
        <v>73</v>
      </c>
      <c r="R185" s="29" t="e">
        <f>IF(INDEX(#REF!,MATCH('data '!$B185,#REF!,0),MATCH('data '!R$3,#REF!,0))=0,"",INDEX(#REF!,MATCH('data '!$B185,#REF!,0),MATCH('data '!R$3,#REF!,0)))</f>
        <v>#REF!</v>
      </c>
      <c r="S185" s="29" t="e">
        <f>IF(INDEX(#REF!,MATCH('data '!$B185,#REF!,0),MATCH('data '!S$3,#REF!,0))=0,"",INDEX(#REF!,MATCH('data '!$B185,#REF!,0),MATCH('data '!S$3,#REF!,0)))</f>
        <v>#REF!</v>
      </c>
      <c r="T185" s="29" t="e">
        <f>IF(INDEX(#REF!,MATCH('data '!$B185,#REF!,0),MATCH('data '!T$3,#REF!,0))=0,"",INDEX(#REF!,MATCH('data '!$B185,#REF!,0),MATCH('data '!T$3,#REF!,0)))</f>
        <v>#REF!</v>
      </c>
      <c r="V185" s="25" t="s">
        <v>74</v>
      </c>
      <c r="W185" s="25">
        <v>0</v>
      </c>
      <c r="AC185" s="8" t="e">
        <f>VLOOKUP(B185,#REF!,19,0)</f>
        <v>#REF!</v>
      </c>
      <c r="AE185" s="8" t="s">
        <v>582</v>
      </c>
      <c r="AF185" s="8">
        <v>45957</v>
      </c>
      <c r="AG185" s="8">
        <v>45957</v>
      </c>
      <c r="AH185" s="8" t="s">
        <v>583</v>
      </c>
      <c r="AI185" s="8">
        <v>45964</v>
      </c>
      <c r="AJ185" s="8" t="s">
        <v>584</v>
      </c>
      <c r="AP185" s="8" t="str">
        <f t="shared" si="6"/>
        <v>PO Issued</v>
      </c>
      <c r="AQ185" s="10" t="b" cm="1">
        <f t="array" aca="1" ref="AQ185" ca="1">IF(AM185&gt;0,(TODAY()-AM185),IF(AL185&gt;0,(TODAY()-AL185),IF(AK185&gt;0,(TODAY()-AK185,IF(AI185&gt;0,(TODAY()-AI185),IF(AG185&gt;0,(TODAY()-AG185),IF(AF185&gt;0,(TODAY()-AF185),IF(X185&gt;0,(TODAY()-X185)," "))))))))</f>
        <v>0</v>
      </c>
      <c r="BD185" s="2" t="str">
        <f t="shared" si="7"/>
        <v>Vendor Allocated</v>
      </c>
      <c r="BE185" s="2" t="s">
        <v>75</v>
      </c>
      <c r="BG185" s="2" t="e">
        <v>#N/A</v>
      </c>
    </row>
    <row r="186" spans="2:59" hidden="1" x14ac:dyDescent="0.25">
      <c r="B186" s="2" t="s">
        <v>1057</v>
      </c>
      <c r="C186" s="2" t="s">
        <v>1058</v>
      </c>
      <c r="D186" s="44" t="s">
        <v>1059</v>
      </c>
      <c r="E186" s="2" t="s">
        <v>6</v>
      </c>
      <c r="F186" s="2" t="s">
        <v>1060</v>
      </c>
      <c r="G186" s="2" t="s">
        <v>1</v>
      </c>
      <c r="H186" s="2" t="s">
        <v>111</v>
      </c>
      <c r="I186" s="2" t="s">
        <v>112</v>
      </c>
      <c r="J186" s="2" t="s">
        <v>344</v>
      </c>
      <c r="K186" s="2" t="s">
        <v>345</v>
      </c>
      <c r="L186" s="2" t="s">
        <v>1061</v>
      </c>
      <c r="M186" s="2">
        <v>0</v>
      </c>
      <c r="N186" s="2">
        <v>0</v>
      </c>
      <c r="O186" s="2">
        <v>0</v>
      </c>
      <c r="P186" s="2" t="s">
        <v>72</v>
      </c>
      <c r="Q186" s="2" t="s">
        <v>73</v>
      </c>
      <c r="R186" s="29" t="e">
        <f>IF(INDEX(#REF!,MATCH('data '!$B186,#REF!,0),MATCH('data '!R$3,#REF!,0))=0,"",INDEX(#REF!,MATCH('data '!$B186,#REF!,0),MATCH('data '!R$3,#REF!,0)))</f>
        <v>#REF!</v>
      </c>
      <c r="S186" s="29" t="e">
        <f>IF(INDEX(#REF!,MATCH('data '!$B186,#REF!,0),MATCH('data '!S$3,#REF!,0))=0,"",INDEX(#REF!,MATCH('data '!$B186,#REF!,0),MATCH('data '!S$3,#REF!,0)))</f>
        <v>#REF!</v>
      </c>
      <c r="T186" s="29" t="e">
        <f>IF(INDEX(#REF!,MATCH('data '!$B186,#REF!,0),MATCH('data '!T$3,#REF!,0))=0,"",INDEX(#REF!,MATCH('data '!$B186,#REF!,0),MATCH('data '!T$3,#REF!,0)))</f>
        <v>#REF!</v>
      </c>
      <c r="V186" s="25" t="s">
        <v>74</v>
      </c>
      <c r="W186" s="25">
        <v>0</v>
      </c>
      <c r="AC186" s="8" t="e">
        <f>VLOOKUP(B186,#REF!,19,0)</f>
        <v>#REF!</v>
      </c>
      <c r="AP186" s="8" t="str">
        <f t="shared" si="6"/>
        <v>Not yet endorsed</v>
      </c>
      <c r="AQ186" s="10" t="b" cm="1">
        <f t="array" aca="1" ref="AQ186" ca="1">IF(AM186&gt;0,(TODAY()-AM186),IF(AL186&gt;0,(TODAY()-AL186),IF(AK186&gt;0,(TODAY()-AK186,IF(AI186&gt;0,(TODAY()-AI186),IF(AG186&gt;0,(TODAY()-AG186),IF(AF186&gt;0,(TODAY()-AF186),IF(X186&gt;0,(TODAY()-X186)," "))))))))</f>
        <v>0</v>
      </c>
      <c r="BD186" s="2" t="str">
        <f t="shared" si="7"/>
        <v>Not yet endorsed</v>
      </c>
      <c r="BE186" s="2" t="s">
        <v>75</v>
      </c>
      <c r="BG186" s="2" t="e">
        <v>#N/A</v>
      </c>
    </row>
    <row r="187" spans="2:59" hidden="1" x14ac:dyDescent="0.25">
      <c r="B187" s="2" t="s">
        <v>1062</v>
      </c>
      <c r="C187" s="2" t="s">
        <v>1063</v>
      </c>
      <c r="D187" s="44" t="s">
        <v>1064</v>
      </c>
      <c r="E187" s="2" t="s">
        <v>6</v>
      </c>
      <c r="F187" s="2" t="s">
        <v>110</v>
      </c>
      <c r="G187" s="2" t="s">
        <v>1</v>
      </c>
      <c r="H187" s="2" t="s">
        <v>111</v>
      </c>
      <c r="I187" s="2" t="s">
        <v>112</v>
      </c>
      <c r="J187" s="2" t="s">
        <v>113</v>
      </c>
      <c r="K187" s="2" t="s">
        <v>114</v>
      </c>
      <c r="L187" s="2" t="s">
        <v>115</v>
      </c>
      <c r="M187" s="2">
        <v>0</v>
      </c>
      <c r="N187" s="2">
        <v>10.323394</v>
      </c>
      <c r="O187" s="2">
        <v>123.878601</v>
      </c>
      <c r="P187" s="2" t="s">
        <v>168</v>
      </c>
      <c r="Q187" s="2" t="s">
        <v>73</v>
      </c>
      <c r="R187" s="29" t="e">
        <f>IF(INDEX(#REF!,MATCH('data '!$B187,#REF!,0),MATCH('data '!R$3,#REF!,0))=0,"",INDEX(#REF!,MATCH('data '!$B187,#REF!,0),MATCH('data '!R$3,#REF!,0)))</f>
        <v>#REF!</v>
      </c>
      <c r="S187" s="29" t="e">
        <f>IF(INDEX(#REF!,MATCH('data '!$B187,#REF!,0),MATCH('data '!S$3,#REF!,0))=0,"",INDEX(#REF!,MATCH('data '!$B187,#REF!,0),MATCH('data '!S$3,#REF!,0)))</f>
        <v>#REF!</v>
      </c>
      <c r="T187" s="29" t="e">
        <f>IF(INDEX(#REF!,MATCH('data '!$B187,#REF!,0),MATCH('data '!T$3,#REF!,0))=0,"",INDEX(#REF!,MATCH('data '!$B187,#REF!,0),MATCH('data '!T$3,#REF!,0)))</f>
        <v>#REF!</v>
      </c>
      <c r="U187" s="8" t="s">
        <v>25</v>
      </c>
      <c r="V187" s="25" t="s">
        <v>74</v>
      </c>
      <c r="W187" s="25">
        <v>0</v>
      </c>
      <c r="AC187" s="8" t="e">
        <f>VLOOKUP(B187,#REF!,19,0)</f>
        <v>#REF!</v>
      </c>
      <c r="AP187" s="8" t="str">
        <f t="shared" si="6"/>
        <v>Not yet endorsed</v>
      </c>
      <c r="AQ187" s="10" t="b" cm="1">
        <f t="array" aca="1" ref="AQ187" ca="1">IF(AM187&gt;0,(TODAY()-AM187),IF(AL187&gt;0,(TODAY()-AL187),IF(AK187&gt;0,(TODAY()-AK187,IF(AI187&gt;0,(TODAY()-AI187),IF(AG187&gt;0,(TODAY()-AG187),IF(AF187&gt;0,(TODAY()-AF187),IF(X187&gt;0,(TODAY()-X187)," "))))))))</f>
        <v>0</v>
      </c>
      <c r="BD187" s="2" t="str">
        <f t="shared" si="7"/>
        <v>TSSR Approved</v>
      </c>
      <c r="BE187" s="2" t="e">
        <v>#VALUE!</v>
      </c>
      <c r="BG187" s="2" t="e">
        <v>#N/A</v>
      </c>
    </row>
    <row r="188" spans="2:59" hidden="1" x14ac:dyDescent="0.25">
      <c r="B188" s="2" t="s">
        <v>1065</v>
      </c>
      <c r="C188" s="2" t="s">
        <v>1066</v>
      </c>
      <c r="D188" s="44" t="s">
        <v>1067</v>
      </c>
      <c r="E188" s="2" t="s">
        <v>6</v>
      </c>
      <c r="F188" s="2" t="s">
        <v>110</v>
      </c>
      <c r="G188" s="2" t="s">
        <v>1</v>
      </c>
      <c r="H188" s="2" t="s">
        <v>111</v>
      </c>
      <c r="I188" s="2" t="s">
        <v>112</v>
      </c>
      <c r="J188" s="2" t="s">
        <v>113</v>
      </c>
      <c r="K188" s="2" t="s">
        <v>114</v>
      </c>
      <c r="L188" s="2" t="s">
        <v>115</v>
      </c>
      <c r="M188" s="2">
        <v>0</v>
      </c>
      <c r="N188" s="2">
        <v>10.276681200000001</v>
      </c>
      <c r="O188" s="2">
        <v>123.8561035</v>
      </c>
      <c r="P188" s="2" t="s">
        <v>168</v>
      </c>
      <c r="Q188" s="2" t="s">
        <v>73</v>
      </c>
      <c r="R188" s="29" t="e">
        <f>IF(INDEX(#REF!,MATCH('data '!$B188,#REF!,0),MATCH('data '!R$3,#REF!,0))=0,"",INDEX(#REF!,MATCH('data '!$B188,#REF!,0),MATCH('data '!R$3,#REF!,0)))</f>
        <v>#REF!</v>
      </c>
      <c r="S188" s="29" t="e">
        <f>IF(INDEX(#REF!,MATCH('data '!$B188,#REF!,0),MATCH('data '!S$3,#REF!,0))=0,"",INDEX(#REF!,MATCH('data '!$B188,#REF!,0),MATCH('data '!S$3,#REF!,0)))</f>
        <v>#REF!</v>
      </c>
      <c r="T188" s="29" t="e">
        <f>IF(INDEX(#REF!,MATCH('data '!$B188,#REF!,0),MATCH('data '!T$3,#REF!,0))=0,"",INDEX(#REF!,MATCH('data '!$B188,#REF!,0),MATCH('data '!T$3,#REF!,0)))</f>
        <v>#REF!</v>
      </c>
      <c r="U188" s="8" t="s">
        <v>25</v>
      </c>
      <c r="V188" s="25" t="s">
        <v>168</v>
      </c>
      <c r="W188" s="25" t="s">
        <v>176</v>
      </c>
      <c r="AC188" s="8" t="e">
        <f>VLOOKUP(B188,#REF!,19,0)</f>
        <v>#REF!</v>
      </c>
      <c r="AP188" s="8" t="str">
        <f t="shared" si="6"/>
        <v>Not yet endorsed</v>
      </c>
      <c r="AQ188" s="10" t="b" cm="1">
        <f t="array" aca="1" ref="AQ188" ca="1">IF(AM188&gt;0,(TODAY()-AM188),IF(AL188&gt;0,(TODAY()-AL188),IF(AK188&gt;0,(TODAY()-AK188,IF(AI188&gt;0,(TODAY()-AI188),IF(AG188&gt;0,(TODAY()-AG188),IF(AF188&gt;0,(TODAY()-AF188),IF(X188&gt;0,(TODAY()-X188)," "))))))))</f>
        <v>0</v>
      </c>
      <c r="BD188" s="2" t="str">
        <f t="shared" si="7"/>
        <v>TSSR Approved</v>
      </c>
      <c r="BE188" s="2" t="e">
        <v>#VALUE!</v>
      </c>
      <c r="BG188" s="2" t="e">
        <v>#N/A</v>
      </c>
    </row>
    <row r="189" spans="2:59" hidden="1" x14ac:dyDescent="0.25">
      <c r="B189" s="2" t="s">
        <v>1068</v>
      </c>
      <c r="C189" s="2" t="s">
        <v>1069</v>
      </c>
      <c r="D189" s="44" t="s">
        <v>1070</v>
      </c>
      <c r="E189" s="2" t="s">
        <v>6</v>
      </c>
      <c r="F189" s="2" t="s">
        <v>110</v>
      </c>
      <c r="G189" s="2" t="s">
        <v>1</v>
      </c>
      <c r="H189" s="2" t="s">
        <v>111</v>
      </c>
      <c r="I189" s="2" t="s">
        <v>112</v>
      </c>
      <c r="J189" s="2" t="s">
        <v>113</v>
      </c>
      <c r="K189" s="2" t="s">
        <v>114</v>
      </c>
      <c r="L189" s="2" t="s">
        <v>115</v>
      </c>
      <c r="M189" s="2">
        <v>0</v>
      </c>
      <c r="N189" s="2">
        <v>10.300879</v>
      </c>
      <c r="O189" s="2">
        <v>123.86322199999999</v>
      </c>
      <c r="P189" s="2" t="s">
        <v>133</v>
      </c>
      <c r="Q189" s="2" t="s">
        <v>73</v>
      </c>
      <c r="R189" s="29" t="e">
        <f>IF(INDEX(#REF!,MATCH('data '!$B189,#REF!,0),MATCH('data '!R$3,#REF!,0))=0,"",INDEX(#REF!,MATCH('data '!$B189,#REF!,0),MATCH('data '!R$3,#REF!,0)))</f>
        <v>#REF!</v>
      </c>
      <c r="S189" s="29" t="e">
        <f>IF(INDEX(#REF!,MATCH('data '!$B189,#REF!,0),MATCH('data '!S$3,#REF!,0))=0,"",INDEX(#REF!,MATCH('data '!$B189,#REF!,0),MATCH('data '!S$3,#REF!,0)))</f>
        <v>#REF!</v>
      </c>
      <c r="T189" s="29" t="e">
        <f>IF(INDEX(#REF!,MATCH('data '!$B189,#REF!,0),MATCH('data '!T$3,#REF!,0))=0,"",INDEX(#REF!,MATCH('data '!$B189,#REF!,0),MATCH('data '!T$3,#REF!,0)))</f>
        <v>#REF!</v>
      </c>
      <c r="V189" s="25" t="s">
        <v>168</v>
      </c>
      <c r="W189" s="25" t="s">
        <v>176</v>
      </c>
      <c r="AC189" s="8" t="e">
        <f>VLOOKUP(B189,#REF!,19,0)</f>
        <v>#REF!</v>
      </c>
      <c r="AP189" s="8" t="str">
        <f t="shared" si="6"/>
        <v>Not yet endorsed</v>
      </c>
      <c r="AQ189" s="10" t="b" cm="1">
        <f t="array" aca="1" ref="AQ189" ca="1">IF(AM189&gt;0,(TODAY()-AM189),IF(AL189&gt;0,(TODAY()-AL189),IF(AK189&gt;0,(TODAY()-AK189,IF(AI189&gt;0,(TODAY()-AI189),IF(AG189&gt;0,(TODAY()-AG189),IF(AF189&gt;0,(TODAY()-AF189),IF(X189&gt;0,(TODAY()-X189)," "))))))))</f>
        <v>0</v>
      </c>
      <c r="BD189" s="2" t="str">
        <f t="shared" si="7"/>
        <v>Not yet endorsed</v>
      </c>
      <c r="BE189" s="2" t="s">
        <v>75</v>
      </c>
      <c r="BG189" s="2" t="e">
        <v>#N/A</v>
      </c>
    </row>
    <row r="190" spans="2:59" hidden="1" x14ac:dyDescent="0.25">
      <c r="B190" s="2" t="s">
        <v>1071</v>
      </c>
      <c r="C190" s="2" t="s">
        <v>1072</v>
      </c>
      <c r="D190" s="44" t="s">
        <v>1073</v>
      </c>
      <c r="E190" s="2" t="s">
        <v>6</v>
      </c>
      <c r="F190" s="2" t="s">
        <v>110</v>
      </c>
      <c r="G190" s="2" t="s">
        <v>1</v>
      </c>
      <c r="H190" s="2" t="s">
        <v>111</v>
      </c>
      <c r="I190" s="2" t="s">
        <v>112</v>
      </c>
      <c r="J190" s="2" t="s">
        <v>113</v>
      </c>
      <c r="K190" s="2" t="s">
        <v>114</v>
      </c>
      <c r="L190" s="2" t="s">
        <v>115</v>
      </c>
      <c r="M190" s="2">
        <v>0</v>
      </c>
      <c r="N190" s="2">
        <v>0</v>
      </c>
      <c r="O190" s="2">
        <v>0</v>
      </c>
      <c r="P190" s="2" t="s">
        <v>824</v>
      </c>
      <c r="Q190" s="2" t="s">
        <v>73</v>
      </c>
      <c r="R190" s="29" t="e">
        <f>IF(INDEX(#REF!,MATCH('data '!$B190,#REF!,0),MATCH('data '!R$3,#REF!,0))=0,"",INDEX(#REF!,MATCH('data '!$B190,#REF!,0),MATCH('data '!R$3,#REF!,0)))</f>
        <v>#REF!</v>
      </c>
      <c r="S190" s="29" t="e">
        <f>IF(INDEX(#REF!,MATCH('data '!$B190,#REF!,0),MATCH('data '!S$3,#REF!,0))=0,"",INDEX(#REF!,MATCH('data '!$B190,#REF!,0),MATCH('data '!S$3,#REF!,0)))</f>
        <v>#REF!</v>
      </c>
      <c r="T190" s="29" t="e">
        <f>IF(INDEX(#REF!,MATCH('data '!$B190,#REF!,0),MATCH('data '!T$3,#REF!,0))=0,"",INDEX(#REF!,MATCH('data '!$B190,#REF!,0),MATCH('data '!T$3,#REF!,0)))</f>
        <v>#REF!</v>
      </c>
      <c r="U190" s="8" t="s">
        <v>25</v>
      </c>
      <c r="V190" s="25" t="s">
        <v>74</v>
      </c>
      <c r="W190" s="25">
        <v>0</v>
      </c>
      <c r="AC190" s="8" t="e">
        <f>VLOOKUP(B190,#REF!,19,0)</f>
        <v>#REF!</v>
      </c>
      <c r="AP190" s="8" t="str">
        <f t="shared" si="6"/>
        <v>Not yet endorsed</v>
      </c>
      <c r="AQ190" s="10" t="b" cm="1">
        <f t="array" aca="1" ref="AQ190" ca="1">IF(AM190&gt;0,(TODAY()-AM190),IF(AL190&gt;0,(TODAY()-AL190),IF(AK190&gt;0,(TODAY()-AK190,IF(AI190&gt;0,(TODAY()-AI190),IF(AG190&gt;0,(TODAY()-AG190),IF(AF190&gt;0,(TODAY()-AF190),IF(X190&gt;0,(TODAY()-X190)," "))))))))</f>
        <v>0</v>
      </c>
      <c r="BD190" s="2" t="str">
        <f t="shared" si="7"/>
        <v>TSSR Approved</v>
      </c>
      <c r="BE190" s="2" t="e">
        <v>#VALUE!</v>
      </c>
      <c r="BG190" s="2" t="e">
        <v>#N/A</v>
      </c>
    </row>
    <row r="191" spans="2:59" hidden="1" x14ac:dyDescent="0.25">
      <c r="B191" s="2" t="s">
        <v>1074</v>
      </c>
      <c r="C191" s="2" t="s">
        <v>1075</v>
      </c>
      <c r="D191" s="44" t="s">
        <v>1076</v>
      </c>
      <c r="E191" s="2" t="s">
        <v>11</v>
      </c>
      <c r="F191" s="2" t="s">
        <v>464</v>
      </c>
      <c r="G191" s="2" t="s">
        <v>1</v>
      </c>
      <c r="H191" s="2" t="s">
        <v>165</v>
      </c>
      <c r="I191" s="2" t="s">
        <v>68</v>
      </c>
      <c r="J191" s="2" t="s">
        <v>69</v>
      </c>
      <c r="K191" s="2" t="s">
        <v>465</v>
      </c>
      <c r="L191" s="2" t="s">
        <v>1077</v>
      </c>
      <c r="M191" s="2">
        <v>0</v>
      </c>
      <c r="N191" s="2">
        <v>0</v>
      </c>
      <c r="O191" s="2">
        <v>0</v>
      </c>
      <c r="P191" s="2" t="s">
        <v>116</v>
      </c>
      <c r="Q191" s="2" t="s">
        <v>73</v>
      </c>
      <c r="R191" s="29" t="e">
        <f>IF(INDEX(#REF!,MATCH('data '!$B191,#REF!,0),MATCH('data '!R$3,#REF!,0))=0,"",INDEX(#REF!,MATCH('data '!$B191,#REF!,0),MATCH('data '!R$3,#REF!,0)))</f>
        <v>#REF!</v>
      </c>
      <c r="S191" s="29" t="e">
        <f>IF(INDEX(#REF!,MATCH('data '!$B191,#REF!,0),MATCH('data '!S$3,#REF!,0))=0,"",INDEX(#REF!,MATCH('data '!$B191,#REF!,0),MATCH('data '!S$3,#REF!,0)))</f>
        <v>#REF!</v>
      </c>
      <c r="T191" s="29" t="e">
        <f>IF(INDEX(#REF!,MATCH('data '!$B191,#REF!,0),MATCH('data '!T$3,#REF!,0))=0,"",INDEX(#REF!,MATCH('data '!$B191,#REF!,0),MATCH('data '!T$3,#REF!,0)))</f>
        <v>#REF!</v>
      </c>
      <c r="V191" s="25" t="s">
        <v>95</v>
      </c>
      <c r="W191" s="25">
        <v>0</v>
      </c>
      <c r="AC191" s="8" t="e">
        <f>VLOOKUP(B191,#REF!,19,0)</f>
        <v>#REF!</v>
      </c>
      <c r="AP191" s="8" t="str">
        <f t="shared" si="6"/>
        <v>Not yet endorsed</v>
      </c>
      <c r="AQ191" s="10" t="b" cm="1">
        <f t="array" aca="1" ref="AQ191" ca="1">IF(AM191&gt;0,(TODAY()-AM191),IF(AL191&gt;0,(TODAY()-AL191),IF(AK191&gt;0,(TODAY()-AK191,IF(AI191&gt;0,(TODAY()-AI191),IF(AG191&gt;0,(TODAY()-AG191),IF(AF191&gt;0,(TODAY()-AF191),IF(X191&gt;0,(TODAY()-X191)," "))))))))</f>
        <v>0</v>
      </c>
      <c r="BD191" s="2" t="str">
        <f t="shared" si="7"/>
        <v>Not yet endorsed</v>
      </c>
      <c r="BE191" s="2" t="s">
        <v>75</v>
      </c>
      <c r="BG191" s="2" t="e">
        <v>#N/A</v>
      </c>
    </row>
    <row r="192" spans="2:59" hidden="1" x14ac:dyDescent="0.25">
      <c r="B192" s="2" t="s">
        <v>1078</v>
      </c>
      <c r="C192" s="2" t="s">
        <v>1079</v>
      </c>
      <c r="D192" s="44" t="s">
        <v>1080</v>
      </c>
      <c r="E192" s="2" t="s">
        <v>11</v>
      </c>
      <c r="F192" s="2" t="s">
        <v>464</v>
      </c>
      <c r="G192" s="2" t="s">
        <v>1</v>
      </c>
      <c r="H192" s="2" t="s">
        <v>165</v>
      </c>
      <c r="I192" s="2" t="s">
        <v>68</v>
      </c>
      <c r="J192" s="2" t="s">
        <v>69</v>
      </c>
      <c r="K192" s="2" t="s">
        <v>465</v>
      </c>
      <c r="L192" s="2" t="s">
        <v>1081</v>
      </c>
      <c r="M192" s="2">
        <v>0</v>
      </c>
      <c r="N192" s="2">
        <v>0</v>
      </c>
      <c r="O192" s="2">
        <v>0</v>
      </c>
      <c r="P192" s="2" t="s">
        <v>116</v>
      </c>
      <c r="Q192" s="2" t="s">
        <v>73</v>
      </c>
      <c r="R192" s="29" t="e">
        <f>IF(INDEX(#REF!,MATCH('data '!$B192,#REF!,0),MATCH('data '!R$3,#REF!,0))=0,"",INDEX(#REF!,MATCH('data '!$B192,#REF!,0),MATCH('data '!R$3,#REF!,0)))</f>
        <v>#REF!</v>
      </c>
      <c r="S192" s="29" t="e">
        <f>IF(INDEX(#REF!,MATCH('data '!$B192,#REF!,0),MATCH('data '!S$3,#REF!,0))=0,"",INDEX(#REF!,MATCH('data '!$B192,#REF!,0),MATCH('data '!S$3,#REF!,0)))</f>
        <v>#REF!</v>
      </c>
      <c r="T192" s="29" t="e">
        <f>IF(INDEX(#REF!,MATCH('data '!$B192,#REF!,0),MATCH('data '!T$3,#REF!,0))=0,"",INDEX(#REF!,MATCH('data '!$B192,#REF!,0),MATCH('data '!T$3,#REF!,0)))</f>
        <v>#REF!</v>
      </c>
      <c r="V192" s="25" t="s">
        <v>95</v>
      </c>
      <c r="W192" s="25">
        <v>0</v>
      </c>
      <c r="AC192" s="8" t="e">
        <f>VLOOKUP(B192,#REF!,19,0)</f>
        <v>#REF!</v>
      </c>
      <c r="AP192" s="8" t="str">
        <f t="shared" si="6"/>
        <v>Not yet endorsed</v>
      </c>
      <c r="AQ192" s="10" t="b" cm="1">
        <f t="array" aca="1" ref="AQ192" ca="1">IF(AM192&gt;0,(TODAY()-AM192),IF(AL192&gt;0,(TODAY()-AL192),IF(AK192&gt;0,(TODAY()-AK192,IF(AI192&gt;0,(TODAY()-AI192),IF(AG192&gt;0,(TODAY()-AG192),IF(AF192&gt;0,(TODAY()-AF192),IF(X192&gt;0,(TODAY()-X192)," "))))))))</f>
        <v>0</v>
      </c>
      <c r="BD192" s="2" t="str">
        <f t="shared" si="7"/>
        <v>Not yet endorsed</v>
      </c>
      <c r="BE192" s="2" t="s">
        <v>75</v>
      </c>
      <c r="BG192" s="2" t="e">
        <v>#N/A</v>
      </c>
    </row>
    <row r="193" spans="2:60" hidden="1" x14ac:dyDescent="0.25">
      <c r="B193" s="2" t="s">
        <v>1082</v>
      </c>
      <c r="C193" s="2" t="s">
        <v>1083</v>
      </c>
      <c r="D193" s="44" t="s">
        <v>1084</v>
      </c>
      <c r="E193" s="2" t="s">
        <v>4</v>
      </c>
      <c r="F193" s="2" t="s">
        <v>575</v>
      </c>
      <c r="G193" s="2" t="s">
        <v>1</v>
      </c>
      <c r="H193" s="2" t="s">
        <v>120</v>
      </c>
      <c r="I193" s="2" t="s">
        <v>140</v>
      </c>
      <c r="J193" s="2" t="s">
        <v>122</v>
      </c>
      <c r="K193" s="2" t="s">
        <v>123</v>
      </c>
      <c r="L193" s="2" t="s">
        <v>1085</v>
      </c>
      <c r="M193" s="2">
        <v>0</v>
      </c>
      <c r="N193" s="2">
        <v>0</v>
      </c>
      <c r="O193" s="2">
        <v>0</v>
      </c>
      <c r="P193" s="2" t="s">
        <v>72</v>
      </c>
      <c r="Q193" s="2" t="s">
        <v>73</v>
      </c>
      <c r="R193" s="29" t="e">
        <f>IF(INDEX(#REF!,MATCH('data '!$B193,#REF!,0),MATCH('data '!R$3,#REF!,0))=0,"",INDEX(#REF!,MATCH('data '!$B193,#REF!,0),MATCH('data '!R$3,#REF!,0)))</f>
        <v>#REF!</v>
      </c>
      <c r="S193" s="29" t="e">
        <f>IF(INDEX(#REF!,MATCH('data '!$B193,#REF!,0),MATCH('data '!S$3,#REF!,0))=0,"",INDEX(#REF!,MATCH('data '!$B193,#REF!,0),MATCH('data '!S$3,#REF!,0)))</f>
        <v>#REF!</v>
      </c>
      <c r="T193" s="29" t="e">
        <f>IF(INDEX(#REF!,MATCH('data '!$B193,#REF!,0),MATCH('data '!T$3,#REF!,0))=0,"",INDEX(#REF!,MATCH('data '!$B193,#REF!,0),MATCH('data '!T$3,#REF!,0)))</f>
        <v>#REF!</v>
      </c>
      <c r="V193" s="25" t="s">
        <v>74</v>
      </c>
      <c r="W193" s="25">
        <v>0</v>
      </c>
      <c r="AC193" s="8" t="e">
        <f>VLOOKUP(B193,#REF!,19,0)</f>
        <v>#REF!</v>
      </c>
      <c r="AP193" s="8" t="str">
        <f t="shared" si="6"/>
        <v>Not yet endorsed</v>
      </c>
      <c r="AQ193" s="10" t="b" cm="1">
        <f t="array" aca="1" ref="AQ193" ca="1">IF(AM193&gt;0,(TODAY()-AM193),IF(AL193&gt;0,(TODAY()-AL193),IF(AK193&gt;0,(TODAY()-AK193,IF(AI193&gt;0,(TODAY()-AI193),IF(AG193&gt;0,(TODAY()-AG193),IF(AF193&gt;0,(TODAY()-AF193),IF(X193&gt;0,(TODAY()-X193)," "))))))))</f>
        <v>0</v>
      </c>
      <c r="BD193" s="2" t="str">
        <f t="shared" si="7"/>
        <v>Not yet endorsed</v>
      </c>
      <c r="BE193" s="2" t="s">
        <v>75</v>
      </c>
      <c r="BG193" s="2" t="e">
        <v>#N/A</v>
      </c>
    </row>
    <row r="194" spans="2:60" hidden="1" x14ac:dyDescent="0.25">
      <c r="B194" s="2" t="s">
        <v>1086</v>
      </c>
      <c r="C194" s="2" t="s">
        <v>1087</v>
      </c>
      <c r="D194" s="44" t="s">
        <v>1088</v>
      </c>
      <c r="E194" s="2" t="s">
        <v>11</v>
      </c>
      <c r="F194" s="2">
        <v>0</v>
      </c>
      <c r="G194" s="2" t="s">
        <v>1</v>
      </c>
      <c r="H194" s="2" t="s">
        <v>67</v>
      </c>
      <c r="I194" s="2" t="s">
        <v>68</v>
      </c>
      <c r="J194" s="2" t="s">
        <v>80</v>
      </c>
      <c r="K194" s="2" t="s">
        <v>81</v>
      </c>
      <c r="L194" s="2">
        <v>0</v>
      </c>
      <c r="M194" s="2">
        <v>0</v>
      </c>
      <c r="N194" s="2">
        <v>0</v>
      </c>
      <c r="O194" s="2">
        <v>0</v>
      </c>
      <c r="P194" s="2" t="s">
        <v>204</v>
      </c>
      <c r="Q194" s="2">
        <v>0</v>
      </c>
      <c r="R194" s="29" t="e">
        <f>IF(INDEX(#REF!,MATCH('data '!$B194,#REF!,0),MATCH('data '!R$3,#REF!,0))=0,"",INDEX(#REF!,MATCH('data '!$B194,#REF!,0),MATCH('data '!R$3,#REF!,0)))</f>
        <v>#REF!</v>
      </c>
      <c r="S194" s="29" t="e">
        <f>IF(INDEX(#REF!,MATCH('data '!$B194,#REF!,0),MATCH('data '!S$3,#REF!,0))=0,"",INDEX(#REF!,MATCH('data '!$B194,#REF!,0),MATCH('data '!S$3,#REF!,0)))</f>
        <v>#REF!</v>
      </c>
      <c r="T194" s="29" t="e">
        <f>IF(INDEX(#REF!,MATCH('data '!$B194,#REF!,0),MATCH('data '!T$3,#REF!,0))=0,"",INDEX(#REF!,MATCH('data '!$B194,#REF!,0),MATCH('data '!T$3,#REF!,0)))</f>
        <v>#REF!</v>
      </c>
      <c r="V194" s="25" t="s">
        <v>168</v>
      </c>
      <c r="W194" s="25" t="s">
        <v>176</v>
      </c>
      <c r="AC194" s="8" t="e">
        <f>VLOOKUP(B194,#REF!,19,0)</f>
        <v>#REF!</v>
      </c>
      <c r="AP194" s="8" t="str">
        <f t="shared" si="6"/>
        <v>Not yet endorsed</v>
      </c>
      <c r="AQ194" s="10" t="b" cm="1">
        <f t="array" aca="1" ref="AQ194" ca="1">IF(AM194&gt;0,(TODAY()-AM194),IF(AL194&gt;0,(TODAY()-AL194),IF(AK194&gt;0,(TODAY()-AK194,IF(AI194&gt;0,(TODAY()-AI194),IF(AG194&gt;0,(TODAY()-AG194),IF(AF194&gt;0,(TODAY()-AF194),IF(X194&gt;0,(TODAY()-X194)," "))))))))</f>
        <v>0</v>
      </c>
      <c r="BD194" s="2" t="str">
        <f t="shared" si="7"/>
        <v>Not yet endorsed</v>
      </c>
      <c r="BE194" s="2" t="s">
        <v>75</v>
      </c>
      <c r="BG194" s="2" t="e">
        <v>#N/A</v>
      </c>
    </row>
    <row r="195" spans="2:60" hidden="1" x14ac:dyDescent="0.25">
      <c r="B195" s="2" t="s">
        <v>1089</v>
      </c>
      <c r="C195" s="2" t="s">
        <v>1090</v>
      </c>
      <c r="D195" s="44" t="s">
        <v>1091</v>
      </c>
      <c r="E195" s="2" t="s">
        <v>6</v>
      </c>
      <c r="F195" s="2">
        <v>0</v>
      </c>
      <c r="G195" s="2" t="s">
        <v>1</v>
      </c>
      <c r="H195" s="2" t="s">
        <v>111</v>
      </c>
      <c r="I195" s="2" t="s">
        <v>112</v>
      </c>
      <c r="J195" s="2" t="s">
        <v>344</v>
      </c>
      <c r="K195" s="2" t="s">
        <v>620</v>
      </c>
      <c r="L195" s="2">
        <v>0</v>
      </c>
      <c r="M195" s="2">
        <v>0</v>
      </c>
      <c r="N195" s="2">
        <v>0</v>
      </c>
      <c r="O195" s="2">
        <v>0</v>
      </c>
      <c r="P195" s="2" t="s">
        <v>655</v>
      </c>
      <c r="Q195" s="2">
        <v>0</v>
      </c>
      <c r="R195" s="29" t="e">
        <f>IF(INDEX(#REF!,MATCH('data '!$B195,#REF!,0),MATCH('data '!R$3,#REF!,0))=0,"",INDEX(#REF!,MATCH('data '!$B195,#REF!,0),MATCH('data '!R$3,#REF!,0)))</f>
        <v>#REF!</v>
      </c>
      <c r="S195" s="29" t="e">
        <f>IF(INDEX(#REF!,MATCH('data '!$B195,#REF!,0),MATCH('data '!S$3,#REF!,0))=0,"",INDEX(#REF!,MATCH('data '!$B195,#REF!,0),MATCH('data '!S$3,#REF!,0)))</f>
        <v>#REF!</v>
      </c>
      <c r="T195" s="29" t="e">
        <f>IF(INDEX(#REF!,MATCH('data '!$B195,#REF!,0),MATCH('data '!T$3,#REF!,0))=0,"",INDEX(#REF!,MATCH('data '!$B195,#REF!,0),MATCH('data '!T$3,#REF!,0)))</f>
        <v>#REF!</v>
      </c>
      <c r="V195" s="25" t="s">
        <v>74</v>
      </c>
      <c r="W195" s="25">
        <v>0</v>
      </c>
      <c r="AC195" s="8" t="e">
        <f>VLOOKUP(B195,#REF!,19,0)</f>
        <v>#REF!</v>
      </c>
      <c r="AP195" s="8" t="str">
        <f t="shared" si="6"/>
        <v>Not yet endorsed</v>
      </c>
      <c r="AQ195" s="10" t="b" cm="1">
        <f t="array" aca="1" ref="AQ195" ca="1">IF(AM195&gt;0,(TODAY()-AM195),IF(AL195&gt;0,(TODAY()-AL195),IF(AK195&gt;0,(TODAY()-AK195,IF(AI195&gt;0,(TODAY()-AI195),IF(AG195&gt;0,(TODAY()-AG195),IF(AF195&gt;0,(TODAY()-AF195),IF(X195&gt;0,(TODAY()-X195)," "))))))))</f>
        <v>0</v>
      </c>
      <c r="BD195" s="2" t="str">
        <f t="shared" si="7"/>
        <v>Not yet endorsed</v>
      </c>
      <c r="BE195" s="2" t="s">
        <v>75</v>
      </c>
      <c r="BG195" s="2" t="e">
        <v>#N/A</v>
      </c>
    </row>
    <row r="196" spans="2:60" hidden="1" x14ac:dyDescent="0.25">
      <c r="B196" s="2" t="s">
        <v>1092</v>
      </c>
      <c r="C196" s="2" t="s">
        <v>1093</v>
      </c>
      <c r="D196" s="44" t="s">
        <v>1094</v>
      </c>
      <c r="E196" s="2" t="s">
        <v>11</v>
      </c>
      <c r="F196" s="2" t="s">
        <v>79</v>
      </c>
      <c r="G196" s="2" t="s">
        <v>1</v>
      </c>
      <c r="H196" s="2" t="s">
        <v>67</v>
      </c>
      <c r="I196" s="2" t="s">
        <v>68</v>
      </c>
      <c r="J196" s="2" t="s">
        <v>80</v>
      </c>
      <c r="K196" s="2" t="s">
        <v>81</v>
      </c>
      <c r="L196" s="2">
        <v>0</v>
      </c>
      <c r="M196" s="2">
        <v>0</v>
      </c>
      <c r="N196" s="2">
        <v>0</v>
      </c>
      <c r="O196" s="2">
        <v>0</v>
      </c>
      <c r="P196" s="2" t="s">
        <v>490</v>
      </c>
      <c r="Q196" s="2" t="s">
        <v>73</v>
      </c>
      <c r="R196" s="29" t="e">
        <f>IF(INDEX(#REF!,MATCH('data '!$B196,#REF!,0),MATCH('data '!R$3,#REF!,0))=0,"",INDEX(#REF!,MATCH('data '!$B196,#REF!,0),MATCH('data '!R$3,#REF!,0)))</f>
        <v>#REF!</v>
      </c>
      <c r="S196" s="29" t="e">
        <f>IF(INDEX(#REF!,MATCH('data '!$B196,#REF!,0),MATCH('data '!S$3,#REF!,0))=0,"",INDEX(#REF!,MATCH('data '!$B196,#REF!,0),MATCH('data '!S$3,#REF!,0)))</f>
        <v>#REF!</v>
      </c>
      <c r="T196" s="29" t="e">
        <f>IF(INDEX(#REF!,MATCH('data '!$B196,#REF!,0),MATCH('data '!T$3,#REF!,0))=0,"",INDEX(#REF!,MATCH('data '!$B196,#REF!,0),MATCH('data '!T$3,#REF!,0)))</f>
        <v>#REF!</v>
      </c>
      <c r="V196" s="25" t="s">
        <v>204</v>
      </c>
      <c r="W196" s="25">
        <v>0</v>
      </c>
      <c r="AC196" s="8" t="e">
        <f>VLOOKUP(B196,#REF!,19,0)</f>
        <v>#REF!</v>
      </c>
      <c r="AP196" s="8" t="str">
        <f t="shared" ref="AP196:AP259" si="8">IF(AM196&gt;0,"Tempo Energized",IF(AL196&gt;0,"Tempo Permit Released",IF(AK196&gt;0,"COOP Surveyed",IF(AI196&gt;0,"PO Issued",IF(AG196&gt;0,"PQ Raised",IF(AF196&gt;0,"Vendor Allocated",IF(X196&gt;0,"BP Secured","Not yet endorsed")))))))</f>
        <v>Not yet endorsed</v>
      </c>
      <c r="AQ196" s="10" t="b" cm="1">
        <f t="array" aca="1" ref="AQ196" ca="1">IF(AM196&gt;0,(TODAY()-AM196),IF(AL196&gt;0,(TODAY()-AL196),IF(AK196&gt;0,(TODAY()-AK196,IF(AI196&gt;0,(TODAY()-AI196),IF(AG196&gt;0,(TODAY()-AG196),IF(AF196&gt;0,(TODAY()-AF196),IF(X196&gt;0,(TODAY()-X196)," "))))))))</f>
        <v>0</v>
      </c>
      <c r="BD196" s="2" t="str">
        <f t="shared" ref="BD196:BD259" si="9">IF(BC196&gt;0,"Permanent Energized",IF(BB196&gt;0,"Bill deposit Paid",IF(BA196&gt;0,"Line Construction Completed",IF(AZ196&gt;0,"Line Construction Started",IF(AX196&gt;0,"PO Issued",IF(AV196&gt;0,"PQ Raised",IF(AU196&gt;0,"BoQ Approved",IF(AT196&gt;0,"BoQ Submitted",IF(AF196&gt;0,"Vendor Allocated",IF(X196&gt;0,"BP Secured",IF(U196&gt;0,"TSSR Approved","Not yet endorsed")))))))))))</f>
        <v>Not yet endorsed</v>
      </c>
      <c r="BE196" s="2" t="s">
        <v>75</v>
      </c>
      <c r="BG196" s="2" t="e">
        <v>#N/A</v>
      </c>
    </row>
    <row r="197" spans="2:60" hidden="1" x14ac:dyDescent="0.25">
      <c r="B197" s="2" t="s">
        <v>1095</v>
      </c>
      <c r="C197" s="2" t="s">
        <v>1096</v>
      </c>
      <c r="D197" s="44" t="s">
        <v>1097</v>
      </c>
      <c r="E197" s="2" t="s">
        <v>11</v>
      </c>
      <c r="F197" s="2" t="s">
        <v>79</v>
      </c>
      <c r="G197" s="2" t="s">
        <v>1</v>
      </c>
      <c r="H197" s="2" t="s">
        <v>67</v>
      </c>
      <c r="I197" s="2" t="s">
        <v>68</v>
      </c>
      <c r="J197" s="2" t="s">
        <v>80</v>
      </c>
      <c r="K197" s="2" t="s">
        <v>81</v>
      </c>
      <c r="L197" s="2">
        <v>0</v>
      </c>
      <c r="M197" s="2">
        <v>0</v>
      </c>
      <c r="N197" s="2">
        <v>0</v>
      </c>
      <c r="O197" s="2">
        <v>0</v>
      </c>
      <c r="P197" s="2" t="s">
        <v>82</v>
      </c>
      <c r="Q197" s="2" t="s">
        <v>73</v>
      </c>
      <c r="R197" s="29" t="e">
        <f>IF(INDEX(#REF!,MATCH('data '!$B197,#REF!,0),MATCH('data '!R$3,#REF!,0))=0,"",INDEX(#REF!,MATCH('data '!$B197,#REF!,0),MATCH('data '!R$3,#REF!,0)))</f>
        <v>#REF!</v>
      </c>
      <c r="S197" s="29" t="e">
        <f>IF(INDEX(#REF!,MATCH('data '!$B197,#REF!,0),MATCH('data '!S$3,#REF!,0))=0,"",INDEX(#REF!,MATCH('data '!$B197,#REF!,0),MATCH('data '!S$3,#REF!,0)))</f>
        <v>#REF!</v>
      </c>
      <c r="T197" s="29" t="e">
        <f>IF(INDEX(#REF!,MATCH('data '!$B197,#REF!,0),MATCH('data '!T$3,#REF!,0))=0,"",INDEX(#REF!,MATCH('data '!$B197,#REF!,0),MATCH('data '!T$3,#REF!,0)))</f>
        <v>#REF!</v>
      </c>
      <c r="V197" s="25" t="s">
        <v>168</v>
      </c>
      <c r="W197" s="25" t="s">
        <v>176</v>
      </c>
      <c r="AC197" s="8" t="e">
        <f>VLOOKUP(B197,#REF!,19,0)</f>
        <v>#REF!</v>
      </c>
      <c r="AP197" s="8" t="str">
        <f t="shared" si="8"/>
        <v>Not yet endorsed</v>
      </c>
      <c r="AQ197" s="10" t="b" cm="1">
        <f t="array" aca="1" ref="AQ197" ca="1">IF(AM197&gt;0,(TODAY()-AM197),IF(AL197&gt;0,(TODAY()-AL197),IF(AK197&gt;0,(TODAY()-AK197,IF(AI197&gt;0,(TODAY()-AI197),IF(AG197&gt;0,(TODAY()-AG197),IF(AF197&gt;0,(TODAY()-AF197),IF(X197&gt;0,(TODAY()-X197)," "))))))))</f>
        <v>0</v>
      </c>
      <c r="BD197" s="2" t="str">
        <f t="shared" si="9"/>
        <v>Not yet endorsed</v>
      </c>
      <c r="BE197" s="2" t="s">
        <v>75</v>
      </c>
      <c r="BG197" s="2" t="e">
        <v>#N/A</v>
      </c>
    </row>
    <row r="198" spans="2:60" hidden="1" x14ac:dyDescent="0.25">
      <c r="B198" s="2" t="s">
        <v>1098</v>
      </c>
      <c r="C198" s="2" t="s">
        <v>1099</v>
      </c>
      <c r="D198" s="44" t="s">
        <v>1100</v>
      </c>
      <c r="E198" s="2" t="s">
        <v>11</v>
      </c>
      <c r="F198" s="2" t="s">
        <v>302</v>
      </c>
      <c r="G198" s="2" t="s">
        <v>1</v>
      </c>
      <c r="H198" s="2" t="s">
        <v>165</v>
      </c>
      <c r="I198" s="2" t="s">
        <v>68</v>
      </c>
      <c r="J198" s="2" t="s">
        <v>173</v>
      </c>
      <c r="K198" s="2" t="s">
        <v>303</v>
      </c>
      <c r="L198" s="2" t="s">
        <v>1002</v>
      </c>
      <c r="M198" s="2">
        <v>0</v>
      </c>
      <c r="N198" s="2">
        <v>0</v>
      </c>
      <c r="O198" s="2">
        <v>0</v>
      </c>
      <c r="P198" s="2" t="s">
        <v>82</v>
      </c>
      <c r="Q198" s="2" t="s">
        <v>73</v>
      </c>
      <c r="R198" s="29" t="e">
        <f>IF(INDEX(#REF!,MATCH('data '!$B198,#REF!,0),MATCH('data '!R$3,#REF!,0))=0,"",INDEX(#REF!,MATCH('data '!$B198,#REF!,0),MATCH('data '!R$3,#REF!,0)))</f>
        <v>#REF!</v>
      </c>
      <c r="S198" s="29" t="e">
        <f>IF(INDEX(#REF!,MATCH('data '!$B198,#REF!,0),MATCH('data '!S$3,#REF!,0))=0,"",INDEX(#REF!,MATCH('data '!$B198,#REF!,0),MATCH('data '!S$3,#REF!,0)))</f>
        <v>#REF!</v>
      </c>
      <c r="T198" s="29" t="e">
        <f>IF(INDEX(#REF!,MATCH('data '!$B198,#REF!,0),MATCH('data '!T$3,#REF!,0))=0,"",INDEX(#REF!,MATCH('data '!$B198,#REF!,0),MATCH('data '!T$3,#REF!,0)))</f>
        <v>#REF!</v>
      </c>
      <c r="V198" s="25" t="s">
        <v>133</v>
      </c>
      <c r="W198" s="25" t="s">
        <v>134</v>
      </c>
      <c r="AC198" s="8" t="e">
        <f>VLOOKUP(B198,#REF!,19,0)</f>
        <v>#REF!</v>
      </c>
      <c r="AP198" s="8" t="str">
        <f t="shared" si="8"/>
        <v>Not yet endorsed</v>
      </c>
      <c r="AQ198" s="10" t="b" cm="1">
        <f t="array" aca="1" ref="AQ198" ca="1">IF(AM198&gt;0,(TODAY()-AM198),IF(AL198&gt;0,(TODAY()-AL198),IF(AK198&gt;0,(TODAY()-AK198,IF(AI198&gt;0,(TODAY()-AI198),IF(AG198&gt;0,(TODAY()-AG198),IF(AF198&gt;0,(TODAY()-AF198),IF(X198&gt;0,(TODAY()-X198)," "))))))))</f>
        <v>0</v>
      </c>
      <c r="BD198" s="2" t="str">
        <f t="shared" si="9"/>
        <v>Not yet endorsed</v>
      </c>
      <c r="BE198" s="2" t="s">
        <v>75</v>
      </c>
      <c r="BG198" s="2" t="e">
        <v>#N/A</v>
      </c>
    </row>
    <row r="199" spans="2:60" hidden="1" x14ac:dyDescent="0.25">
      <c r="B199" s="2" t="s">
        <v>1101</v>
      </c>
      <c r="C199" s="2" t="s">
        <v>1102</v>
      </c>
      <c r="D199" s="44" t="s">
        <v>1103</v>
      </c>
      <c r="E199" s="2" t="s">
        <v>11</v>
      </c>
      <c r="F199" s="2" t="s">
        <v>164</v>
      </c>
      <c r="G199" s="2" t="s">
        <v>1</v>
      </c>
      <c r="H199" s="2" t="s">
        <v>165</v>
      </c>
      <c r="I199" s="2" t="s">
        <v>68</v>
      </c>
      <c r="J199" s="2" t="s">
        <v>69</v>
      </c>
      <c r="K199" s="2" t="s">
        <v>166</v>
      </c>
      <c r="L199" s="2" t="s">
        <v>167</v>
      </c>
      <c r="M199" s="2">
        <v>0</v>
      </c>
      <c r="N199" s="2">
        <v>5.0773466669999996</v>
      </c>
      <c r="O199" s="2">
        <v>119.7878067</v>
      </c>
      <c r="P199" s="2" t="s">
        <v>87</v>
      </c>
      <c r="Q199" s="2" t="s">
        <v>314</v>
      </c>
      <c r="R199" s="29" t="e">
        <f>IF(INDEX(#REF!,MATCH('data '!$B199,#REF!,0),MATCH('data '!R$3,#REF!,0))=0,"",INDEX(#REF!,MATCH('data '!$B199,#REF!,0),MATCH('data '!R$3,#REF!,0)))</f>
        <v>#REF!</v>
      </c>
      <c r="S199" s="29" t="e">
        <f>IF(INDEX(#REF!,MATCH('data '!$B199,#REF!,0),MATCH('data '!S$3,#REF!,0))=0,"",INDEX(#REF!,MATCH('data '!$B199,#REF!,0),MATCH('data '!S$3,#REF!,0)))</f>
        <v>#REF!</v>
      </c>
      <c r="T199" s="29" t="e">
        <f>IF(INDEX(#REF!,MATCH('data '!$B199,#REF!,0),MATCH('data '!T$3,#REF!,0))=0,"",INDEX(#REF!,MATCH('data '!$B199,#REF!,0),MATCH('data '!T$3,#REF!,0)))</f>
        <v>#REF!</v>
      </c>
      <c r="U199" s="8" t="s">
        <v>25</v>
      </c>
      <c r="V199" s="25" t="s">
        <v>74</v>
      </c>
      <c r="W199" s="25">
        <v>0</v>
      </c>
      <c r="AC199" s="8" t="e">
        <f>VLOOKUP(B199,#REF!,19,0)</f>
        <v>#REF!</v>
      </c>
      <c r="AP199" s="8" t="str">
        <f t="shared" si="8"/>
        <v>Not yet endorsed</v>
      </c>
      <c r="AQ199" s="10" t="b" cm="1">
        <f t="array" aca="1" ref="AQ199" ca="1">IF(AM199&gt;0,(TODAY()-AM199),IF(AL199&gt;0,(TODAY()-AL199),IF(AK199&gt;0,(TODAY()-AK199,IF(AI199&gt;0,(TODAY()-AI199),IF(AG199&gt;0,(TODAY()-AG199),IF(AF199&gt;0,(TODAY()-AF199),IF(X199&gt;0,(TODAY()-X199)," "))))))))</f>
        <v>0</v>
      </c>
      <c r="BD199" s="2" t="str">
        <f t="shared" si="9"/>
        <v>TSSR Approved</v>
      </c>
      <c r="BE199" s="2" t="e">
        <v>#VALUE!</v>
      </c>
      <c r="BG199" s="2" t="e">
        <v>#N/A</v>
      </c>
    </row>
    <row r="200" spans="2:60" hidden="1" x14ac:dyDescent="0.25">
      <c r="B200" s="2" t="s">
        <v>1104</v>
      </c>
      <c r="C200" s="2" t="s">
        <v>1105</v>
      </c>
      <c r="D200" s="44" t="s">
        <v>1106</v>
      </c>
      <c r="E200" s="2" t="s">
        <v>11</v>
      </c>
      <c r="F200" s="2" t="s">
        <v>164</v>
      </c>
      <c r="G200" s="2" t="s">
        <v>1</v>
      </c>
      <c r="H200" s="2" t="s">
        <v>165</v>
      </c>
      <c r="I200" s="2" t="s">
        <v>68</v>
      </c>
      <c r="J200" s="2" t="s">
        <v>69</v>
      </c>
      <c r="K200" s="2" t="s">
        <v>166</v>
      </c>
      <c r="L200" s="2" t="s">
        <v>1107</v>
      </c>
      <c r="M200" s="2">
        <v>0</v>
      </c>
      <c r="N200" s="2">
        <v>5.2215819999999997</v>
      </c>
      <c r="O200" s="2">
        <v>119.966824</v>
      </c>
      <c r="P200" s="2" t="s">
        <v>88</v>
      </c>
      <c r="Q200" s="2" t="s">
        <v>73</v>
      </c>
      <c r="R200" s="29" t="e">
        <f>IF(INDEX(#REF!,MATCH('data '!$B200,#REF!,0),MATCH('data '!R$3,#REF!,0))=0,"",INDEX(#REF!,MATCH('data '!$B200,#REF!,0),MATCH('data '!R$3,#REF!,0)))</f>
        <v>#REF!</v>
      </c>
      <c r="S200" s="29" t="e">
        <f>IF(INDEX(#REF!,MATCH('data '!$B200,#REF!,0),MATCH('data '!S$3,#REF!,0))=0,"",INDEX(#REF!,MATCH('data '!$B200,#REF!,0),MATCH('data '!S$3,#REF!,0)))</f>
        <v>#REF!</v>
      </c>
      <c r="T200" s="29" t="e">
        <f>IF(INDEX(#REF!,MATCH('data '!$B200,#REF!,0),MATCH('data '!T$3,#REF!,0))=0,"",INDEX(#REF!,MATCH('data '!$B200,#REF!,0),MATCH('data '!T$3,#REF!,0)))</f>
        <v>#REF!</v>
      </c>
      <c r="V200" s="25" t="s">
        <v>74</v>
      </c>
      <c r="W200" s="25">
        <v>0</v>
      </c>
      <c r="AC200" s="8" t="e">
        <f>VLOOKUP(B200,#REF!,19,0)</f>
        <v>#REF!</v>
      </c>
      <c r="AP200" s="8" t="str">
        <f t="shared" si="8"/>
        <v>Not yet endorsed</v>
      </c>
      <c r="AQ200" s="10" t="b" cm="1">
        <f t="array" aca="1" ref="AQ200" ca="1">IF(AM200&gt;0,(TODAY()-AM200),IF(AL200&gt;0,(TODAY()-AL200),IF(AK200&gt;0,(TODAY()-AK200,IF(AI200&gt;0,(TODAY()-AI200),IF(AG200&gt;0,(TODAY()-AG200),IF(AF200&gt;0,(TODAY()-AF200),IF(X200&gt;0,(TODAY()-X200)," "))))))))</f>
        <v>0</v>
      </c>
      <c r="BD200" s="2" t="str">
        <f t="shared" si="9"/>
        <v>Not yet endorsed</v>
      </c>
      <c r="BE200" s="2" t="s">
        <v>75</v>
      </c>
      <c r="BG200" s="2" t="e">
        <v>#N/A</v>
      </c>
    </row>
    <row r="201" spans="2:60" hidden="1" x14ac:dyDescent="0.25">
      <c r="B201" s="2" t="s">
        <v>1108</v>
      </c>
      <c r="C201" s="2" t="s">
        <v>1109</v>
      </c>
      <c r="D201" s="44" t="s">
        <v>1110</v>
      </c>
      <c r="E201" s="2" t="s">
        <v>3</v>
      </c>
      <c r="F201" s="2" t="s">
        <v>138</v>
      </c>
      <c r="G201" s="2" t="s">
        <v>1</v>
      </c>
      <c r="H201" s="2" t="s">
        <v>139</v>
      </c>
      <c r="I201" s="2" t="s">
        <v>140</v>
      </c>
      <c r="J201" s="2" t="s">
        <v>141</v>
      </c>
      <c r="K201" s="2" t="s">
        <v>142</v>
      </c>
      <c r="L201" s="2" t="s">
        <v>1111</v>
      </c>
      <c r="M201" s="2">
        <v>0</v>
      </c>
      <c r="N201" s="2">
        <v>17.306999999999999</v>
      </c>
      <c r="O201" s="2">
        <v>120.4447</v>
      </c>
      <c r="P201" s="2" t="s">
        <v>87</v>
      </c>
      <c r="Q201" s="2" t="s">
        <v>265</v>
      </c>
      <c r="R201" s="29" t="e">
        <f>IF(INDEX(#REF!,MATCH('data '!$B201,#REF!,0),MATCH('data '!R$3,#REF!,0))=0,"",INDEX(#REF!,MATCH('data '!$B201,#REF!,0),MATCH('data '!R$3,#REF!,0)))</f>
        <v>#REF!</v>
      </c>
      <c r="S201" s="29" t="e">
        <f>IF(INDEX(#REF!,MATCH('data '!$B201,#REF!,0),MATCH('data '!S$3,#REF!,0))=0,"",INDEX(#REF!,MATCH('data '!$B201,#REF!,0),MATCH('data '!S$3,#REF!,0)))</f>
        <v>#REF!</v>
      </c>
      <c r="T201" s="29" t="e">
        <f>IF(INDEX(#REF!,MATCH('data '!$B201,#REF!,0),MATCH('data '!T$3,#REF!,0))=0,"",INDEX(#REF!,MATCH('data '!$B201,#REF!,0),MATCH('data '!T$3,#REF!,0)))</f>
        <v>#REF!</v>
      </c>
      <c r="U201" s="8" t="s">
        <v>25</v>
      </c>
      <c r="V201" s="25" t="s">
        <v>266</v>
      </c>
      <c r="W201" s="25" t="s">
        <v>144</v>
      </c>
      <c r="X201" s="9" t="s">
        <v>25</v>
      </c>
      <c r="Y201" s="9">
        <v>45821</v>
      </c>
      <c r="AA201" s="8" t="s">
        <v>267</v>
      </c>
      <c r="AC201" s="8" t="e">
        <f>VLOOKUP(B201,#REF!,19,0)</f>
        <v>#REF!</v>
      </c>
      <c r="AE201" s="8" t="s">
        <v>540</v>
      </c>
      <c r="AF201" s="8">
        <v>45908</v>
      </c>
      <c r="AG201" s="8">
        <v>45946</v>
      </c>
      <c r="AH201" s="8" t="s">
        <v>954</v>
      </c>
      <c r="AI201" s="8">
        <v>45950</v>
      </c>
      <c r="AJ201" s="8" t="s">
        <v>955</v>
      </c>
      <c r="AK201" s="8">
        <v>45951</v>
      </c>
      <c r="AL201" s="8">
        <v>45953</v>
      </c>
      <c r="AM201" s="8">
        <v>45958</v>
      </c>
      <c r="AP201" s="8" t="str">
        <f t="shared" si="8"/>
        <v>Tempo Energized</v>
      </c>
      <c r="AQ201" s="10" cm="1">
        <f t="array" aca="1" ref="AQ201" ca="1">IF(AM201&gt;0,(TODAY()-AM201),IF(AL201&gt;0,(TODAY()-AL201),IF(AK201&gt;0,(TODAY()-AK201,IF(AI201&gt;0,(TODAY()-AI201),IF(AG201&gt;0,(TODAY()-AG201),IF(AF201&gt;0,(TODAY()-AF201),IF(X201&gt;0,(TODAY()-X201)," "))))))))</f>
        <v>148</v>
      </c>
      <c r="AT201" s="8">
        <v>45915</v>
      </c>
      <c r="AU201" s="8">
        <v>45925</v>
      </c>
      <c r="AV201" s="8">
        <v>45930</v>
      </c>
      <c r="AW201" s="8" t="s">
        <v>807</v>
      </c>
      <c r="AX201" s="8">
        <v>45933</v>
      </c>
      <c r="AY201" s="8" t="s">
        <v>808</v>
      </c>
      <c r="BD201" s="2" t="str">
        <f t="shared" si="9"/>
        <v>PO Issued</v>
      </c>
      <c r="BE201" s="2">
        <v>7</v>
      </c>
      <c r="BG201" s="2" t="e">
        <v>#N/A</v>
      </c>
      <c r="BH201" s="2" t="e" vm="1">
        <v>#REF!</v>
      </c>
    </row>
    <row r="202" spans="2:60" hidden="1" x14ac:dyDescent="0.25">
      <c r="B202" s="2" t="s">
        <v>1112</v>
      </c>
      <c r="C202" s="2" t="s">
        <v>1113</v>
      </c>
      <c r="D202" s="44" t="s">
        <v>1114</v>
      </c>
      <c r="E202" s="2" t="s">
        <v>11</v>
      </c>
      <c r="F202" s="2" t="s">
        <v>216</v>
      </c>
      <c r="G202" s="2" t="s">
        <v>1</v>
      </c>
      <c r="H202" s="2" t="s">
        <v>165</v>
      </c>
      <c r="I202" s="2" t="s">
        <v>68</v>
      </c>
      <c r="J202" s="2" t="s">
        <v>69</v>
      </c>
      <c r="K202" s="2" t="s">
        <v>217</v>
      </c>
      <c r="L202" s="2" t="s">
        <v>985</v>
      </c>
      <c r="M202" s="2">
        <v>0</v>
      </c>
      <c r="N202" s="2">
        <v>0</v>
      </c>
      <c r="O202" s="2">
        <v>0</v>
      </c>
      <c r="P202" s="2" t="s">
        <v>133</v>
      </c>
      <c r="Q202" s="2" t="s">
        <v>73</v>
      </c>
      <c r="R202" s="29" t="e">
        <f>IF(INDEX(#REF!,MATCH('data '!$B202,#REF!,0),MATCH('data '!R$3,#REF!,0))=0,"",INDEX(#REF!,MATCH('data '!$B202,#REF!,0),MATCH('data '!R$3,#REF!,0)))</f>
        <v>#REF!</v>
      </c>
      <c r="S202" s="29" t="e">
        <f>IF(INDEX(#REF!,MATCH('data '!$B202,#REF!,0),MATCH('data '!S$3,#REF!,0))=0,"",INDEX(#REF!,MATCH('data '!$B202,#REF!,0),MATCH('data '!S$3,#REF!,0)))</f>
        <v>#REF!</v>
      </c>
      <c r="T202" s="29" t="e">
        <f>IF(INDEX(#REF!,MATCH('data '!$B202,#REF!,0),MATCH('data '!T$3,#REF!,0))=0,"",INDEX(#REF!,MATCH('data '!$B202,#REF!,0),MATCH('data '!T$3,#REF!,0)))</f>
        <v>#REF!</v>
      </c>
      <c r="U202" s="8" t="s">
        <v>25</v>
      </c>
      <c r="V202" s="25" t="s">
        <v>702</v>
      </c>
      <c r="W202" s="25">
        <v>0</v>
      </c>
      <c r="AC202" s="8" t="e">
        <f>VLOOKUP(B202,#REF!,19,0)</f>
        <v>#REF!</v>
      </c>
      <c r="AP202" s="8" t="str">
        <f t="shared" si="8"/>
        <v>Not yet endorsed</v>
      </c>
      <c r="AQ202" s="10" t="b" cm="1">
        <f t="array" aca="1" ref="AQ202" ca="1">IF(AM202&gt;0,(TODAY()-AM202),IF(AL202&gt;0,(TODAY()-AL202),IF(AK202&gt;0,(TODAY()-AK202,IF(AI202&gt;0,(TODAY()-AI202),IF(AG202&gt;0,(TODAY()-AG202),IF(AF202&gt;0,(TODAY()-AF202),IF(X202&gt;0,(TODAY()-X202)," "))))))))</f>
        <v>0</v>
      </c>
      <c r="BD202" s="2" t="str">
        <f t="shared" si="9"/>
        <v>TSSR Approved</v>
      </c>
      <c r="BE202" s="2" t="e">
        <v>#VALUE!</v>
      </c>
      <c r="BG202" s="2" t="e">
        <v>#N/A</v>
      </c>
    </row>
    <row r="203" spans="2:60" ht="15.75" hidden="1" customHeight="1" x14ac:dyDescent="0.25">
      <c r="B203" s="2" t="s">
        <v>1115</v>
      </c>
      <c r="C203" s="2" t="s">
        <v>1116</v>
      </c>
      <c r="D203" s="44" t="s">
        <v>1117</v>
      </c>
      <c r="E203" s="2" t="s">
        <v>4</v>
      </c>
      <c r="F203" s="2" t="s">
        <v>1118</v>
      </c>
      <c r="G203" s="2" t="s">
        <v>1</v>
      </c>
      <c r="H203" s="2" t="s">
        <v>139</v>
      </c>
      <c r="I203" s="2" t="s">
        <v>140</v>
      </c>
      <c r="J203" s="2" t="s">
        <v>122</v>
      </c>
      <c r="K203" s="2" t="s">
        <v>359</v>
      </c>
      <c r="L203" s="2" t="s">
        <v>1119</v>
      </c>
      <c r="M203" s="2" t="s">
        <v>1120</v>
      </c>
      <c r="N203" s="2">
        <v>15.455484</v>
      </c>
      <c r="O203" s="2">
        <v>120.701262</v>
      </c>
      <c r="P203" s="2" t="s">
        <v>87</v>
      </c>
      <c r="Q203" s="2" t="s">
        <v>184</v>
      </c>
      <c r="R203" s="29" t="e">
        <f>IF(INDEX(#REF!,MATCH('data '!$B203,#REF!,0),MATCH('data '!R$3,#REF!,0))=0,"",INDEX(#REF!,MATCH('data '!$B203,#REF!,0),MATCH('data '!R$3,#REF!,0)))</f>
        <v>#REF!</v>
      </c>
      <c r="S203" s="29" t="e">
        <f>IF(INDEX(#REF!,MATCH('data '!$B203,#REF!,0),MATCH('data '!S$3,#REF!,0))=0,"",INDEX(#REF!,MATCH('data '!$B203,#REF!,0),MATCH('data '!S$3,#REF!,0)))</f>
        <v>#REF!</v>
      </c>
      <c r="T203" s="29" t="e">
        <f>IF(INDEX(#REF!,MATCH('data '!$B203,#REF!,0),MATCH('data '!T$3,#REF!,0))=0,"",INDEX(#REF!,MATCH('data '!$B203,#REF!,0),MATCH('data '!T$3,#REF!,0)))</f>
        <v>#REF!</v>
      </c>
      <c r="U203" s="8" t="s">
        <v>25</v>
      </c>
      <c r="V203" s="25" t="s">
        <v>383</v>
      </c>
      <c r="W203" s="25" t="s">
        <v>144</v>
      </c>
      <c r="X203" s="9" t="s">
        <v>25</v>
      </c>
      <c r="Y203" s="9">
        <v>45868</v>
      </c>
      <c r="AA203" s="8" t="s">
        <v>1121</v>
      </c>
      <c r="AC203" s="8" t="e">
        <f>VLOOKUP(B203,#REF!,19,0)</f>
        <v>#REF!</v>
      </c>
      <c r="AE203" s="8" t="s">
        <v>530</v>
      </c>
      <c r="AF203" s="8">
        <v>45908</v>
      </c>
      <c r="AG203" s="8">
        <v>45908</v>
      </c>
      <c r="AH203" s="8" t="s">
        <v>531</v>
      </c>
      <c r="AI203" s="8">
        <v>45909</v>
      </c>
      <c r="AJ203" s="8" t="s">
        <v>532</v>
      </c>
      <c r="AK203" s="8">
        <v>45916</v>
      </c>
      <c r="AL203" s="8">
        <v>45915</v>
      </c>
      <c r="AM203" s="8">
        <v>45923</v>
      </c>
      <c r="AP203" s="8" t="str">
        <f t="shared" si="8"/>
        <v>Tempo Energized</v>
      </c>
      <c r="AS203" s="8" t="s">
        <v>1122</v>
      </c>
      <c r="AT203" s="8">
        <v>45905</v>
      </c>
      <c r="AU203" s="8">
        <v>45958</v>
      </c>
      <c r="AV203" s="8">
        <v>45959</v>
      </c>
      <c r="AW203" s="8" t="s">
        <v>1123</v>
      </c>
      <c r="AX203" s="8">
        <v>45964</v>
      </c>
      <c r="AY203" s="8" t="s">
        <v>1124</v>
      </c>
      <c r="BD203" s="2" t="str">
        <f t="shared" si="9"/>
        <v>PO Issued</v>
      </c>
      <c r="BF203" s="2" t="s">
        <v>1125</v>
      </c>
      <c r="BG203" s="2" t="e">
        <v>#N/A</v>
      </c>
      <c r="BH203" s="2" t="s">
        <v>758</v>
      </c>
    </row>
    <row r="204" spans="2:60" hidden="1" x14ac:dyDescent="0.25">
      <c r="B204" s="2" t="s">
        <v>1126</v>
      </c>
      <c r="C204" s="2" t="s">
        <v>1127</v>
      </c>
      <c r="D204" s="44" t="s">
        <v>1128</v>
      </c>
      <c r="E204" s="2" t="s">
        <v>5</v>
      </c>
      <c r="F204" s="2" t="s">
        <v>813</v>
      </c>
      <c r="G204" s="2" t="s">
        <v>1</v>
      </c>
      <c r="H204" s="2" t="s">
        <v>120</v>
      </c>
      <c r="I204" s="2" t="s">
        <v>140</v>
      </c>
      <c r="J204" s="2" t="s">
        <v>141</v>
      </c>
      <c r="K204" s="2" t="s">
        <v>370</v>
      </c>
      <c r="L204" s="2" t="s">
        <v>814</v>
      </c>
      <c r="M204" s="2">
        <v>0</v>
      </c>
      <c r="N204" s="2">
        <v>0</v>
      </c>
      <c r="O204" s="2">
        <v>0</v>
      </c>
      <c r="P204" s="2" t="s">
        <v>116</v>
      </c>
      <c r="Q204" s="2" t="s">
        <v>73</v>
      </c>
      <c r="R204" s="29" t="e">
        <f>IF(INDEX(#REF!,MATCH('data '!$B204,#REF!,0),MATCH('data '!R$3,#REF!,0))=0,"",INDEX(#REF!,MATCH('data '!$B204,#REF!,0),MATCH('data '!R$3,#REF!,0)))</f>
        <v>#REF!</v>
      </c>
      <c r="S204" s="29" t="e">
        <f>IF(INDEX(#REF!,MATCH('data '!$B204,#REF!,0),MATCH('data '!S$3,#REF!,0))=0,"",INDEX(#REF!,MATCH('data '!$B204,#REF!,0),MATCH('data '!S$3,#REF!,0)))</f>
        <v>#REF!</v>
      </c>
      <c r="T204" s="29" t="e">
        <f>IF(INDEX(#REF!,MATCH('data '!$B204,#REF!,0),MATCH('data '!T$3,#REF!,0))=0,"",INDEX(#REF!,MATCH('data '!$B204,#REF!,0),MATCH('data '!T$3,#REF!,0)))</f>
        <v>#REF!</v>
      </c>
      <c r="V204" s="25" t="s">
        <v>731</v>
      </c>
      <c r="W204" s="25">
        <v>0</v>
      </c>
      <c r="AC204" s="8" t="e">
        <f>VLOOKUP(B204,#REF!,19,0)</f>
        <v>#REF!</v>
      </c>
      <c r="AE204" s="8" t="s">
        <v>389</v>
      </c>
      <c r="AP204" s="8" t="str">
        <f t="shared" si="8"/>
        <v>Not yet endorsed</v>
      </c>
      <c r="AQ204" s="10" t="b" cm="1">
        <f t="array" aca="1" ref="AQ204" ca="1">IF(AM204&gt;0,(TODAY()-AM204),IF(AL204&gt;0,(TODAY()-AL204),IF(AK204&gt;0,(TODAY()-AK204,IF(AI204&gt;0,(TODAY()-AI204),IF(AG204&gt;0,(TODAY()-AG204),IF(AF204&gt;0,(TODAY()-AF204),IF(X204&gt;0,(TODAY()-X204)," "))))))))</f>
        <v>0</v>
      </c>
      <c r="BD204" s="2" t="str">
        <f t="shared" si="9"/>
        <v>Not yet endorsed</v>
      </c>
      <c r="BE204" s="2" t="s">
        <v>75</v>
      </c>
      <c r="BG204" s="2" t="e">
        <v>#N/A</v>
      </c>
      <c r="BH204" s="2" t="e" vm="1">
        <v>#REF!</v>
      </c>
    </row>
    <row r="205" spans="2:60" hidden="1" x14ac:dyDescent="0.25">
      <c r="B205" s="2" t="s">
        <v>1129</v>
      </c>
      <c r="C205" s="2" t="s">
        <v>1130</v>
      </c>
      <c r="D205" s="44" t="s">
        <v>1131</v>
      </c>
      <c r="E205" s="2" t="s">
        <v>4</v>
      </c>
      <c r="F205" s="2" t="s">
        <v>722</v>
      </c>
      <c r="G205" s="2" t="s">
        <v>1</v>
      </c>
      <c r="H205" s="2" t="s">
        <v>120</v>
      </c>
      <c r="I205" s="2" t="s">
        <v>140</v>
      </c>
      <c r="J205" s="2" t="s">
        <v>122</v>
      </c>
      <c r="K205" s="2" t="s">
        <v>723</v>
      </c>
      <c r="L205" s="2" t="s">
        <v>724</v>
      </c>
      <c r="M205" s="2">
        <v>0</v>
      </c>
      <c r="N205" s="2">
        <v>0</v>
      </c>
      <c r="O205" s="2">
        <v>0</v>
      </c>
      <c r="P205" s="2" t="s">
        <v>944</v>
      </c>
      <c r="Q205" s="2" t="s">
        <v>73</v>
      </c>
      <c r="R205" s="29" t="e">
        <f>IF(INDEX(#REF!,MATCH('data '!$B205,#REF!,0),MATCH('data '!R$3,#REF!,0))=0,"",INDEX(#REF!,MATCH('data '!$B205,#REF!,0),MATCH('data '!R$3,#REF!,0)))</f>
        <v>#REF!</v>
      </c>
      <c r="S205" s="29" t="e">
        <f>IF(INDEX(#REF!,MATCH('data '!$B205,#REF!,0),MATCH('data '!S$3,#REF!,0))=0,"",INDEX(#REF!,MATCH('data '!$B205,#REF!,0),MATCH('data '!S$3,#REF!,0)))</f>
        <v>#REF!</v>
      </c>
      <c r="T205" s="29" t="e">
        <f>IF(INDEX(#REF!,MATCH('data '!$B205,#REF!,0),MATCH('data '!T$3,#REF!,0))=0,"",INDEX(#REF!,MATCH('data '!$B205,#REF!,0),MATCH('data '!T$3,#REF!,0)))</f>
        <v>#REF!</v>
      </c>
      <c r="V205" s="25" t="s">
        <v>249</v>
      </c>
      <c r="W205" s="25">
        <v>0</v>
      </c>
      <c r="AC205" s="8" t="e">
        <f>VLOOKUP(B205,#REF!,19,0)</f>
        <v>#REF!</v>
      </c>
      <c r="AP205" s="8" t="str">
        <f t="shared" si="8"/>
        <v>Not yet endorsed</v>
      </c>
      <c r="AQ205" s="10" t="b" cm="1">
        <f t="array" aca="1" ref="AQ205" ca="1">IF(AM205&gt;0,(TODAY()-AM205),IF(AL205&gt;0,(TODAY()-AL205),IF(AK205&gt;0,(TODAY()-AK205,IF(AI205&gt;0,(TODAY()-AI205),IF(AG205&gt;0,(TODAY()-AG205),IF(AF205&gt;0,(TODAY()-AF205),IF(X205&gt;0,(TODAY()-X205)," "))))))))</f>
        <v>0</v>
      </c>
      <c r="BD205" s="2" t="str">
        <f t="shared" si="9"/>
        <v>Not yet endorsed</v>
      </c>
      <c r="BE205" s="2" t="s">
        <v>75</v>
      </c>
      <c r="BG205" s="2" t="e">
        <v>#N/A</v>
      </c>
    </row>
    <row r="206" spans="2:60" hidden="1" x14ac:dyDescent="0.25">
      <c r="B206" s="2" t="s">
        <v>1132</v>
      </c>
      <c r="C206" s="2" t="s">
        <v>1133</v>
      </c>
      <c r="D206" s="44" t="s">
        <v>1134</v>
      </c>
      <c r="E206" s="2" t="s">
        <v>4</v>
      </c>
      <c r="F206" s="2" t="s">
        <v>1135</v>
      </c>
      <c r="G206" s="2" t="s">
        <v>1</v>
      </c>
      <c r="H206" s="2" t="s">
        <v>120</v>
      </c>
      <c r="I206" s="2" t="s">
        <v>140</v>
      </c>
      <c r="J206" s="2" t="s">
        <v>122</v>
      </c>
      <c r="K206" s="2" t="s">
        <v>723</v>
      </c>
      <c r="L206" s="2" t="s">
        <v>1136</v>
      </c>
      <c r="M206" s="2">
        <v>0</v>
      </c>
      <c r="N206" s="2">
        <v>0</v>
      </c>
      <c r="O206" s="2">
        <v>0</v>
      </c>
      <c r="P206" s="2" t="s">
        <v>72</v>
      </c>
      <c r="Q206" s="2" t="s">
        <v>73</v>
      </c>
      <c r="R206" s="29" t="e">
        <f>IF(INDEX(#REF!,MATCH('data '!$B206,#REF!,0),MATCH('data '!R$3,#REF!,0))=0,"",INDEX(#REF!,MATCH('data '!$B206,#REF!,0),MATCH('data '!R$3,#REF!,0)))</f>
        <v>#REF!</v>
      </c>
      <c r="S206" s="29" t="e">
        <f>IF(INDEX(#REF!,MATCH('data '!$B206,#REF!,0),MATCH('data '!S$3,#REF!,0))=0,"",INDEX(#REF!,MATCH('data '!$B206,#REF!,0),MATCH('data '!S$3,#REF!,0)))</f>
        <v>#REF!</v>
      </c>
      <c r="T206" s="29" t="e">
        <f>IF(INDEX(#REF!,MATCH('data '!$B206,#REF!,0),MATCH('data '!T$3,#REF!,0))=0,"",INDEX(#REF!,MATCH('data '!$B206,#REF!,0),MATCH('data '!T$3,#REF!,0)))</f>
        <v>#REF!</v>
      </c>
      <c r="U206" s="8" t="s">
        <v>25</v>
      </c>
      <c r="V206" s="25" t="s">
        <v>74</v>
      </c>
      <c r="W206" s="25">
        <v>0</v>
      </c>
      <c r="AC206" s="8" t="e">
        <f>VLOOKUP(B206,#REF!,19,0)</f>
        <v>#REF!</v>
      </c>
      <c r="AP206" s="8" t="str">
        <f t="shared" si="8"/>
        <v>Not yet endorsed</v>
      </c>
      <c r="AQ206" s="10" t="b" cm="1">
        <f t="array" aca="1" ref="AQ206" ca="1">IF(AM206&gt;0,(TODAY()-AM206),IF(AL206&gt;0,(TODAY()-AL206),IF(AK206&gt;0,(TODAY()-AK206,IF(AI206&gt;0,(TODAY()-AI206),IF(AG206&gt;0,(TODAY()-AG206),IF(AF206&gt;0,(TODAY()-AF206),IF(X206&gt;0,(TODAY()-X206)," "))))))))</f>
        <v>0</v>
      </c>
      <c r="BD206" s="2" t="str">
        <f t="shared" si="9"/>
        <v>TSSR Approved</v>
      </c>
      <c r="BE206" s="2" t="e">
        <v>#VALUE!</v>
      </c>
      <c r="BG206" s="2" t="e">
        <v>#N/A</v>
      </c>
    </row>
    <row r="207" spans="2:60" hidden="1" x14ac:dyDescent="0.25">
      <c r="B207" s="2" t="s">
        <v>1137</v>
      </c>
      <c r="C207" s="2" t="s">
        <v>1138</v>
      </c>
      <c r="D207" s="44" t="s">
        <v>1139</v>
      </c>
      <c r="E207" s="2" t="s">
        <v>5</v>
      </c>
      <c r="F207" s="2" t="s">
        <v>208</v>
      </c>
      <c r="G207" s="2" t="s">
        <v>1</v>
      </c>
      <c r="H207" s="2" t="s">
        <v>139</v>
      </c>
      <c r="I207" s="2" t="s">
        <v>140</v>
      </c>
      <c r="J207" s="2" t="s">
        <v>209</v>
      </c>
      <c r="K207" s="2" t="s">
        <v>210</v>
      </c>
      <c r="L207" s="2" t="s">
        <v>211</v>
      </c>
      <c r="M207" s="2">
        <v>0</v>
      </c>
      <c r="N207" s="2">
        <v>17.423200000000001</v>
      </c>
      <c r="O207" s="2">
        <v>121.476</v>
      </c>
      <c r="P207" s="2" t="s">
        <v>87</v>
      </c>
      <c r="Q207" s="2" t="s">
        <v>198</v>
      </c>
      <c r="R207" s="29" t="e">
        <f>IF(INDEX(#REF!,MATCH('data '!$B207,#REF!,0),MATCH('data '!R$3,#REF!,0))=0,"",INDEX(#REF!,MATCH('data '!$B207,#REF!,0),MATCH('data '!R$3,#REF!,0)))</f>
        <v>#REF!</v>
      </c>
      <c r="S207" s="29" t="e">
        <f>IF(INDEX(#REF!,MATCH('data '!$B207,#REF!,0),MATCH('data '!S$3,#REF!,0))=0,"",INDEX(#REF!,MATCH('data '!$B207,#REF!,0),MATCH('data '!S$3,#REF!,0)))</f>
        <v>#REF!</v>
      </c>
      <c r="T207" s="29" t="e">
        <f>IF(INDEX(#REF!,MATCH('data '!$B207,#REF!,0),MATCH('data '!T$3,#REF!,0))=0,"",INDEX(#REF!,MATCH('data '!$B207,#REF!,0),MATCH('data '!T$3,#REF!,0)))</f>
        <v>#REF!</v>
      </c>
      <c r="V207" s="25" t="s">
        <v>160</v>
      </c>
      <c r="W207" s="25" t="s">
        <v>144</v>
      </c>
      <c r="X207" s="9" t="s">
        <v>25</v>
      </c>
      <c r="Y207" s="9">
        <v>45854</v>
      </c>
      <c r="Z207" s="8">
        <v>45999</v>
      </c>
      <c r="AC207" s="8" t="e">
        <f>VLOOKUP(B207,#REF!,19,0)</f>
        <v>#REF!</v>
      </c>
      <c r="AE207" s="8" t="s">
        <v>212</v>
      </c>
      <c r="AF207" s="8">
        <v>45908</v>
      </c>
      <c r="AG207" s="8">
        <v>45908</v>
      </c>
      <c r="AH207" s="8" t="s">
        <v>507</v>
      </c>
      <c r="AI207" s="8">
        <v>45909</v>
      </c>
      <c r="AJ207" s="8" t="s">
        <v>508</v>
      </c>
      <c r="AK207" s="8">
        <v>45916</v>
      </c>
      <c r="AL207" s="8">
        <v>45944</v>
      </c>
      <c r="AP207" s="8" t="str">
        <f t="shared" si="8"/>
        <v>Tempo Permit Released</v>
      </c>
      <c r="AS207" s="8" t="s">
        <v>509</v>
      </c>
      <c r="AT207" s="8">
        <v>46034</v>
      </c>
      <c r="AU207" s="8">
        <v>46035</v>
      </c>
      <c r="AV207" s="8">
        <v>46035</v>
      </c>
      <c r="AW207" s="8" t="s">
        <v>1140</v>
      </c>
      <c r="AX207" s="8">
        <v>46036</v>
      </c>
      <c r="AY207" s="8" t="s">
        <v>1141</v>
      </c>
      <c r="BD207" s="2" t="str">
        <f t="shared" si="9"/>
        <v>PO Issued</v>
      </c>
      <c r="BE207" s="2">
        <v>32</v>
      </c>
      <c r="BF207" s="2" t="s">
        <v>510</v>
      </c>
      <c r="BG207" s="2" t="e">
        <v>#N/A</v>
      </c>
      <c r="BH207" s="2" t="e" vm="1">
        <v>#REF!</v>
      </c>
    </row>
    <row r="208" spans="2:60" hidden="1" x14ac:dyDescent="0.25">
      <c r="B208" s="2" t="s">
        <v>1142</v>
      </c>
      <c r="C208" s="2" t="s">
        <v>1143</v>
      </c>
      <c r="D208" s="44" t="s">
        <v>1144</v>
      </c>
      <c r="E208" s="2" t="s">
        <v>3</v>
      </c>
      <c r="F208" s="2" t="s">
        <v>279</v>
      </c>
      <c r="G208" s="2" t="s">
        <v>1</v>
      </c>
      <c r="H208" s="2" t="s">
        <v>139</v>
      </c>
      <c r="I208" s="2" t="s">
        <v>140</v>
      </c>
      <c r="J208" s="2" t="s">
        <v>141</v>
      </c>
      <c r="K208" s="2" t="s">
        <v>280</v>
      </c>
      <c r="L208" s="2" t="s">
        <v>1145</v>
      </c>
      <c r="M208" s="2">
        <v>0</v>
      </c>
      <c r="N208" s="2">
        <v>18.016584120000001</v>
      </c>
      <c r="O208" s="2">
        <v>120.52992759999999</v>
      </c>
      <c r="P208" s="2" t="s">
        <v>87</v>
      </c>
      <c r="Q208" s="2" t="s">
        <v>314</v>
      </c>
      <c r="R208" s="29" t="e">
        <f>IF(INDEX(#REF!,MATCH('data '!$B208,#REF!,0),MATCH('data '!R$3,#REF!,0))=0,"",INDEX(#REF!,MATCH('data '!$B208,#REF!,0),MATCH('data '!R$3,#REF!,0)))</f>
        <v>#REF!</v>
      </c>
      <c r="S208" s="29" t="e">
        <f>IF(INDEX(#REF!,MATCH('data '!$B208,#REF!,0),MATCH('data '!S$3,#REF!,0))=0,"",INDEX(#REF!,MATCH('data '!$B208,#REF!,0),MATCH('data '!S$3,#REF!,0)))</f>
        <v>#REF!</v>
      </c>
      <c r="T208" s="29" t="e">
        <f>IF(INDEX(#REF!,MATCH('data '!$B208,#REF!,0),MATCH('data '!T$3,#REF!,0))=0,"",INDEX(#REF!,MATCH('data '!$B208,#REF!,0),MATCH('data '!T$3,#REF!,0)))</f>
        <v>#REF!</v>
      </c>
      <c r="U208" s="8" t="s">
        <v>25</v>
      </c>
      <c r="V208" s="25" t="s">
        <v>133</v>
      </c>
      <c r="W208" s="25" t="s">
        <v>134</v>
      </c>
      <c r="AC208" s="8" t="e">
        <f>VLOOKUP(B208,#REF!,19,0)</f>
        <v>#REF!</v>
      </c>
      <c r="AE208" s="8" t="s">
        <v>145</v>
      </c>
      <c r="AF208" s="8">
        <v>45908</v>
      </c>
      <c r="AG208" s="8">
        <v>45908</v>
      </c>
      <c r="AH208" s="8" t="s">
        <v>398</v>
      </c>
      <c r="AI208" s="8">
        <v>45909</v>
      </c>
      <c r="AJ208" s="8" t="s">
        <v>399</v>
      </c>
      <c r="AK208" s="8">
        <v>45916</v>
      </c>
      <c r="AO208" s="8" t="s">
        <v>561</v>
      </c>
      <c r="AP208" s="8" t="str">
        <f t="shared" si="8"/>
        <v>COOP Surveyed</v>
      </c>
      <c r="AT208" s="8">
        <v>45940</v>
      </c>
      <c r="AU208" s="8">
        <v>45980</v>
      </c>
      <c r="AV208" s="8">
        <v>45980</v>
      </c>
      <c r="AW208" s="8" t="s">
        <v>401</v>
      </c>
      <c r="AX208" s="8">
        <v>45982</v>
      </c>
      <c r="AY208" s="8" t="s">
        <v>402</v>
      </c>
      <c r="BD208" s="2" t="str">
        <f t="shared" si="9"/>
        <v>PO Issued</v>
      </c>
      <c r="BE208" s="2">
        <v>32</v>
      </c>
      <c r="BG208" s="2" t="e">
        <v>#N/A</v>
      </c>
      <c r="BH208" s="2" t="e" vm="1">
        <v>#REF!</v>
      </c>
    </row>
    <row r="209" spans="2:60" hidden="1" x14ac:dyDescent="0.25">
      <c r="B209" s="2" t="s">
        <v>1146</v>
      </c>
      <c r="C209" s="2" t="s">
        <v>1147</v>
      </c>
      <c r="D209" s="44" t="s">
        <v>1148</v>
      </c>
      <c r="E209" s="2" t="s">
        <v>3</v>
      </c>
      <c r="F209" s="2" t="s">
        <v>279</v>
      </c>
      <c r="G209" s="2" t="s">
        <v>1</v>
      </c>
      <c r="H209" s="2" t="s">
        <v>139</v>
      </c>
      <c r="I209" s="2" t="s">
        <v>140</v>
      </c>
      <c r="J209" s="2" t="s">
        <v>141</v>
      </c>
      <c r="K209" s="2" t="s">
        <v>280</v>
      </c>
      <c r="L209" s="2" t="s">
        <v>1149</v>
      </c>
      <c r="M209" s="2">
        <v>0</v>
      </c>
      <c r="N209" s="2">
        <v>17.978044000000001</v>
      </c>
      <c r="O209" s="2">
        <v>120.484014</v>
      </c>
      <c r="P209" s="2" t="s">
        <v>87</v>
      </c>
      <c r="Q209" s="2" t="s">
        <v>265</v>
      </c>
      <c r="R209" s="29" t="e">
        <f>IF(INDEX(#REF!,MATCH('data '!$B209,#REF!,0),MATCH('data '!R$3,#REF!,0))=0,"",INDEX(#REF!,MATCH('data '!$B209,#REF!,0),MATCH('data '!R$3,#REF!,0)))</f>
        <v>#REF!</v>
      </c>
      <c r="S209" s="29" t="e">
        <f>IF(INDEX(#REF!,MATCH('data '!$B209,#REF!,0),MATCH('data '!S$3,#REF!,0))=0,"",INDEX(#REF!,MATCH('data '!$B209,#REF!,0),MATCH('data '!S$3,#REF!,0)))</f>
        <v>#REF!</v>
      </c>
      <c r="T209" s="29" t="e">
        <f>IF(INDEX(#REF!,MATCH('data '!$B209,#REF!,0),MATCH('data '!T$3,#REF!,0))=0,"",INDEX(#REF!,MATCH('data '!$B209,#REF!,0),MATCH('data '!T$3,#REF!,0)))</f>
        <v>#REF!</v>
      </c>
      <c r="U209" s="8" t="s">
        <v>25</v>
      </c>
      <c r="V209" s="25" t="s">
        <v>266</v>
      </c>
      <c r="W209" s="25" t="s">
        <v>144</v>
      </c>
      <c r="X209" s="9" t="s">
        <v>25</v>
      </c>
      <c r="Y209" s="9">
        <v>45803</v>
      </c>
      <c r="AA209" s="8">
        <v>45877</v>
      </c>
      <c r="AC209" s="8" t="e">
        <f>VLOOKUP(B209,#REF!,19,0)</f>
        <v>#REF!</v>
      </c>
      <c r="AE209" s="8" t="s">
        <v>145</v>
      </c>
      <c r="AF209" s="8">
        <v>45898</v>
      </c>
      <c r="AG209" s="8">
        <v>45946</v>
      </c>
      <c r="AH209" s="8" t="s">
        <v>283</v>
      </c>
      <c r="AI209" s="8">
        <v>45950</v>
      </c>
      <c r="AJ209" s="8" t="s">
        <v>284</v>
      </c>
      <c r="AK209" s="8">
        <v>45952</v>
      </c>
      <c r="AL209" s="8">
        <v>45957</v>
      </c>
      <c r="AM209" s="8">
        <v>45965</v>
      </c>
      <c r="AP209" s="8" t="str">
        <f t="shared" si="8"/>
        <v>Tempo Energized</v>
      </c>
      <c r="AQ209" s="10" cm="1">
        <f t="array" aca="1" ref="AQ209" ca="1">IF(AM209&gt;0,(TODAY()-AM209),IF(AL209&gt;0,(TODAY()-AL209),IF(AK209&gt;0,(TODAY()-AK209,IF(AI209&gt;0,(TODAY()-AI209),IF(AG209&gt;0,(TODAY()-AG209),IF(AF209&gt;0,(TODAY()-AF209),IF(X209&gt;0,(TODAY()-X209)," "))))))))</f>
        <v>141</v>
      </c>
      <c r="AT209" s="8">
        <v>45912</v>
      </c>
      <c r="AU209" s="8">
        <v>45959</v>
      </c>
      <c r="AV209" s="8">
        <v>45959</v>
      </c>
      <c r="AW209" s="8" t="s">
        <v>1150</v>
      </c>
      <c r="AX209" s="8">
        <v>45964</v>
      </c>
      <c r="AY209" s="8" t="s">
        <v>1151</v>
      </c>
      <c r="BD209" s="2" t="str">
        <f t="shared" si="9"/>
        <v>PO Issued</v>
      </c>
      <c r="BE209" s="2">
        <v>28</v>
      </c>
      <c r="BF209" s="2" t="s">
        <v>1152</v>
      </c>
      <c r="BG209" s="2" t="e">
        <v>#N/A</v>
      </c>
      <c r="BH209" s="2" t="e" vm="1">
        <v>#REF!</v>
      </c>
    </row>
    <row r="210" spans="2:60" hidden="1" x14ac:dyDescent="0.25">
      <c r="B210" s="2" t="s">
        <v>1153</v>
      </c>
      <c r="C210" s="2" t="s">
        <v>1154</v>
      </c>
      <c r="D210" s="44" t="s">
        <v>1155</v>
      </c>
      <c r="E210" s="2" t="s">
        <v>3</v>
      </c>
      <c r="F210" s="2">
        <v>0</v>
      </c>
      <c r="G210" s="2" t="s">
        <v>1</v>
      </c>
      <c r="H210" s="2" t="s">
        <v>120</v>
      </c>
      <c r="I210" s="2" t="s">
        <v>121</v>
      </c>
      <c r="J210" s="2" t="s">
        <v>209</v>
      </c>
      <c r="K210" s="2" t="s">
        <v>566</v>
      </c>
      <c r="L210" s="2" t="s">
        <v>1156</v>
      </c>
      <c r="M210" s="2">
        <v>0</v>
      </c>
      <c r="N210" s="2">
        <v>0</v>
      </c>
      <c r="O210" s="2">
        <v>0</v>
      </c>
      <c r="P210" s="2" t="s">
        <v>1157</v>
      </c>
      <c r="Q210" s="2">
        <v>0</v>
      </c>
      <c r="R210" s="29" t="e">
        <f>IF(INDEX(#REF!,MATCH('data '!$B210,#REF!,0),MATCH('data '!R$3,#REF!,0))=0,"",INDEX(#REF!,MATCH('data '!$B210,#REF!,0),MATCH('data '!R$3,#REF!,0)))</f>
        <v>#REF!</v>
      </c>
      <c r="S210" s="29" t="e">
        <f>IF(INDEX(#REF!,MATCH('data '!$B210,#REF!,0),MATCH('data '!S$3,#REF!,0))=0,"",INDEX(#REF!,MATCH('data '!$B210,#REF!,0),MATCH('data '!S$3,#REF!,0)))</f>
        <v>#REF!</v>
      </c>
      <c r="T210" s="29" t="e">
        <f>IF(INDEX(#REF!,MATCH('data '!$B210,#REF!,0),MATCH('data '!T$3,#REF!,0))=0,"",INDEX(#REF!,MATCH('data '!$B210,#REF!,0),MATCH('data '!T$3,#REF!,0)))</f>
        <v>#REF!</v>
      </c>
      <c r="V210" s="25" t="s">
        <v>249</v>
      </c>
      <c r="W210" s="25">
        <v>0</v>
      </c>
      <c r="AC210" s="8" t="e">
        <f>VLOOKUP(B210,#REF!,19,0)</f>
        <v>#REF!</v>
      </c>
      <c r="AP210" s="8" t="str">
        <f t="shared" si="8"/>
        <v>Not yet endorsed</v>
      </c>
      <c r="AQ210" s="10" t="b" cm="1">
        <f t="array" aca="1" ref="AQ210" ca="1">IF(AM210&gt;0,(TODAY()-AM210),IF(AL210&gt;0,(TODAY()-AL210),IF(AK210&gt;0,(TODAY()-AK210,IF(AI210&gt;0,(TODAY()-AI210),IF(AG210&gt;0,(TODAY()-AG210),IF(AF210&gt;0,(TODAY()-AF210),IF(X210&gt;0,(TODAY()-X210)," "))))))))</f>
        <v>0</v>
      </c>
      <c r="BD210" s="2" t="str">
        <f t="shared" si="9"/>
        <v>Not yet endorsed</v>
      </c>
      <c r="BE210" s="2" t="s">
        <v>75</v>
      </c>
      <c r="BG210" s="2" t="e">
        <v>#N/A</v>
      </c>
      <c r="BH210" s="2" t="e" vm="1">
        <v>#REF!</v>
      </c>
    </row>
    <row r="211" spans="2:60" hidden="1" x14ac:dyDescent="0.25">
      <c r="B211" s="2" t="s">
        <v>1158</v>
      </c>
      <c r="C211" s="2" t="s">
        <v>1159</v>
      </c>
      <c r="D211" s="44" t="s">
        <v>1160</v>
      </c>
      <c r="E211" s="2" t="s">
        <v>11</v>
      </c>
      <c r="F211" s="2" t="s">
        <v>696</v>
      </c>
      <c r="G211" s="2" t="s">
        <v>1</v>
      </c>
      <c r="H211" s="2" t="s">
        <v>165</v>
      </c>
      <c r="I211" s="2" t="s">
        <v>68</v>
      </c>
      <c r="J211" s="2" t="s">
        <v>181</v>
      </c>
      <c r="K211" s="2" t="s">
        <v>697</v>
      </c>
      <c r="L211" s="2" t="s">
        <v>1161</v>
      </c>
      <c r="M211" s="2">
        <v>0</v>
      </c>
      <c r="N211" s="2">
        <v>8.4972999999999992</v>
      </c>
      <c r="O211" s="2">
        <v>123.40219999999999</v>
      </c>
      <c r="P211" s="2" t="s">
        <v>87</v>
      </c>
      <c r="Q211" s="2" t="s">
        <v>219</v>
      </c>
      <c r="R211" s="29" t="e">
        <f>IF(INDEX(#REF!,MATCH('data '!$B211,#REF!,0),MATCH('data '!R$3,#REF!,0))=0,"",INDEX(#REF!,MATCH('data '!$B211,#REF!,0),MATCH('data '!R$3,#REF!,0)))</f>
        <v>#REF!</v>
      </c>
      <c r="S211" s="29" t="e">
        <f>IF(INDEX(#REF!,MATCH('data '!$B211,#REF!,0),MATCH('data '!S$3,#REF!,0))=0,"",INDEX(#REF!,MATCH('data '!$B211,#REF!,0),MATCH('data '!S$3,#REF!,0)))</f>
        <v>#REF!</v>
      </c>
      <c r="T211" s="29" t="e">
        <f>IF(INDEX(#REF!,MATCH('data '!$B211,#REF!,0),MATCH('data '!T$3,#REF!,0))=0,"",INDEX(#REF!,MATCH('data '!$B211,#REF!,0),MATCH('data '!T$3,#REF!,0)))</f>
        <v>#REF!</v>
      </c>
      <c r="U211" s="8" t="s">
        <v>25</v>
      </c>
      <c r="V211" s="25" t="s">
        <v>351</v>
      </c>
      <c r="W211" s="25" t="s">
        <v>144</v>
      </c>
      <c r="X211" s="43" t="s">
        <v>25</v>
      </c>
      <c r="Y211" s="43">
        <v>45878</v>
      </c>
      <c r="AC211" s="8" t="e">
        <f>VLOOKUP(B211,#REF!,19,0)</f>
        <v>#REF!</v>
      </c>
      <c r="AP211" s="8" t="str">
        <f t="shared" si="8"/>
        <v>BP Secured</v>
      </c>
      <c r="AQ211" s="10" t="b" cm="1">
        <f t="array" aca="1" ref="AQ211" ca="1">IF(AM211&gt;0,(TODAY()-AM211),IF(AL211&gt;0,(TODAY()-AL211),IF(AK211&gt;0,(TODAY()-AK211,IF(AI211&gt;0,(TODAY()-AI211),IF(AG211&gt;0,(TODAY()-AG211),IF(AF211&gt;0,(TODAY()-AF211),IF(X211&gt;0,(TODAY()-X211)," "))))))))</f>
        <v>0</v>
      </c>
      <c r="BD211" s="2" t="str">
        <f t="shared" si="9"/>
        <v>BP Secured</v>
      </c>
      <c r="BE211" s="2" t="e">
        <v>#VALUE!</v>
      </c>
      <c r="BG211" s="2" t="e">
        <v>#N/A</v>
      </c>
    </row>
    <row r="212" spans="2:60" hidden="1" x14ac:dyDescent="0.25">
      <c r="B212" s="2" t="s">
        <v>1162</v>
      </c>
      <c r="C212" s="2" t="s">
        <v>1163</v>
      </c>
      <c r="D212" s="44" t="s">
        <v>1164</v>
      </c>
      <c r="E212" s="2" t="s">
        <v>11</v>
      </c>
      <c r="F212" s="2" t="s">
        <v>302</v>
      </c>
      <c r="G212" s="2" t="s">
        <v>1</v>
      </c>
      <c r="H212" s="2" t="s">
        <v>165</v>
      </c>
      <c r="I212" s="2" t="s">
        <v>68</v>
      </c>
      <c r="J212" s="2" t="s">
        <v>173</v>
      </c>
      <c r="K212" s="2" t="s">
        <v>303</v>
      </c>
      <c r="L212" s="2" t="s">
        <v>1165</v>
      </c>
      <c r="M212" s="2" t="s">
        <v>1166</v>
      </c>
      <c r="N212" s="2">
        <v>8.3366299999999995</v>
      </c>
      <c r="O212" s="2">
        <v>124.97499999999999</v>
      </c>
      <c r="P212" s="2" t="s">
        <v>87</v>
      </c>
      <c r="Q212" s="2" t="s">
        <v>184</v>
      </c>
      <c r="R212" s="29" t="e">
        <f>IF(INDEX(#REF!,MATCH('data '!$B212,#REF!,0),MATCH('data '!R$3,#REF!,0))=0,"",INDEX(#REF!,MATCH('data '!$B212,#REF!,0),MATCH('data '!R$3,#REF!,0)))</f>
        <v>#REF!</v>
      </c>
      <c r="S212" s="29" t="e">
        <f>IF(INDEX(#REF!,MATCH('data '!$B212,#REF!,0),MATCH('data '!S$3,#REF!,0))=0,"",INDEX(#REF!,MATCH('data '!$B212,#REF!,0),MATCH('data '!S$3,#REF!,0)))</f>
        <v>#REF!</v>
      </c>
      <c r="T212" s="29" t="e">
        <f>IF(INDEX(#REF!,MATCH('data '!$B212,#REF!,0),MATCH('data '!T$3,#REF!,0))=0,"",INDEX(#REF!,MATCH('data '!$B212,#REF!,0),MATCH('data '!T$3,#REF!,0)))</f>
        <v>#REF!</v>
      </c>
      <c r="U212" s="8" t="s">
        <v>25</v>
      </c>
      <c r="V212" s="25" t="s">
        <v>266</v>
      </c>
      <c r="W212" s="25" t="s">
        <v>144</v>
      </c>
      <c r="X212" s="43" t="s">
        <v>25</v>
      </c>
      <c r="Y212" s="43">
        <v>45803</v>
      </c>
      <c r="Z212" s="8">
        <v>45844</v>
      </c>
      <c r="AA212" s="8" t="s">
        <v>1167</v>
      </c>
      <c r="AC212" s="8" t="e">
        <f>VLOOKUP(B212,#REF!,19,0)</f>
        <v>#REF!</v>
      </c>
      <c r="AE212" s="8" t="s">
        <v>307</v>
      </c>
      <c r="AP212" s="8" t="str">
        <f t="shared" si="8"/>
        <v>BP Secured</v>
      </c>
      <c r="AQ212" s="10" t="b" cm="1">
        <f t="array" aca="1" ref="AQ212" ca="1">IF(AM212&gt;0,(TODAY()-AM212),IF(AL212&gt;0,(TODAY()-AL212),IF(AK212&gt;0,(TODAY()-AK212,IF(AI212&gt;0,(TODAY()-AI212),IF(AG212&gt;0,(TODAY()-AG212),IF(AF212&gt;0,(TODAY()-AF212),IF(X212&gt;0,(TODAY()-X212)," "))))))))</f>
        <v>0</v>
      </c>
      <c r="AT212" s="8" t="s">
        <v>155</v>
      </c>
      <c r="AU212" s="8">
        <v>45842</v>
      </c>
      <c r="AV212" s="8">
        <v>45842</v>
      </c>
      <c r="AX212" s="8">
        <v>45845</v>
      </c>
      <c r="BD212" s="2" t="str">
        <f t="shared" si="9"/>
        <v>PO Issued</v>
      </c>
      <c r="BE212" s="2">
        <v>95</v>
      </c>
      <c r="BG212" s="2" t="e">
        <v>#N/A</v>
      </c>
    </row>
    <row r="213" spans="2:60" hidden="1" x14ac:dyDescent="0.25">
      <c r="B213" s="2" t="s">
        <v>1168</v>
      </c>
      <c r="C213" s="2" t="s">
        <v>1169</v>
      </c>
      <c r="D213" s="44" t="s">
        <v>1170</v>
      </c>
      <c r="E213" s="2" t="s">
        <v>11</v>
      </c>
      <c r="F213" s="2" t="s">
        <v>696</v>
      </c>
      <c r="G213" s="2" t="s">
        <v>1</v>
      </c>
      <c r="H213" s="2" t="s">
        <v>165</v>
      </c>
      <c r="I213" s="2" t="s">
        <v>68</v>
      </c>
      <c r="J213" s="2" t="s">
        <v>181</v>
      </c>
      <c r="K213" s="2" t="s">
        <v>697</v>
      </c>
      <c r="L213" s="2" t="s">
        <v>698</v>
      </c>
      <c r="M213" s="2">
        <v>0</v>
      </c>
      <c r="N213" s="2">
        <v>8.5114439999999991</v>
      </c>
      <c r="O213" s="2">
        <v>123.315151</v>
      </c>
      <c r="P213" s="2" t="s">
        <v>87</v>
      </c>
      <c r="Q213" s="2" t="s">
        <v>227</v>
      </c>
      <c r="R213" s="29" t="e">
        <f>IF(INDEX(#REF!,MATCH('data '!$B213,#REF!,0),MATCH('data '!R$3,#REF!,0))=0,"",INDEX(#REF!,MATCH('data '!$B213,#REF!,0),MATCH('data '!R$3,#REF!,0)))</f>
        <v>#REF!</v>
      </c>
      <c r="S213" s="29" t="e">
        <f>IF(INDEX(#REF!,MATCH('data '!$B213,#REF!,0),MATCH('data '!S$3,#REF!,0))=0,"",INDEX(#REF!,MATCH('data '!$B213,#REF!,0),MATCH('data '!S$3,#REF!,0)))</f>
        <v>#REF!</v>
      </c>
      <c r="T213" s="29" t="e">
        <f>IF(INDEX(#REF!,MATCH('data '!$B213,#REF!,0),MATCH('data '!T$3,#REF!,0))=0,"",INDEX(#REF!,MATCH('data '!$B213,#REF!,0),MATCH('data '!T$3,#REF!,0)))</f>
        <v>#REF!</v>
      </c>
      <c r="U213" s="8" t="s">
        <v>25</v>
      </c>
      <c r="V213" s="25" t="s">
        <v>160</v>
      </c>
      <c r="W213" s="25" t="s">
        <v>144</v>
      </c>
      <c r="X213" s="43" t="s">
        <v>25</v>
      </c>
      <c r="Y213" s="43">
        <v>45911</v>
      </c>
      <c r="AC213" s="8" t="e">
        <f>VLOOKUP(B213,#REF!,19,0)</f>
        <v>#REF!</v>
      </c>
      <c r="AP213" s="8" t="str">
        <f t="shared" si="8"/>
        <v>BP Secured</v>
      </c>
      <c r="AQ213" s="10" t="b" cm="1">
        <f t="array" aca="1" ref="AQ213" ca="1">IF(AM213&gt;0,(TODAY()-AM213),IF(AL213&gt;0,(TODAY()-AL213),IF(AK213&gt;0,(TODAY()-AK213,IF(AI213&gt;0,(TODAY()-AI213),IF(AG213&gt;0,(TODAY()-AG213),IF(AF213&gt;0,(TODAY()-AF213),IF(X213&gt;0,(TODAY()-X213)," "))))))))</f>
        <v>0</v>
      </c>
      <c r="BD213" s="2" t="str">
        <f t="shared" si="9"/>
        <v>BP Secured</v>
      </c>
      <c r="BE213" s="2" t="e">
        <v>#VALUE!</v>
      </c>
      <c r="BG213" s="2" t="e">
        <v>#N/A</v>
      </c>
    </row>
    <row r="214" spans="2:60" hidden="1" x14ac:dyDescent="0.25">
      <c r="B214" s="2" t="s">
        <v>1171</v>
      </c>
      <c r="C214" s="2" t="s">
        <v>1172</v>
      </c>
      <c r="D214" s="44" t="s">
        <v>1173</v>
      </c>
      <c r="E214" s="2" t="s">
        <v>11</v>
      </c>
      <c r="F214" s="2">
        <v>0</v>
      </c>
      <c r="G214" s="2" t="s">
        <v>1</v>
      </c>
      <c r="H214" s="2" t="s">
        <v>165</v>
      </c>
      <c r="I214" s="2" t="s">
        <v>68</v>
      </c>
      <c r="J214" s="2" t="s">
        <v>173</v>
      </c>
      <c r="K214" s="2" t="s">
        <v>303</v>
      </c>
      <c r="L214" s="2">
        <v>0</v>
      </c>
      <c r="M214" s="2">
        <v>0</v>
      </c>
      <c r="N214" s="2">
        <v>8.2699099999999994</v>
      </c>
      <c r="O214" s="2">
        <v>124.99918</v>
      </c>
      <c r="P214" s="2" t="s">
        <v>87</v>
      </c>
      <c r="Q214" s="2" t="s">
        <v>73</v>
      </c>
      <c r="R214" s="29" t="e">
        <f>IF(INDEX(#REF!,MATCH('data '!$B214,#REF!,0),MATCH('data '!R$3,#REF!,0))=0,"",INDEX(#REF!,MATCH('data '!$B214,#REF!,0),MATCH('data '!R$3,#REF!,0)))</f>
        <v>#REF!</v>
      </c>
      <c r="S214" s="29" t="e">
        <f>IF(INDEX(#REF!,MATCH('data '!$B214,#REF!,0),MATCH('data '!S$3,#REF!,0))=0,"",INDEX(#REF!,MATCH('data '!$B214,#REF!,0),MATCH('data '!S$3,#REF!,0)))</f>
        <v>#REF!</v>
      </c>
      <c r="T214" s="29" t="e">
        <f>IF(INDEX(#REF!,MATCH('data '!$B214,#REF!,0),MATCH('data '!T$3,#REF!,0))=0,"",INDEX(#REF!,MATCH('data '!$B214,#REF!,0),MATCH('data '!T$3,#REF!,0)))</f>
        <v>#REF!</v>
      </c>
      <c r="V214" s="25" t="s">
        <v>185</v>
      </c>
      <c r="W214" s="25" t="s">
        <v>144</v>
      </c>
      <c r="X214" s="43" t="s">
        <v>25</v>
      </c>
      <c r="Y214" s="43">
        <v>45924</v>
      </c>
      <c r="AC214" s="8" t="e">
        <f>VLOOKUP(B214,#REF!,19,0)</f>
        <v>#REF!</v>
      </c>
      <c r="AP214" s="8" t="str">
        <f t="shared" si="8"/>
        <v>BP Secured</v>
      </c>
      <c r="AQ214" s="10" t="b" cm="1">
        <f t="array" aca="1" ref="AQ214" ca="1">IF(AM214&gt;0,(TODAY()-AM214),IF(AL214&gt;0,(TODAY()-AL214),IF(AK214&gt;0,(TODAY()-AK214,IF(AI214&gt;0,(TODAY()-AI214),IF(AG214&gt;0,(TODAY()-AG214),IF(AF214&gt;0,(TODAY()-AF214),IF(X214&gt;0,(TODAY()-X214)," "))))))))</f>
        <v>0</v>
      </c>
      <c r="BD214" s="2" t="str">
        <f t="shared" si="9"/>
        <v>BP Secured</v>
      </c>
      <c r="BE214" s="2" t="e">
        <v>#VALUE!</v>
      </c>
      <c r="BG214" s="2" t="e">
        <v>#N/A</v>
      </c>
    </row>
    <row r="215" spans="2:60" hidden="1" x14ac:dyDescent="0.25">
      <c r="B215" s="2" t="s">
        <v>1174</v>
      </c>
      <c r="C215" s="2" t="s">
        <v>1175</v>
      </c>
      <c r="D215" s="44" t="s">
        <v>1176</v>
      </c>
      <c r="E215" s="2" t="s">
        <v>11</v>
      </c>
      <c r="F215" s="2" t="s">
        <v>450</v>
      </c>
      <c r="G215" s="2" t="s">
        <v>1</v>
      </c>
      <c r="H215" s="2" t="s">
        <v>165</v>
      </c>
      <c r="I215" s="2" t="s">
        <v>68</v>
      </c>
      <c r="J215" s="2" t="s">
        <v>239</v>
      </c>
      <c r="K215" s="2" t="s">
        <v>451</v>
      </c>
      <c r="L215" s="2" t="s">
        <v>883</v>
      </c>
      <c r="M215" s="2">
        <v>0</v>
      </c>
      <c r="N215" s="2">
        <v>8.0914999999999999</v>
      </c>
      <c r="O215" s="2">
        <v>126.086</v>
      </c>
      <c r="P215" s="2" t="s">
        <v>87</v>
      </c>
      <c r="Q215" s="2" t="s">
        <v>184</v>
      </c>
      <c r="R215" s="29" t="e">
        <f>IF(INDEX(#REF!,MATCH('data '!$B215,#REF!,0),MATCH('data '!R$3,#REF!,0))=0,"",INDEX(#REF!,MATCH('data '!$B215,#REF!,0),MATCH('data '!R$3,#REF!,0)))</f>
        <v>#REF!</v>
      </c>
      <c r="S215" s="29" t="e">
        <f>IF(INDEX(#REF!,MATCH('data '!$B215,#REF!,0),MATCH('data '!S$3,#REF!,0))=0,"",INDEX(#REF!,MATCH('data '!$B215,#REF!,0),MATCH('data '!S$3,#REF!,0)))</f>
        <v>#REF!</v>
      </c>
      <c r="T215" s="29" t="e">
        <f>IF(INDEX(#REF!,MATCH('data '!$B215,#REF!,0),MATCH('data '!T$3,#REF!,0))=0,"",INDEX(#REF!,MATCH('data '!$B215,#REF!,0),MATCH('data '!T$3,#REF!,0)))</f>
        <v>#REF!</v>
      </c>
      <c r="U215" s="8" t="s">
        <v>25</v>
      </c>
      <c r="V215" s="25" t="s">
        <v>185</v>
      </c>
      <c r="W215" s="25" t="s">
        <v>144</v>
      </c>
      <c r="X215" s="43" t="s">
        <v>25</v>
      </c>
      <c r="Y215" s="43">
        <v>45775</v>
      </c>
      <c r="Z215" s="8">
        <v>45782</v>
      </c>
      <c r="AA215" s="8" t="s">
        <v>1177</v>
      </c>
      <c r="AC215" s="8" t="e">
        <f>VLOOKUP(B215,#REF!,19,0)</f>
        <v>#REF!</v>
      </c>
      <c r="AE215" s="8" t="s">
        <v>1178</v>
      </c>
      <c r="AP215" s="8" t="str">
        <f t="shared" si="8"/>
        <v>BP Secured</v>
      </c>
      <c r="AQ215" s="10" t="b" cm="1">
        <f t="array" aca="1" ref="AQ215" ca="1">IF(AM215&gt;0,(TODAY()-AM215),IF(AL215&gt;0,(TODAY()-AL215),IF(AK215&gt;0,(TODAY()-AK215,IF(AI215&gt;0,(TODAY()-AI215),IF(AG215&gt;0,(TODAY()-AG215),IF(AF215&gt;0,(TODAY()-AF215),IF(X215&gt;0,(TODAY()-X215)," "))))))))</f>
        <v>0</v>
      </c>
      <c r="AT215" s="8" t="s">
        <v>155</v>
      </c>
      <c r="AU215" s="8">
        <v>45834</v>
      </c>
      <c r="AV215" s="8">
        <v>45836</v>
      </c>
      <c r="AX215" s="8">
        <v>45839</v>
      </c>
      <c r="BD215" s="2" t="str">
        <f t="shared" si="9"/>
        <v>PO Issued</v>
      </c>
      <c r="BE215" s="2">
        <v>101</v>
      </c>
      <c r="BG215" s="2" t="e">
        <v>#N/A</v>
      </c>
    </row>
    <row r="216" spans="2:60" hidden="1" x14ac:dyDescent="0.25">
      <c r="B216" s="2" t="s">
        <v>1179</v>
      </c>
      <c r="C216" s="2" t="s">
        <v>1180</v>
      </c>
      <c r="D216" s="44" t="s">
        <v>1181</v>
      </c>
      <c r="E216" s="2" t="s">
        <v>11</v>
      </c>
      <c r="F216" s="2" t="s">
        <v>79</v>
      </c>
      <c r="G216" s="2" t="s">
        <v>1</v>
      </c>
      <c r="H216" s="2" t="s">
        <v>67</v>
      </c>
      <c r="I216" s="2" t="s">
        <v>68</v>
      </c>
      <c r="J216" s="2" t="s">
        <v>80</v>
      </c>
      <c r="K216" s="2" t="s">
        <v>81</v>
      </c>
      <c r="L216" s="2">
        <v>0</v>
      </c>
      <c r="M216" s="2">
        <v>0</v>
      </c>
      <c r="N216" s="2">
        <v>7.1007040000000003</v>
      </c>
      <c r="O216" s="2">
        <v>125.565279</v>
      </c>
      <c r="P216" s="2" t="s">
        <v>87</v>
      </c>
      <c r="Q216" s="2" t="s">
        <v>73</v>
      </c>
      <c r="R216" s="29" t="e">
        <f>IF(INDEX(#REF!,MATCH('data '!$B216,#REF!,0),MATCH('data '!R$3,#REF!,0))=0,"",INDEX(#REF!,MATCH('data '!$B216,#REF!,0),MATCH('data '!R$3,#REF!,0)))</f>
        <v>#REF!</v>
      </c>
      <c r="S216" s="29" t="e">
        <f>IF(INDEX(#REF!,MATCH('data '!$B216,#REF!,0),MATCH('data '!S$3,#REF!,0))=0,"",INDEX(#REF!,MATCH('data '!$B216,#REF!,0),MATCH('data '!S$3,#REF!,0)))</f>
        <v>#REF!</v>
      </c>
      <c r="T216" s="29" t="e">
        <f>IF(INDEX(#REF!,MATCH('data '!$B216,#REF!,0),MATCH('data '!T$3,#REF!,0))=0,"",INDEX(#REF!,MATCH('data '!$B216,#REF!,0),MATCH('data '!T$3,#REF!,0)))</f>
        <v>#REF!</v>
      </c>
      <c r="U216" s="8" t="s">
        <v>25</v>
      </c>
      <c r="V216" s="25" t="s">
        <v>560</v>
      </c>
      <c r="W216" s="25" t="s">
        <v>103</v>
      </c>
      <c r="X216" s="43" t="s">
        <v>25</v>
      </c>
      <c r="Y216" s="43">
        <v>45923</v>
      </c>
      <c r="AC216" s="8" t="e">
        <f>VLOOKUP(B216,#REF!,19,0)</f>
        <v>#REF!</v>
      </c>
      <c r="AP216" s="8" t="str">
        <f t="shared" si="8"/>
        <v>BP Secured</v>
      </c>
      <c r="AQ216" s="10" t="b" cm="1">
        <f t="array" aca="1" ref="AQ216" ca="1">IF(AM216&gt;0,(TODAY()-AM216),IF(AL216&gt;0,(TODAY()-AL216),IF(AK216&gt;0,(TODAY()-AK216,IF(AI216&gt;0,(TODAY()-AI216),IF(AG216&gt;0,(TODAY()-AG216),IF(AF216&gt;0,(TODAY()-AF216),IF(X216&gt;0,(TODAY()-X216)," "))))))))</f>
        <v>0</v>
      </c>
      <c r="BD216" s="2" t="str">
        <f t="shared" si="9"/>
        <v>BP Secured</v>
      </c>
      <c r="BE216" s="2" t="e">
        <v>#VALUE!</v>
      </c>
      <c r="BG216" s="2" t="e">
        <v>#N/A</v>
      </c>
    </row>
    <row r="217" spans="2:60" hidden="1" x14ac:dyDescent="0.25">
      <c r="B217" s="2" t="s">
        <v>1182</v>
      </c>
      <c r="C217" s="2" t="s">
        <v>1183</v>
      </c>
      <c r="D217" s="44" t="s">
        <v>1184</v>
      </c>
      <c r="E217" s="2" t="s">
        <v>11</v>
      </c>
      <c r="F217" s="2" t="s">
        <v>337</v>
      </c>
      <c r="G217" s="2" t="s">
        <v>1</v>
      </c>
      <c r="H217" s="2" t="s">
        <v>67</v>
      </c>
      <c r="I217" s="2" t="s">
        <v>68</v>
      </c>
      <c r="J217" s="2" t="s">
        <v>330</v>
      </c>
      <c r="K217" s="2" t="s">
        <v>338</v>
      </c>
      <c r="L217" s="2">
        <v>0</v>
      </c>
      <c r="M217" s="2">
        <v>0</v>
      </c>
      <c r="N217" s="2">
        <v>0</v>
      </c>
      <c r="O217" s="2">
        <v>0</v>
      </c>
      <c r="P217" s="2" t="s">
        <v>82</v>
      </c>
      <c r="Q217" s="2" t="s">
        <v>73</v>
      </c>
      <c r="R217" s="29" t="e">
        <f>IF(INDEX(#REF!,MATCH('data '!$B217,#REF!,0),MATCH('data '!R$3,#REF!,0))=0,"",INDEX(#REF!,MATCH('data '!$B217,#REF!,0),MATCH('data '!R$3,#REF!,0)))</f>
        <v>#REF!</v>
      </c>
      <c r="S217" s="29" t="e">
        <f>IF(INDEX(#REF!,MATCH('data '!$B217,#REF!,0),MATCH('data '!S$3,#REF!,0))=0,"",INDEX(#REF!,MATCH('data '!$B217,#REF!,0),MATCH('data '!S$3,#REF!,0)))</f>
        <v>#REF!</v>
      </c>
      <c r="T217" s="29" t="e">
        <f>IF(INDEX(#REF!,MATCH('data '!$B217,#REF!,0),MATCH('data '!T$3,#REF!,0))=0,"",INDEX(#REF!,MATCH('data '!$B217,#REF!,0),MATCH('data '!T$3,#REF!,0)))</f>
        <v>#REF!</v>
      </c>
      <c r="V217" s="25" t="s">
        <v>82</v>
      </c>
      <c r="W217" s="25" t="s">
        <v>83</v>
      </c>
      <c r="AC217" s="8" t="e">
        <f>VLOOKUP(B217,#REF!,19,0)</f>
        <v>#REF!</v>
      </c>
      <c r="AP217" s="8" t="str">
        <f t="shared" si="8"/>
        <v>Not yet endorsed</v>
      </c>
      <c r="AQ217" s="10" t="b" cm="1">
        <f t="array" aca="1" ref="AQ217" ca="1">IF(AM217&gt;0,(TODAY()-AM217),IF(AL217&gt;0,(TODAY()-AL217),IF(AK217&gt;0,(TODAY()-AK217,IF(AI217&gt;0,(TODAY()-AI217),IF(AG217&gt;0,(TODAY()-AG217),IF(AF217&gt;0,(TODAY()-AF217),IF(X217&gt;0,(TODAY()-X217)," "))))))))</f>
        <v>0</v>
      </c>
      <c r="BD217" s="2" t="str">
        <f t="shared" si="9"/>
        <v>Not yet endorsed</v>
      </c>
      <c r="BE217" s="2" t="s">
        <v>75</v>
      </c>
      <c r="BG217" s="2" t="e">
        <v>#N/A</v>
      </c>
    </row>
    <row r="218" spans="2:60" hidden="1" x14ac:dyDescent="0.25">
      <c r="B218" s="2" t="s">
        <v>1185</v>
      </c>
      <c r="C218" s="2" t="s">
        <v>1186</v>
      </c>
      <c r="D218" s="44" t="s">
        <v>1187</v>
      </c>
      <c r="E218" s="2" t="s">
        <v>11</v>
      </c>
      <c r="F218" s="2">
        <v>0</v>
      </c>
      <c r="G218" s="2" t="s">
        <v>1</v>
      </c>
      <c r="H218" s="2" t="s">
        <v>67</v>
      </c>
      <c r="I218" s="2" t="s">
        <v>68</v>
      </c>
      <c r="J218" s="2" t="s">
        <v>330</v>
      </c>
      <c r="K218" s="2" t="s">
        <v>501</v>
      </c>
      <c r="L218" s="2">
        <v>0</v>
      </c>
      <c r="M218" s="2">
        <v>0</v>
      </c>
      <c r="N218" s="2">
        <v>6.8091080000000002</v>
      </c>
      <c r="O218" s="2">
        <v>124.610457</v>
      </c>
      <c r="P218" s="2" t="s">
        <v>87</v>
      </c>
      <c r="Q218" s="2" t="s">
        <v>73</v>
      </c>
      <c r="R218" s="29" t="e">
        <f>IF(INDEX(#REF!,MATCH('data '!$B218,#REF!,0),MATCH('data '!R$3,#REF!,0))=0,"",INDEX(#REF!,MATCH('data '!$B218,#REF!,0),MATCH('data '!R$3,#REF!,0)))</f>
        <v>#REF!</v>
      </c>
      <c r="S218" s="29" t="e">
        <f>IF(INDEX(#REF!,MATCH('data '!$B218,#REF!,0),MATCH('data '!S$3,#REF!,0))=0,"",INDEX(#REF!,MATCH('data '!$B218,#REF!,0),MATCH('data '!S$3,#REF!,0)))</f>
        <v>#REF!</v>
      </c>
      <c r="T218" s="29" t="e">
        <f>IF(INDEX(#REF!,MATCH('data '!$B218,#REF!,0),MATCH('data '!T$3,#REF!,0))=0,"",INDEX(#REF!,MATCH('data '!$B218,#REF!,0),MATCH('data '!T$3,#REF!,0)))</f>
        <v>#REF!</v>
      </c>
      <c r="V218" s="25" t="s">
        <v>160</v>
      </c>
      <c r="W218" s="25" t="s">
        <v>144</v>
      </c>
      <c r="X218" s="43" t="s">
        <v>25</v>
      </c>
      <c r="Y218" s="43">
        <v>45915</v>
      </c>
      <c r="AC218" s="8" t="e">
        <f>VLOOKUP(B218,#REF!,19,0)</f>
        <v>#REF!</v>
      </c>
      <c r="AP218" s="8" t="str">
        <f t="shared" si="8"/>
        <v>BP Secured</v>
      </c>
      <c r="AQ218" s="10" t="b" cm="1">
        <f t="array" aca="1" ref="AQ218" ca="1">IF(AM218&gt;0,(TODAY()-AM218),IF(AL218&gt;0,(TODAY()-AL218),IF(AK218&gt;0,(TODAY()-AK218,IF(AI218&gt;0,(TODAY()-AI218),IF(AG218&gt;0,(TODAY()-AG218),IF(AF218&gt;0,(TODAY()-AF218),IF(X218&gt;0,(TODAY()-X218)," "))))))))</f>
        <v>0</v>
      </c>
      <c r="BD218" s="2" t="str">
        <f t="shared" si="9"/>
        <v>BP Secured</v>
      </c>
      <c r="BE218" s="2" t="e">
        <v>#VALUE!</v>
      </c>
      <c r="BG218" s="2" t="e">
        <v>#N/A</v>
      </c>
    </row>
    <row r="219" spans="2:60" hidden="1" x14ac:dyDescent="0.25">
      <c r="B219" s="2" t="s">
        <v>1188</v>
      </c>
      <c r="C219" s="2" t="s">
        <v>1189</v>
      </c>
      <c r="D219" s="44" t="s">
        <v>1190</v>
      </c>
      <c r="E219" s="2" t="s">
        <v>11</v>
      </c>
      <c r="F219" s="2">
        <v>0</v>
      </c>
      <c r="G219" s="2" t="s">
        <v>1</v>
      </c>
      <c r="H219" s="2" t="s">
        <v>67</v>
      </c>
      <c r="I219" s="2" t="s">
        <v>68</v>
      </c>
      <c r="J219" s="2" t="s">
        <v>80</v>
      </c>
      <c r="K219" s="2" t="s">
        <v>81</v>
      </c>
      <c r="L219" s="2">
        <v>0</v>
      </c>
      <c r="M219" s="2">
        <v>0</v>
      </c>
      <c r="N219" s="2">
        <v>7.1625199999999998</v>
      </c>
      <c r="O219" s="2">
        <v>125.516357</v>
      </c>
      <c r="P219" s="2" t="s">
        <v>87</v>
      </c>
      <c r="Q219" s="2" t="s">
        <v>73</v>
      </c>
      <c r="R219" s="29" t="e">
        <f>IF(INDEX(#REF!,MATCH('data '!$B219,#REF!,0),MATCH('data '!R$3,#REF!,0))=0,"",INDEX(#REF!,MATCH('data '!$B219,#REF!,0),MATCH('data '!R$3,#REF!,0)))</f>
        <v>#REF!</v>
      </c>
      <c r="S219" s="29" t="e">
        <f>IF(INDEX(#REF!,MATCH('data '!$B219,#REF!,0),MATCH('data '!S$3,#REF!,0))=0,"",INDEX(#REF!,MATCH('data '!$B219,#REF!,0),MATCH('data '!S$3,#REF!,0)))</f>
        <v>#REF!</v>
      </c>
      <c r="T219" s="29" t="e">
        <f>IF(INDEX(#REF!,MATCH('data '!$B219,#REF!,0),MATCH('data '!T$3,#REF!,0))=0,"",INDEX(#REF!,MATCH('data '!$B219,#REF!,0),MATCH('data '!T$3,#REF!,0)))</f>
        <v>#REF!</v>
      </c>
      <c r="V219" s="25" t="s">
        <v>560</v>
      </c>
      <c r="W219" s="25" t="s">
        <v>103</v>
      </c>
      <c r="X219" s="43" t="s">
        <v>25</v>
      </c>
      <c r="Y219" s="43">
        <v>45923</v>
      </c>
      <c r="AC219" s="8" t="e">
        <f>VLOOKUP(B219,#REF!,19,0)</f>
        <v>#REF!</v>
      </c>
      <c r="AP219" s="8" t="str">
        <f t="shared" si="8"/>
        <v>BP Secured</v>
      </c>
      <c r="AQ219" s="10" t="b" cm="1">
        <f t="array" aca="1" ref="AQ219" ca="1">IF(AM219&gt;0,(TODAY()-AM219),IF(AL219&gt;0,(TODAY()-AL219),IF(AK219&gt;0,(TODAY()-AK219,IF(AI219&gt;0,(TODAY()-AI219),IF(AG219&gt;0,(TODAY()-AG219),IF(AF219&gt;0,(TODAY()-AF219),IF(X219&gt;0,(TODAY()-X219)," "))))))))</f>
        <v>0</v>
      </c>
      <c r="BD219" s="2" t="str">
        <f t="shared" si="9"/>
        <v>BP Secured</v>
      </c>
      <c r="BE219" s="2" t="e">
        <v>#VALUE!</v>
      </c>
      <c r="BG219" s="2" t="e">
        <v>#N/A</v>
      </c>
    </row>
    <row r="220" spans="2:60" hidden="1" x14ac:dyDescent="0.25">
      <c r="B220" s="2" t="s">
        <v>1191</v>
      </c>
      <c r="C220" s="2" t="s">
        <v>1192</v>
      </c>
      <c r="D220" s="44" t="s">
        <v>1193</v>
      </c>
      <c r="E220" s="2" t="s">
        <v>11</v>
      </c>
      <c r="F220" s="2">
        <v>0</v>
      </c>
      <c r="G220" s="2" t="s">
        <v>1</v>
      </c>
      <c r="H220" s="2" t="s">
        <v>67</v>
      </c>
      <c r="I220" s="2" t="s">
        <v>68</v>
      </c>
      <c r="J220" s="2" t="s">
        <v>69</v>
      </c>
      <c r="K220" s="2" t="s">
        <v>70</v>
      </c>
      <c r="L220" s="2">
        <v>0</v>
      </c>
      <c r="M220" s="2">
        <v>0</v>
      </c>
      <c r="N220" s="2">
        <v>0</v>
      </c>
      <c r="O220" s="2">
        <v>0</v>
      </c>
      <c r="P220" s="2" t="s">
        <v>82</v>
      </c>
      <c r="Q220" s="2">
        <v>0</v>
      </c>
      <c r="R220" s="29" t="e">
        <f>IF(INDEX(#REF!,MATCH('data '!$B220,#REF!,0),MATCH('data '!R$3,#REF!,0))=0,"",INDEX(#REF!,MATCH('data '!$B220,#REF!,0),MATCH('data '!R$3,#REF!,0)))</f>
        <v>#REF!</v>
      </c>
      <c r="S220" s="29" t="e">
        <f>IF(INDEX(#REF!,MATCH('data '!$B220,#REF!,0),MATCH('data '!S$3,#REF!,0))=0,"",INDEX(#REF!,MATCH('data '!$B220,#REF!,0),MATCH('data '!S$3,#REF!,0)))</f>
        <v>#REF!</v>
      </c>
      <c r="T220" s="29" t="e">
        <f>IF(INDEX(#REF!,MATCH('data '!$B220,#REF!,0),MATCH('data '!T$3,#REF!,0))=0,"",INDEX(#REF!,MATCH('data '!$B220,#REF!,0),MATCH('data '!T$3,#REF!,0)))</f>
        <v>#REF!</v>
      </c>
      <c r="V220" s="25" t="s">
        <v>82</v>
      </c>
      <c r="W220" s="25" t="s">
        <v>83</v>
      </c>
      <c r="AC220" s="8" t="e">
        <f>VLOOKUP(B220,#REF!,19,0)</f>
        <v>#REF!</v>
      </c>
      <c r="AP220" s="8" t="str">
        <f t="shared" si="8"/>
        <v>Not yet endorsed</v>
      </c>
      <c r="AQ220" s="10" t="b" cm="1">
        <f t="array" aca="1" ref="AQ220" ca="1">IF(AM220&gt;0,(TODAY()-AM220),IF(AL220&gt;0,(TODAY()-AL220),IF(AK220&gt;0,(TODAY()-AK220,IF(AI220&gt;0,(TODAY()-AI220),IF(AG220&gt;0,(TODAY()-AG220),IF(AF220&gt;0,(TODAY()-AF220),IF(X220&gt;0,(TODAY()-X220)," "))))))))</f>
        <v>0</v>
      </c>
      <c r="BD220" s="2" t="str">
        <f t="shared" si="9"/>
        <v>Not yet endorsed</v>
      </c>
      <c r="BE220" s="2" t="s">
        <v>75</v>
      </c>
      <c r="BG220" s="2" t="e">
        <v>#N/A</v>
      </c>
    </row>
    <row r="221" spans="2:60" hidden="1" x14ac:dyDescent="0.25">
      <c r="B221" s="2" t="s">
        <v>1194</v>
      </c>
      <c r="C221" s="2" t="s">
        <v>1195</v>
      </c>
      <c r="D221" s="44" t="s">
        <v>1196</v>
      </c>
      <c r="E221" s="2" t="s">
        <v>11</v>
      </c>
      <c r="F221" s="2" t="s">
        <v>302</v>
      </c>
      <c r="G221" s="2" t="s">
        <v>1</v>
      </c>
      <c r="H221" s="2" t="s">
        <v>165</v>
      </c>
      <c r="I221" s="2" t="s">
        <v>68</v>
      </c>
      <c r="J221" s="2" t="s">
        <v>173</v>
      </c>
      <c r="K221" s="2" t="s">
        <v>303</v>
      </c>
      <c r="L221" s="2" t="s">
        <v>1002</v>
      </c>
      <c r="M221" s="2">
        <v>0</v>
      </c>
      <c r="N221" s="2">
        <v>8.3154400000000006</v>
      </c>
      <c r="O221" s="2">
        <v>124.85981</v>
      </c>
      <c r="P221" s="2" t="s">
        <v>87</v>
      </c>
      <c r="Q221" s="2" t="s">
        <v>184</v>
      </c>
      <c r="R221" s="29" t="e">
        <f>IF(INDEX(#REF!,MATCH('data '!$B221,#REF!,0),MATCH('data '!R$3,#REF!,0))=0,"",INDEX(#REF!,MATCH('data '!$B221,#REF!,0),MATCH('data '!R$3,#REF!,0)))</f>
        <v>#REF!</v>
      </c>
      <c r="S221" s="29" t="e">
        <f>IF(INDEX(#REF!,MATCH('data '!$B221,#REF!,0),MATCH('data '!S$3,#REF!,0))=0,"",INDEX(#REF!,MATCH('data '!$B221,#REF!,0),MATCH('data '!S$3,#REF!,0)))</f>
        <v>#REF!</v>
      </c>
      <c r="T221" s="29" t="e">
        <f>IF(INDEX(#REF!,MATCH('data '!$B221,#REF!,0),MATCH('data '!T$3,#REF!,0))=0,"",INDEX(#REF!,MATCH('data '!$B221,#REF!,0),MATCH('data '!T$3,#REF!,0)))</f>
        <v>#REF!</v>
      </c>
      <c r="U221" s="8" t="s">
        <v>25</v>
      </c>
      <c r="V221" s="25" t="s">
        <v>266</v>
      </c>
      <c r="W221" s="25" t="s">
        <v>144</v>
      </c>
      <c r="X221" s="43" t="s">
        <v>25</v>
      </c>
      <c r="Y221" s="43">
        <v>45784</v>
      </c>
      <c r="AA221" s="8" t="s">
        <v>496</v>
      </c>
      <c r="AC221" s="8" t="e">
        <f>VLOOKUP(B221,#REF!,19,0)</f>
        <v>#REF!</v>
      </c>
      <c r="AE221" s="8" t="s">
        <v>1178</v>
      </c>
      <c r="AK221" s="8">
        <v>45777</v>
      </c>
      <c r="AP221" s="8" t="str">
        <f t="shared" si="8"/>
        <v>COOP Surveyed</v>
      </c>
      <c r="AQ221" s="10" t="e" cm="1">
        <f t="array" aca="1" ref="AQ221" ca="1">IF(AM221&gt;0,(TODAY()-AM221),IF(AL221&gt;0,(TODAY()-AL221),IF(AK221&gt;0,(TODAY()-AK221,IF(AI221&gt;0,(TODAY()-AI221),IF(AG221&gt;0,(TODAY()-AG221),IF(AF221&gt;0,(TODAY()-AF221),IF(X221&gt;0,(TODAY()-X221)," "))))))))</f>
        <v>#VALUE!</v>
      </c>
      <c r="AT221" s="8" t="s">
        <v>155</v>
      </c>
      <c r="AU221" s="8">
        <v>45802</v>
      </c>
      <c r="AV221" s="8">
        <v>45800</v>
      </c>
      <c r="AX221" s="8">
        <v>45803</v>
      </c>
      <c r="BD221" s="2" t="str">
        <f t="shared" si="9"/>
        <v>PO Issued</v>
      </c>
      <c r="BE221" s="2">
        <v>137</v>
      </c>
      <c r="BG221" s="2" t="e">
        <v>#N/A</v>
      </c>
    </row>
    <row r="222" spans="2:60" hidden="1" x14ac:dyDescent="0.25">
      <c r="B222" s="2" t="s">
        <v>1197</v>
      </c>
      <c r="C222" s="2" t="s">
        <v>1198</v>
      </c>
      <c r="D222" s="44" t="s">
        <v>1199</v>
      </c>
      <c r="E222" s="2" t="s">
        <v>11</v>
      </c>
      <c r="F222" s="2" t="s">
        <v>180</v>
      </c>
      <c r="G222" s="2" t="s">
        <v>1</v>
      </c>
      <c r="H222" s="2" t="s">
        <v>165</v>
      </c>
      <c r="I222" s="2" t="s">
        <v>68</v>
      </c>
      <c r="J222" s="2" t="s">
        <v>181</v>
      </c>
      <c r="K222" s="2" t="s">
        <v>182</v>
      </c>
      <c r="L222" s="2" t="s">
        <v>183</v>
      </c>
      <c r="M222" s="2">
        <v>0</v>
      </c>
      <c r="N222" s="2">
        <v>7.0479202299999999</v>
      </c>
      <c r="O222" s="2">
        <v>122.184206</v>
      </c>
      <c r="P222" s="2" t="s">
        <v>88</v>
      </c>
      <c r="Q222" s="2" t="s">
        <v>73</v>
      </c>
      <c r="R222" s="29" t="e">
        <f>IF(INDEX(#REF!,MATCH('data '!$B222,#REF!,0),MATCH('data '!R$3,#REF!,0))=0,"",INDEX(#REF!,MATCH('data '!$B222,#REF!,0),MATCH('data '!R$3,#REF!,0)))</f>
        <v>#REF!</v>
      </c>
      <c r="S222" s="29" t="e">
        <f>IF(INDEX(#REF!,MATCH('data '!$B222,#REF!,0),MATCH('data '!S$3,#REF!,0))=0,"",INDEX(#REF!,MATCH('data '!$B222,#REF!,0),MATCH('data '!S$3,#REF!,0)))</f>
        <v>#REF!</v>
      </c>
      <c r="T222" s="29" t="e">
        <f>IF(INDEX(#REF!,MATCH('data '!$B222,#REF!,0),MATCH('data '!T$3,#REF!,0))=0,"",INDEX(#REF!,MATCH('data '!$B222,#REF!,0),MATCH('data '!T$3,#REF!,0)))</f>
        <v>#REF!</v>
      </c>
      <c r="U222" s="8" t="s">
        <v>25</v>
      </c>
      <c r="V222" s="25" t="s">
        <v>560</v>
      </c>
      <c r="W222" s="25" t="s">
        <v>103</v>
      </c>
      <c r="X222" s="61"/>
      <c r="Y222" s="61"/>
      <c r="AC222" s="8" t="e">
        <f>VLOOKUP(B222,#REF!,19,0)</f>
        <v>#REF!</v>
      </c>
      <c r="AK222" s="8">
        <v>45770</v>
      </c>
      <c r="AP222" s="8" t="str">
        <f t="shared" si="8"/>
        <v>COOP Surveyed</v>
      </c>
      <c r="AQ222" s="10" t="e" cm="1">
        <f t="array" aca="1" ref="AQ222" ca="1">IF(AM222&gt;0,(TODAY()-AM222),IF(AL222&gt;0,(TODAY()-AL222),IF(AK222&gt;0,(TODAY()-AK222,IF(AI222&gt;0,(TODAY()-AI222),IF(AG222&gt;0,(TODAY()-AG222),IF(AF222&gt;0,(TODAY()-AF222),IF(X222&gt;0,(TODAY()-X222)," "))))))))</f>
        <v>#VALUE!</v>
      </c>
      <c r="BD222" s="2" t="str">
        <f t="shared" si="9"/>
        <v>TSSR Approved</v>
      </c>
      <c r="BE222" s="2" t="e">
        <v>#VALUE!</v>
      </c>
      <c r="BG222" s="2" t="e">
        <v>#N/A</v>
      </c>
    </row>
    <row r="223" spans="2:60" hidden="1" x14ac:dyDescent="0.25">
      <c r="B223" s="2" t="s">
        <v>1200</v>
      </c>
      <c r="C223" s="2" t="s">
        <v>1201</v>
      </c>
      <c r="D223" s="44" t="s">
        <v>1202</v>
      </c>
      <c r="E223" s="2" t="s">
        <v>11</v>
      </c>
      <c r="F223" s="2">
        <v>0</v>
      </c>
      <c r="G223" s="2" t="s">
        <v>1</v>
      </c>
      <c r="H223" s="2" t="s">
        <v>67</v>
      </c>
      <c r="I223" s="2" t="s">
        <v>68</v>
      </c>
      <c r="J223" s="2" t="s">
        <v>69</v>
      </c>
      <c r="K223" s="2" t="s">
        <v>70</v>
      </c>
      <c r="L223" s="2">
        <v>0</v>
      </c>
      <c r="M223" s="2">
        <v>0</v>
      </c>
      <c r="N223" s="2">
        <v>0</v>
      </c>
      <c r="O223" s="2">
        <v>0</v>
      </c>
      <c r="P223" s="2" t="s">
        <v>204</v>
      </c>
      <c r="Q223" s="2">
        <v>0</v>
      </c>
      <c r="R223" s="29" t="e">
        <f>IF(INDEX(#REF!,MATCH('data '!$B223,#REF!,0),MATCH('data '!R$3,#REF!,0))=0,"",INDEX(#REF!,MATCH('data '!$B223,#REF!,0),MATCH('data '!R$3,#REF!,0)))</f>
        <v>#REF!</v>
      </c>
      <c r="S223" s="29" t="e">
        <f>IF(INDEX(#REF!,MATCH('data '!$B223,#REF!,0),MATCH('data '!S$3,#REF!,0))=0,"",INDEX(#REF!,MATCH('data '!$B223,#REF!,0),MATCH('data '!S$3,#REF!,0)))</f>
        <v>#REF!</v>
      </c>
      <c r="T223" s="29" t="e">
        <f>IF(INDEX(#REF!,MATCH('data '!$B223,#REF!,0),MATCH('data '!T$3,#REF!,0))=0,"",INDEX(#REF!,MATCH('data '!$B223,#REF!,0),MATCH('data '!T$3,#REF!,0)))</f>
        <v>#REF!</v>
      </c>
      <c r="V223" s="25" t="s">
        <v>490</v>
      </c>
      <c r="W223" s="25">
        <v>0</v>
      </c>
      <c r="AC223" s="8" t="e">
        <f>VLOOKUP(B223,#REF!,19,0)</f>
        <v>#REF!</v>
      </c>
      <c r="AP223" s="8" t="str">
        <f t="shared" si="8"/>
        <v>Not yet endorsed</v>
      </c>
      <c r="AQ223" s="10" t="b" cm="1">
        <f t="array" aca="1" ref="AQ223" ca="1">IF(AM223&gt;0,(TODAY()-AM223),IF(AL223&gt;0,(TODAY()-AL223),IF(AK223&gt;0,(TODAY()-AK223,IF(AI223&gt;0,(TODAY()-AI223),IF(AG223&gt;0,(TODAY()-AG223),IF(AF223&gt;0,(TODAY()-AF223),IF(X223&gt;0,(TODAY()-X223)," "))))))))</f>
        <v>0</v>
      </c>
      <c r="BD223" s="2" t="str">
        <f t="shared" si="9"/>
        <v>Not yet endorsed</v>
      </c>
      <c r="BE223" s="2" t="s">
        <v>75</v>
      </c>
      <c r="BG223" s="2" t="e">
        <v>#N/A</v>
      </c>
    </row>
    <row r="224" spans="2:60" hidden="1" x14ac:dyDescent="0.25">
      <c r="B224" s="2" t="s">
        <v>1203</v>
      </c>
      <c r="C224" s="2" t="s">
        <v>1204</v>
      </c>
      <c r="D224" s="44" t="s">
        <v>1205</v>
      </c>
      <c r="E224" s="2" t="s">
        <v>11</v>
      </c>
      <c r="F224" s="2" t="s">
        <v>180</v>
      </c>
      <c r="G224" s="2" t="s">
        <v>1</v>
      </c>
      <c r="H224" s="2" t="s">
        <v>165</v>
      </c>
      <c r="I224" s="2" t="s">
        <v>68</v>
      </c>
      <c r="J224" s="2" t="s">
        <v>181</v>
      </c>
      <c r="K224" s="2" t="s">
        <v>182</v>
      </c>
      <c r="L224" s="2" t="s">
        <v>183</v>
      </c>
      <c r="M224" s="2">
        <v>0</v>
      </c>
      <c r="N224" s="2">
        <v>7.2233239999999999</v>
      </c>
      <c r="O224" s="2">
        <v>122.24558500000001</v>
      </c>
      <c r="P224" s="2" t="s">
        <v>87</v>
      </c>
      <c r="Q224" s="2" t="s">
        <v>73</v>
      </c>
      <c r="R224" s="29" t="e">
        <f>IF(INDEX(#REF!,MATCH('data '!$B224,#REF!,0),MATCH('data '!R$3,#REF!,0))=0,"",INDEX(#REF!,MATCH('data '!$B224,#REF!,0),MATCH('data '!R$3,#REF!,0)))</f>
        <v>#REF!</v>
      </c>
      <c r="S224" s="29" t="e">
        <f>IF(INDEX(#REF!,MATCH('data '!$B224,#REF!,0),MATCH('data '!S$3,#REF!,0))=0,"",INDEX(#REF!,MATCH('data '!$B224,#REF!,0),MATCH('data '!S$3,#REF!,0)))</f>
        <v>#REF!</v>
      </c>
      <c r="T224" s="29" t="e">
        <f>IF(INDEX(#REF!,MATCH('data '!$B224,#REF!,0),MATCH('data '!T$3,#REF!,0))=0,"",INDEX(#REF!,MATCH('data '!$B224,#REF!,0),MATCH('data '!T$3,#REF!,0)))</f>
        <v>#REF!</v>
      </c>
      <c r="U224" s="8" t="s">
        <v>25</v>
      </c>
      <c r="V224" s="25" t="s">
        <v>560</v>
      </c>
      <c r="W224" s="25" t="s">
        <v>103</v>
      </c>
      <c r="X224" s="43" t="s">
        <v>25</v>
      </c>
      <c r="Y224" s="43">
        <v>45932</v>
      </c>
      <c r="AC224" s="8" t="e">
        <f>VLOOKUP(B224,#REF!,19,0)</f>
        <v>#REF!</v>
      </c>
      <c r="AP224" s="8" t="str">
        <f t="shared" si="8"/>
        <v>BP Secured</v>
      </c>
      <c r="AQ224" s="10" t="b" cm="1">
        <f t="array" aca="1" ref="AQ224" ca="1">IF(AM224&gt;0,(TODAY()-AM224),IF(AL224&gt;0,(TODAY()-AL224),IF(AK224&gt;0,(TODAY()-AK224,IF(AI224&gt;0,(TODAY()-AI224),IF(AG224&gt;0,(TODAY()-AG224),IF(AF224&gt;0,(TODAY()-AF224),IF(X224&gt;0,(TODAY()-X224)," "))))))))</f>
        <v>0</v>
      </c>
      <c r="BD224" s="2" t="str">
        <f t="shared" si="9"/>
        <v>BP Secured</v>
      </c>
      <c r="BE224" s="2" t="e">
        <v>#VALUE!</v>
      </c>
      <c r="BG224" s="2" t="e">
        <v>#N/A</v>
      </c>
    </row>
    <row r="225" spans="2:59" hidden="1" x14ac:dyDescent="0.25">
      <c r="B225" s="2" t="s">
        <v>1206</v>
      </c>
      <c r="C225" s="2" t="s">
        <v>1207</v>
      </c>
      <c r="D225" s="44" t="s">
        <v>1208</v>
      </c>
      <c r="E225" s="2" t="s">
        <v>11</v>
      </c>
      <c r="F225" s="2">
        <v>0</v>
      </c>
      <c r="G225" s="2" t="s">
        <v>1</v>
      </c>
      <c r="H225" s="2" t="s">
        <v>67</v>
      </c>
      <c r="I225" s="2" t="s">
        <v>68</v>
      </c>
      <c r="J225" s="2" t="s">
        <v>80</v>
      </c>
      <c r="K225" s="2" t="s">
        <v>81</v>
      </c>
      <c r="L225" s="2">
        <v>0</v>
      </c>
      <c r="M225" s="2">
        <v>0</v>
      </c>
      <c r="N225" s="2">
        <v>0</v>
      </c>
      <c r="O225" s="2">
        <v>0</v>
      </c>
      <c r="P225" s="2" t="s">
        <v>116</v>
      </c>
      <c r="Q225" s="2">
        <v>0</v>
      </c>
      <c r="R225" s="29" t="e">
        <f>IF(INDEX(#REF!,MATCH('data '!$B225,#REF!,0),MATCH('data '!R$3,#REF!,0))=0,"",INDEX(#REF!,MATCH('data '!$B225,#REF!,0),MATCH('data '!R$3,#REF!,0)))</f>
        <v>#REF!</v>
      </c>
      <c r="S225" s="29" t="e">
        <f>IF(INDEX(#REF!,MATCH('data '!$B225,#REF!,0),MATCH('data '!S$3,#REF!,0))=0,"",INDEX(#REF!,MATCH('data '!$B225,#REF!,0),MATCH('data '!S$3,#REF!,0)))</f>
        <v>#REF!</v>
      </c>
      <c r="T225" s="29" t="e">
        <f>IF(INDEX(#REF!,MATCH('data '!$B225,#REF!,0),MATCH('data '!T$3,#REF!,0))=0,"",INDEX(#REF!,MATCH('data '!$B225,#REF!,0),MATCH('data '!T$3,#REF!,0)))</f>
        <v>#REF!</v>
      </c>
      <c r="V225" s="25" t="s">
        <v>74</v>
      </c>
      <c r="W225" s="25">
        <v>0</v>
      </c>
      <c r="AC225" s="8" t="e">
        <f>VLOOKUP(B225,#REF!,19,0)</f>
        <v>#REF!</v>
      </c>
      <c r="AP225" s="8" t="str">
        <f t="shared" si="8"/>
        <v>Not yet endorsed</v>
      </c>
      <c r="AQ225" s="10" t="b" cm="1">
        <f t="array" aca="1" ref="AQ225" ca="1">IF(AM225&gt;0,(TODAY()-AM225),IF(AL225&gt;0,(TODAY()-AL225),IF(AK225&gt;0,(TODAY()-AK225,IF(AI225&gt;0,(TODAY()-AI225),IF(AG225&gt;0,(TODAY()-AG225),IF(AF225&gt;0,(TODAY()-AF225),IF(X225&gt;0,(TODAY()-X225)," "))))))))</f>
        <v>0</v>
      </c>
      <c r="BD225" s="2" t="str">
        <f t="shared" si="9"/>
        <v>Not yet endorsed</v>
      </c>
      <c r="BE225" s="2" t="s">
        <v>75</v>
      </c>
      <c r="BG225" s="2" t="e">
        <v>#N/A</v>
      </c>
    </row>
    <row r="226" spans="2:59" hidden="1" x14ac:dyDescent="0.25">
      <c r="B226" s="2" t="s">
        <v>1209</v>
      </c>
      <c r="C226" s="2" t="s">
        <v>1210</v>
      </c>
      <c r="D226" s="44" t="s">
        <v>1211</v>
      </c>
      <c r="E226" s="2" t="s">
        <v>11</v>
      </c>
      <c r="F226" s="2" t="s">
        <v>337</v>
      </c>
      <c r="G226" s="2" t="s">
        <v>1</v>
      </c>
      <c r="H226" s="2" t="s">
        <v>67</v>
      </c>
      <c r="I226" s="2" t="s">
        <v>68</v>
      </c>
      <c r="J226" s="2" t="s">
        <v>330</v>
      </c>
      <c r="K226" s="2" t="s">
        <v>338</v>
      </c>
      <c r="L226" s="2">
        <v>0</v>
      </c>
      <c r="M226" s="2">
        <v>0</v>
      </c>
      <c r="N226" s="2">
        <v>0</v>
      </c>
      <c r="O226" s="2">
        <v>0</v>
      </c>
      <c r="P226" s="2" t="s">
        <v>125</v>
      </c>
      <c r="Q226" s="2" t="s">
        <v>73</v>
      </c>
      <c r="R226" s="29" t="e">
        <f>IF(INDEX(#REF!,MATCH('data '!$B226,#REF!,0),MATCH('data '!R$3,#REF!,0))=0,"",INDEX(#REF!,MATCH('data '!$B226,#REF!,0),MATCH('data '!R$3,#REF!,0)))</f>
        <v>#REF!</v>
      </c>
      <c r="S226" s="29" t="e">
        <f>IF(INDEX(#REF!,MATCH('data '!$B226,#REF!,0),MATCH('data '!S$3,#REF!,0))=0,"",INDEX(#REF!,MATCH('data '!$B226,#REF!,0),MATCH('data '!S$3,#REF!,0)))</f>
        <v>#REF!</v>
      </c>
      <c r="T226" s="29" t="e">
        <f>IF(INDEX(#REF!,MATCH('data '!$B226,#REF!,0),MATCH('data '!T$3,#REF!,0))=0,"",INDEX(#REF!,MATCH('data '!$B226,#REF!,0),MATCH('data '!T$3,#REF!,0)))</f>
        <v>#REF!</v>
      </c>
      <c r="V226" s="25" t="s">
        <v>82</v>
      </c>
      <c r="W226" s="25" t="s">
        <v>83</v>
      </c>
      <c r="AC226" s="8" t="e">
        <f>VLOOKUP(B226,#REF!,19,0)</f>
        <v>#REF!</v>
      </c>
      <c r="AP226" s="8" t="str">
        <f t="shared" si="8"/>
        <v>Not yet endorsed</v>
      </c>
      <c r="AQ226" s="10" t="b" cm="1">
        <f t="array" aca="1" ref="AQ226" ca="1">IF(AM226&gt;0,(TODAY()-AM226),IF(AL226&gt;0,(TODAY()-AL226),IF(AK226&gt;0,(TODAY()-AK226,IF(AI226&gt;0,(TODAY()-AI226),IF(AG226&gt;0,(TODAY()-AG226),IF(AF226&gt;0,(TODAY()-AF226),IF(X226&gt;0,(TODAY()-X226)," "))))))))</f>
        <v>0</v>
      </c>
      <c r="BD226" s="2" t="str">
        <f t="shared" si="9"/>
        <v>Not yet endorsed</v>
      </c>
      <c r="BE226" s="2" t="s">
        <v>75</v>
      </c>
      <c r="BG226" s="2" t="e">
        <v>#N/A</v>
      </c>
    </row>
    <row r="227" spans="2:59" hidden="1" x14ac:dyDescent="0.25">
      <c r="B227" s="2" t="s">
        <v>1212</v>
      </c>
      <c r="C227" s="2" t="s">
        <v>1213</v>
      </c>
      <c r="D227" s="44" t="s">
        <v>1214</v>
      </c>
      <c r="E227" s="2" t="s">
        <v>11</v>
      </c>
      <c r="F227" s="2">
        <v>0</v>
      </c>
      <c r="G227" s="2" t="s">
        <v>1</v>
      </c>
      <c r="H227" s="2" t="s">
        <v>67</v>
      </c>
      <c r="I227" s="2" t="s">
        <v>68</v>
      </c>
      <c r="J227" s="2" t="s">
        <v>80</v>
      </c>
      <c r="K227" s="2" t="s">
        <v>81</v>
      </c>
      <c r="L227" s="2">
        <v>0</v>
      </c>
      <c r="M227" s="2">
        <v>0</v>
      </c>
      <c r="N227" s="2">
        <v>7.259722</v>
      </c>
      <c r="O227" s="2">
        <v>125.622557</v>
      </c>
      <c r="P227" s="2" t="s">
        <v>87</v>
      </c>
      <c r="Q227" s="2" t="s">
        <v>73</v>
      </c>
      <c r="R227" s="29" t="e">
        <f>IF(INDEX(#REF!,MATCH('data '!$B227,#REF!,0),MATCH('data '!R$3,#REF!,0))=0,"",INDEX(#REF!,MATCH('data '!$B227,#REF!,0),MATCH('data '!R$3,#REF!,0)))</f>
        <v>#REF!</v>
      </c>
      <c r="S227" s="29" t="e">
        <f>IF(INDEX(#REF!,MATCH('data '!$B227,#REF!,0),MATCH('data '!S$3,#REF!,0))=0,"",INDEX(#REF!,MATCH('data '!$B227,#REF!,0),MATCH('data '!S$3,#REF!,0)))</f>
        <v>#REF!</v>
      </c>
      <c r="T227" s="29" t="e">
        <f>IF(INDEX(#REF!,MATCH('data '!$B227,#REF!,0),MATCH('data '!T$3,#REF!,0))=0,"",INDEX(#REF!,MATCH('data '!$B227,#REF!,0),MATCH('data '!T$3,#REF!,0)))</f>
        <v>#REF!</v>
      </c>
      <c r="V227" s="25" t="s">
        <v>160</v>
      </c>
      <c r="W227" s="25" t="s">
        <v>144</v>
      </c>
      <c r="X227" s="43" t="s">
        <v>25</v>
      </c>
      <c r="Y227" s="43">
        <v>45923</v>
      </c>
      <c r="AC227" s="8" t="e">
        <f>VLOOKUP(B227,#REF!,19,0)</f>
        <v>#REF!</v>
      </c>
      <c r="AP227" s="8" t="str">
        <f t="shared" si="8"/>
        <v>BP Secured</v>
      </c>
      <c r="AQ227" s="10" t="b" cm="1">
        <f t="array" aca="1" ref="AQ227" ca="1">IF(AM227&gt;0,(TODAY()-AM227),IF(AL227&gt;0,(TODAY()-AL227),IF(AK227&gt;0,(TODAY()-AK227,IF(AI227&gt;0,(TODAY()-AI227),IF(AG227&gt;0,(TODAY()-AG227),IF(AF227&gt;0,(TODAY()-AF227),IF(X227&gt;0,(TODAY()-X227)," "))))))))</f>
        <v>0</v>
      </c>
      <c r="BD227" s="2" t="str">
        <f t="shared" si="9"/>
        <v>BP Secured</v>
      </c>
      <c r="BE227" s="2" t="e">
        <v>#VALUE!</v>
      </c>
      <c r="BG227" s="2" t="e">
        <v>#N/A</v>
      </c>
    </row>
    <row r="228" spans="2:59" hidden="1" x14ac:dyDescent="0.25">
      <c r="B228" s="2" t="s">
        <v>1215</v>
      </c>
      <c r="C228" s="2" t="s">
        <v>1216</v>
      </c>
      <c r="D228" s="44" t="s">
        <v>1217</v>
      </c>
      <c r="E228" s="2" t="s">
        <v>11</v>
      </c>
      <c r="F228" s="2" t="s">
        <v>337</v>
      </c>
      <c r="G228" s="2" t="s">
        <v>1</v>
      </c>
      <c r="H228" s="2" t="s">
        <v>67</v>
      </c>
      <c r="I228" s="2" t="s">
        <v>68</v>
      </c>
      <c r="J228" s="2" t="s">
        <v>330</v>
      </c>
      <c r="K228" s="2" t="s">
        <v>338</v>
      </c>
      <c r="L228" s="2">
        <v>0</v>
      </c>
      <c r="M228" s="2">
        <v>0</v>
      </c>
      <c r="N228" s="2">
        <v>0</v>
      </c>
      <c r="O228" s="2">
        <v>0</v>
      </c>
      <c r="P228" s="2" t="s">
        <v>87</v>
      </c>
      <c r="Q228" s="2" t="s">
        <v>73</v>
      </c>
      <c r="R228" s="29" t="e">
        <f>IF(INDEX(#REF!,MATCH('data '!$B228,#REF!,0),MATCH('data '!R$3,#REF!,0))=0,"",INDEX(#REF!,MATCH('data '!$B228,#REF!,0),MATCH('data '!R$3,#REF!,0)))</f>
        <v>#REF!</v>
      </c>
      <c r="S228" s="29" t="e">
        <f>IF(INDEX(#REF!,MATCH('data '!$B228,#REF!,0),MATCH('data '!S$3,#REF!,0))=0,"",INDEX(#REF!,MATCH('data '!$B228,#REF!,0),MATCH('data '!S$3,#REF!,0)))</f>
        <v>#REF!</v>
      </c>
      <c r="T228" s="29" t="e">
        <f>IF(INDEX(#REF!,MATCH('data '!$B228,#REF!,0),MATCH('data '!T$3,#REF!,0))=0,"",INDEX(#REF!,MATCH('data '!$B228,#REF!,0),MATCH('data '!T$3,#REF!,0)))</f>
        <v>#REF!</v>
      </c>
      <c r="U228" s="8" t="s">
        <v>25</v>
      </c>
      <c r="V228" s="25" t="s">
        <v>102</v>
      </c>
      <c r="W228" s="25" t="s">
        <v>103</v>
      </c>
      <c r="X228" s="43" t="s">
        <v>25</v>
      </c>
      <c r="Y228" s="43">
        <v>45923</v>
      </c>
      <c r="AC228" s="8" t="e">
        <f>VLOOKUP(B228,#REF!,19,0)</f>
        <v>#REF!</v>
      </c>
      <c r="AP228" s="8" t="str">
        <f t="shared" si="8"/>
        <v>BP Secured</v>
      </c>
      <c r="AQ228" s="10" t="b" cm="1">
        <f t="array" aca="1" ref="AQ228" ca="1">IF(AM228&gt;0,(TODAY()-AM228),IF(AL228&gt;0,(TODAY()-AL228),IF(AK228&gt;0,(TODAY()-AK228,IF(AI228&gt;0,(TODAY()-AI228),IF(AG228&gt;0,(TODAY()-AG228),IF(AF228&gt;0,(TODAY()-AF228),IF(X228&gt;0,(TODAY()-X228)," "))))))))</f>
        <v>0</v>
      </c>
      <c r="BD228" s="2" t="str">
        <f t="shared" si="9"/>
        <v>BP Secured</v>
      </c>
      <c r="BE228" s="2" t="e">
        <v>#VALUE!</v>
      </c>
      <c r="BG228" s="2" t="e">
        <v>#N/A</v>
      </c>
    </row>
    <row r="229" spans="2:59" hidden="1" x14ac:dyDescent="0.25">
      <c r="B229" s="2" t="s">
        <v>1218</v>
      </c>
      <c r="C229" s="2" t="s">
        <v>1219</v>
      </c>
      <c r="D229" s="44" t="s">
        <v>1220</v>
      </c>
      <c r="E229" s="2" t="s">
        <v>11</v>
      </c>
      <c r="F229" s="2" t="s">
        <v>696</v>
      </c>
      <c r="G229" s="2" t="s">
        <v>1</v>
      </c>
      <c r="H229" s="2" t="s">
        <v>165</v>
      </c>
      <c r="I229" s="2" t="s">
        <v>68</v>
      </c>
      <c r="J229" s="2" t="s">
        <v>181</v>
      </c>
      <c r="K229" s="2" t="s">
        <v>697</v>
      </c>
      <c r="L229" s="2" t="s">
        <v>1221</v>
      </c>
      <c r="M229" s="2">
        <v>0</v>
      </c>
      <c r="N229" s="2">
        <v>8.5444130000000005</v>
      </c>
      <c r="O229" s="2">
        <v>123.433736</v>
      </c>
      <c r="P229" s="2" t="s">
        <v>87</v>
      </c>
      <c r="Q229" s="2" t="s">
        <v>198</v>
      </c>
      <c r="R229" s="29" t="e">
        <f>IF(INDEX(#REF!,MATCH('data '!$B229,#REF!,0),MATCH('data '!R$3,#REF!,0))=0,"",INDEX(#REF!,MATCH('data '!$B229,#REF!,0),MATCH('data '!R$3,#REF!,0)))</f>
        <v>#REF!</v>
      </c>
      <c r="S229" s="29" t="e">
        <f>IF(INDEX(#REF!,MATCH('data '!$B229,#REF!,0),MATCH('data '!S$3,#REF!,0))=0,"",INDEX(#REF!,MATCH('data '!$B229,#REF!,0),MATCH('data '!S$3,#REF!,0)))</f>
        <v>#REF!</v>
      </c>
      <c r="T229" s="29" t="e">
        <f>IF(INDEX(#REF!,MATCH('data '!$B229,#REF!,0),MATCH('data '!T$3,#REF!,0))=0,"",INDEX(#REF!,MATCH('data '!$B229,#REF!,0),MATCH('data '!T$3,#REF!,0)))</f>
        <v>#REF!</v>
      </c>
      <c r="V229" s="25" t="s">
        <v>351</v>
      </c>
      <c r="W229" s="25" t="s">
        <v>144</v>
      </c>
      <c r="X229" s="43" t="s">
        <v>25</v>
      </c>
      <c r="Y229" s="43">
        <v>45826</v>
      </c>
      <c r="Z229" s="8">
        <v>45695</v>
      </c>
      <c r="AC229" s="8" t="e">
        <f>VLOOKUP(B229,#REF!,19,0)</f>
        <v>#REF!</v>
      </c>
      <c r="AE229" s="8" t="s">
        <v>1222</v>
      </c>
      <c r="AP229" s="8" t="str">
        <f t="shared" si="8"/>
        <v>BP Secured</v>
      </c>
      <c r="AQ229" s="10" t="b" cm="1">
        <f t="array" aca="1" ref="AQ229" ca="1">IF(AM229&gt;0,(TODAY()-AM229),IF(AL229&gt;0,(TODAY()-AL229),IF(AK229&gt;0,(TODAY()-AK229,IF(AI229&gt;0,(TODAY()-AI229),IF(AG229&gt;0,(TODAY()-AG229),IF(AF229&gt;0,(TODAY()-AF229),IF(X229&gt;0,(TODAY()-X229)," "))))))))</f>
        <v>0</v>
      </c>
      <c r="AT229" s="8" t="s">
        <v>155</v>
      </c>
      <c r="AU229" s="8">
        <v>45889</v>
      </c>
      <c r="AV229" s="8">
        <v>45892</v>
      </c>
      <c r="AX229" s="8">
        <v>45895</v>
      </c>
      <c r="BD229" s="2" t="str">
        <f t="shared" si="9"/>
        <v>PO Issued</v>
      </c>
      <c r="BE229" s="2">
        <v>45</v>
      </c>
      <c r="BG229" s="2" t="e">
        <v>#N/A</v>
      </c>
    </row>
    <row r="230" spans="2:59" hidden="1" x14ac:dyDescent="0.25">
      <c r="B230" s="2" t="s">
        <v>1223</v>
      </c>
      <c r="C230" s="2" t="s">
        <v>1224</v>
      </c>
      <c r="D230" s="44" t="s">
        <v>1225</v>
      </c>
      <c r="E230" s="2" t="s">
        <v>11</v>
      </c>
      <c r="F230" s="2" t="s">
        <v>302</v>
      </c>
      <c r="G230" s="2" t="s">
        <v>1</v>
      </c>
      <c r="H230" s="2" t="s">
        <v>165</v>
      </c>
      <c r="I230" s="2" t="s">
        <v>68</v>
      </c>
      <c r="J230" s="2" t="s">
        <v>173</v>
      </c>
      <c r="K230" s="2" t="s">
        <v>303</v>
      </c>
      <c r="L230" s="2" t="s">
        <v>1002</v>
      </c>
      <c r="M230" s="2">
        <v>0</v>
      </c>
      <c r="N230" s="2">
        <v>8.4339510000000004</v>
      </c>
      <c r="O230" s="2">
        <v>124.80524800000001</v>
      </c>
      <c r="P230" s="2" t="s">
        <v>87</v>
      </c>
      <c r="Q230" s="2" t="s">
        <v>184</v>
      </c>
      <c r="R230" s="29" t="e">
        <f>IF(INDEX(#REF!,MATCH('data '!$B230,#REF!,0),MATCH('data '!R$3,#REF!,0))=0,"",INDEX(#REF!,MATCH('data '!$B230,#REF!,0),MATCH('data '!R$3,#REF!,0)))</f>
        <v>#REF!</v>
      </c>
      <c r="S230" s="29" t="e">
        <f>IF(INDEX(#REF!,MATCH('data '!$B230,#REF!,0),MATCH('data '!S$3,#REF!,0))=0,"",INDEX(#REF!,MATCH('data '!$B230,#REF!,0),MATCH('data '!S$3,#REF!,0)))</f>
        <v>#REF!</v>
      </c>
      <c r="T230" s="29" t="e">
        <f>IF(INDEX(#REF!,MATCH('data '!$B230,#REF!,0),MATCH('data '!T$3,#REF!,0))=0,"",INDEX(#REF!,MATCH('data '!$B230,#REF!,0),MATCH('data '!T$3,#REF!,0)))</f>
        <v>#REF!</v>
      </c>
      <c r="U230" s="8" t="s">
        <v>25</v>
      </c>
      <c r="V230" s="25" t="s">
        <v>185</v>
      </c>
      <c r="W230" s="25" t="s">
        <v>144</v>
      </c>
      <c r="X230" s="43" t="s">
        <v>25</v>
      </c>
      <c r="Y230" s="43">
        <v>45846</v>
      </c>
      <c r="AA230" s="8" t="s">
        <v>1004</v>
      </c>
      <c r="AC230" s="8" t="e">
        <f>VLOOKUP(B230,#REF!,19,0)</f>
        <v>#REF!</v>
      </c>
      <c r="AE230" s="8" t="s">
        <v>1178</v>
      </c>
      <c r="AP230" s="8" t="str">
        <f t="shared" si="8"/>
        <v>BP Secured</v>
      </c>
      <c r="AQ230" s="10" t="b" cm="1">
        <f t="array" aca="1" ref="AQ230" ca="1">IF(AM230&gt;0,(TODAY()-AM230),IF(AL230&gt;0,(TODAY()-AL230),IF(AK230&gt;0,(TODAY()-AK230,IF(AI230&gt;0,(TODAY()-AI230),IF(AG230&gt;0,(TODAY()-AG230),IF(AF230&gt;0,(TODAY()-AF230),IF(X230&gt;0,(TODAY()-X230)," "))))))))</f>
        <v>0</v>
      </c>
      <c r="AT230" s="8" t="s">
        <v>155</v>
      </c>
      <c r="AU230" s="8">
        <v>45802</v>
      </c>
      <c r="AV230" s="8">
        <v>45800</v>
      </c>
      <c r="AX230" s="8">
        <v>45803</v>
      </c>
      <c r="BD230" s="2" t="str">
        <f t="shared" si="9"/>
        <v>PO Issued</v>
      </c>
      <c r="BE230" s="2">
        <v>137</v>
      </c>
      <c r="BG230" s="2" t="e">
        <v>#N/A</v>
      </c>
    </row>
    <row r="231" spans="2:59" hidden="1" x14ac:dyDescent="0.25">
      <c r="B231" s="2" t="s">
        <v>1226</v>
      </c>
      <c r="C231" s="2" t="s">
        <v>1227</v>
      </c>
      <c r="D231" s="44" t="s">
        <v>1228</v>
      </c>
      <c r="E231" s="2" t="s">
        <v>11</v>
      </c>
      <c r="F231" s="2" t="s">
        <v>302</v>
      </c>
      <c r="G231" s="2" t="s">
        <v>1</v>
      </c>
      <c r="H231" s="2" t="s">
        <v>165</v>
      </c>
      <c r="I231" s="2" t="s">
        <v>68</v>
      </c>
      <c r="J231" s="2" t="s">
        <v>173</v>
      </c>
      <c r="K231" s="2" t="s">
        <v>303</v>
      </c>
      <c r="L231" s="2" t="s">
        <v>304</v>
      </c>
      <c r="M231" s="2" t="s">
        <v>639</v>
      </c>
      <c r="N231" s="2">
        <v>8.0211570000000005</v>
      </c>
      <c r="O231" s="2">
        <v>125.14024999999999</v>
      </c>
      <c r="P231" s="2" t="s">
        <v>87</v>
      </c>
      <c r="Q231" s="2" t="s">
        <v>184</v>
      </c>
      <c r="R231" s="29" t="e">
        <f>IF(INDEX(#REF!,MATCH('data '!$B231,#REF!,0),MATCH('data '!R$3,#REF!,0))=0,"",INDEX(#REF!,MATCH('data '!$B231,#REF!,0),MATCH('data '!R$3,#REF!,0)))</f>
        <v>#REF!</v>
      </c>
      <c r="S231" s="29" t="e">
        <f>IF(INDEX(#REF!,MATCH('data '!$B231,#REF!,0),MATCH('data '!S$3,#REF!,0))=0,"",INDEX(#REF!,MATCH('data '!$B231,#REF!,0),MATCH('data '!S$3,#REF!,0)))</f>
        <v>#REF!</v>
      </c>
      <c r="T231" s="29" t="e">
        <f>IF(INDEX(#REF!,MATCH('data '!$B231,#REF!,0),MATCH('data '!T$3,#REF!,0))=0,"",INDEX(#REF!,MATCH('data '!$B231,#REF!,0),MATCH('data '!T$3,#REF!,0)))</f>
        <v>#REF!</v>
      </c>
      <c r="U231" s="8" t="s">
        <v>25</v>
      </c>
      <c r="V231" s="25" t="s">
        <v>185</v>
      </c>
      <c r="W231" s="25" t="s">
        <v>144</v>
      </c>
      <c r="X231" s="9" t="s">
        <v>25</v>
      </c>
      <c r="Y231" s="9">
        <v>45750</v>
      </c>
      <c r="Z231" s="8">
        <v>45934</v>
      </c>
      <c r="AA231" s="8">
        <v>45783</v>
      </c>
      <c r="AC231" s="8" t="e">
        <f>VLOOKUP(B231,#REF!,19,0)</f>
        <v>#REF!</v>
      </c>
      <c r="AE231" s="8" t="s">
        <v>472</v>
      </c>
      <c r="AK231" s="8">
        <v>45775</v>
      </c>
      <c r="AP231" s="8" t="str">
        <f t="shared" si="8"/>
        <v>COOP Surveyed</v>
      </c>
      <c r="AQ231" s="10" t="e" cm="1">
        <f t="array" aca="1" ref="AQ231" ca="1">IF(AM231&gt;0,(TODAY()-AM231),IF(AL231&gt;0,(TODAY()-AL231),IF(AK231&gt;0,(TODAY()-AK231,IF(AI231&gt;0,(TODAY()-AI231),IF(AG231&gt;0,(TODAY()-AG231),IF(AF231&gt;0,(TODAY()-AF231),IF(X231&gt;0,(TODAY()-X231)," "))))))))</f>
        <v>#VALUE!</v>
      </c>
      <c r="AT231" s="8" t="s">
        <v>155</v>
      </c>
      <c r="AU231" s="8">
        <v>45784</v>
      </c>
      <c r="AV231" s="8">
        <v>45783</v>
      </c>
      <c r="AX231" s="8">
        <v>45786</v>
      </c>
      <c r="BD231" s="2" t="str">
        <f t="shared" si="9"/>
        <v>PO Issued</v>
      </c>
      <c r="BE231" s="2">
        <v>154</v>
      </c>
      <c r="BG231" s="2" t="e">
        <v>#N/A</v>
      </c>
    </row>
    <row r="232" spans="2:59" hidden="1" x14ac:dyDescent="0.25">
      <c r="B232" s="2" t="s">
        <v>1229</v>
      </c>
      <c r="C232" s="2" t="s">
        <v>1230</v>
      </c>
      <c r="D232" s="44" t="s">
        <v>1231</v>
      </c>
      <c r="E232" s="2" t="s">
        <v>11</v>
      </c>
      <c r="F232" s="2" t="s">
        <v>1232</v>
      </c>
      <c r="G232" s="2" t="s">
        <v>1</v>
      </c>
      <c r="H232" s="2" t="s">
        <v>165</v>
      </c>
      <c r="I232" s="2" t="s">
        <v>68</v>
      </c>
      <c r="J232" s="2" t="s">
        <v>173</v>
      </c>
      <c r="K232" s="2" t="s">
        <v>1233</v>
      </c>
      <c r="L232" s="2" t="s">
        <v>1234</v>
      </c>
      <c r="M232" s="2" t="s">
        <v>1235</v>
      </c>
      <c r="N232" s="2">
        <v>8.1638000000000002</v>
      </c>
      <c r="O232" s="2">
        <v>124.18935</v>
      </c>
      <c r="P232" s="2" t="s">
        <v>87</v>
      </c>
      <c r="Q232" s="2" t="s">
        <v>314</v>
      </c>
      <c r="R232" s="29" t="e">
        <f>IF(INDEX(#REF!,MATCH('data '!$B232,#REF!,0),MATCH('data '!R$3,#REF!,0))=0,"",INDEX(#REF!,MATCH('data '!$B232,#REF!,0),MATCH('data '!R$3,#REF!,0)))</f>
        <v>#REF!</v>
      </c>
      <c r="S232" s="29" t="e">
        <f>IF(INDEX(#REF!,MATCH('data '!$B232,#REF!,0),MATCH('data '!S$3,#REF!,0))=0,"",INDEX(#REF!,MATCH('data '!$B232,#REF!,0),MATCH('data '!S$3,#REF!,0)))</f>
        <v>#REF!</v>
      </c>
      <c r="T232" s="29" t="e">
        <f>IF(INDEX(#REF!,MATCH('data '!$B232,#REF!,0),MATCH('data '!T$3,#REF!,0))=0,"",INDEX(#REF!,MATCH('data '!$B232,#REF!,0),MATCH('data '!T$3,#REF!,0)))</f>
        <v>#REF!</v>
      </c>
      <c r="U232" s="8" t="s">
        <v>25</v>
      </c>
      <c r="V232" s="25" t="s">
        <v>560</v>
      </c>
      <c r="W232" s="25" t="s">
        <v>103</v>
      </c>
      <c r="X232" s="43" t="s">
        <v>25</v>
      </c>
      <c r="Y232" s="43">
        <v>45911</v>
      </c>
      <c r="AC232" s="8" t="e">
        <f>VLOOKUP(B232,#REF!,19,0)</f>
        <v>#REF!</v>
      </c>
      <c r="AP232" s="8" t="str">
        <f t="shared" si="8"/>
        <v>BP Secured</v>
      </c>
      <c r="AQ232" s="10" t="b" cm="1">
        <f t="array" aca="1" ref="AQ232" ca="1">IF(AM232&gt;0,(TODAY()-AM232),IF(AL232&gt;0,(TODAY()-AL232),IF(AK232&gt;0,(TODAY()-AK232,IF(AI232&gt;0,(TODAY()-AI232),IF(AG232&gt;0,(TODAY()-AG232),IF(AF232&gt;0,(TODAY()-AF232),IF(X232&gt;0,(TODAY()-X232)," "))))))))</f>
        <v>0</v>
      </c>
      <c r="BD232" s="2" t="str">
        <f t="shared" si="9"/>
        <v>BP Secured</v>
      </c>
      <c r="BE232" s="2" t="e">
        <v>#VALUE!</v>
      </c>
      <c r="BG232" s="2" t="e">
        <v>#N/A</v>
      </c>
    </row>
    <row r="233" spans="2:59" hidden="1" x14ac:dyDescent="0.25">
      <c r="B233" s="2" t="s">
        <v>1236</v>
      </c>
      <c r="C233" s="2" t="s">
        <v>1237</v>
      </c>
      <c r="D233" s="44" t="s">
        <v>1238</v>
      </c>
      <c r="E233" s="2" t="s">
        <v>11</v>
      </c>
      <c r="F233" s="2" t="s">
        <v>238</v>
      </c>
      <c r="G233" s="2" t="s">
        <v>1</v>
      </c>
      <c r="H233" s="2" t="s">
        <v>165</v>
      </c>
      <c r="I233" s="2" t="s">
        <v>68</v>
      </c>
      <c r="J233" s="2" t="s">
        <v>239</v>
      </c>
      <c r="K233" s="2" t="s">
        <v>240</v>
      </c>
      <c r="L233" s="2" t="s">
        <v>1239</v>
      </c>
      <c r="M233" s="2">
        <v>0</v>
      </c>
      <c r="N233" s="2">
        <v>10.050541000000001</v>
      </c>
      <c r="O233" s="2">
        <v>126.062051</v>
      </c>
      <c r="P233" s="2" t="s">
        <v>87</v>
      </c>
      <c r="Q233" s="2" t="s">
        <v>314</v>
      </c>
      <c r="R233" s="29" t="e">
        <f>IF(INDEX(#REF!,MATCH('data '!$B233,#REF!,0),MATCH('data '!R$3,#REF!,0))=0,"",INDEX(#REF!,MATCH('data '!$B233,#REF!,0),MATCH('data '!R$3,#REF!,0)))</f>
        <v>#REF!</v>
      </c>
      <c r="S233" s="29" t="e">
        <f>IF(INDEX(#REF!,MATCH('data '!$B233,#REF!,0),MATCH('data '!S$3,#REF!,0))=0,"",INDEX(#REF!,MATCH('data '!$B233,#REF!,0),MATCH('data '!S$3,#REF!,0)))</f>
        <v>#REF!</v>
      </c>
      <c r="T233" s="29" t="e">
        <f>IF(INDEX(#REF!,MATCH('data '!$B233,#REF!,0),MATCH('data '!T$3,#REF!,0))=0,"",INDEX(#REF!,MATCH('data '!$B233,#REF!,0),MATCH('data '!T$3,#REF!,0)))</f>
        <v>#REF!</v>
      </c>
      <c r="U233" s="8" t="s">
        <v>25</v>
      </c>
      <c r="V233" s="25" t="s">
        <v>160</v>
      </c>
      <c r="W233" s="25" t="s">
        <v>144</v>
      </c>
      <c r="X233" s="43" t="s">
        <v>25</v>
      </c>
      <c r="Y233" s="43">
        <v>45854</v>
      </c>
      <c r="Z233" s="8">
        <v>45846</v>
      </c>
      <c r="AC233" s="8" t="e">
        <f>VLOOKUP(B233,#REF!,19,0)</f>
        <v>#REF!</v>
      </c>
      <c r="AP233" s="8" t="str">
        <f t="shared" si="8"/>
        <v>BP Secured</v>
      </c>
      <c r="AQ233" s="10" t="b" cm="1">
        <f t="array" aca="1" ref="AQ233" ca="1">IF(AM233&gt;0,(TODAY()-AM233),IF(AL233&gt;0,(TODAY()-AL233),IF(AK233&gt;0,(TODAY()-AK233,IF(AI233&gt;0,(TODAY()-AI233),IF(AG233&gt;0,(TODAY()-AG233),IF(AF233&gt;0,(TODAY()-AF233),IF(X233&gt;0,(TODAY()-X233)," "))))))))</f>
        <v>0</v>
      </c>
      <c r="BD233" s="2" t="str">
        <f t="shared" si="9"/>
        <v>BP Secured</v>
      </c>
      <c r="BE233" s="2" t="e">
        <v>#VALUE!</v>
      </c>
      <c r="BG233" s="2" t="e">
        <v>#N/A</v>
      </c>
    </row>
    <row r="234" spans="2:59" hidden="1" x14ac:dyDescent="0.25">
      <c r="B234" s="2" t="s">
        <v>1240</v>
      </c>
      <c r="C234" s="2" t="s">
        <v>1241</v>
      </c>
      <c r="D234" s="44" t="s">
        <v>1242</v>
      </c>
      <c r="E234" s="2" t="s">
        <v>11</v>
      </c>
      <c r="F234" s="2" t="s">
        <v>1232</v>
      </c>
      <c r="G234" s="2" t="s">
        <v>1</v>
      </c>
      <c r="H234" s="2" t="s">
        <v>165</v>
      </c>
      <c r="I234" s="2" t="s">
        <v>68</v>
      </c>
      <c r="J234" s="2" t="s">
        <v>173</v>
      </c>
      <c r="K234" s="2" t="s">
        <v>1233</v>
      </c>
      <c r="L234" s="2" t="s">
        <v>1234</v>
      </c>
      <c r="M234" s="2">
        <v>0</v>
      </c>
      <c r="N234" s="2">
        <v>8.1821900000000003</v>
      </c>
      <c r="O234" s="2">
        <v>124.14447</v>
      </c>
      <c r="P234" s="2" t="s">
        <v>87</v>
      </c>
      <c r="Q234" s="2" t="s">
        <v>227</v>
      </c>
      <c r="R234" s="29" t="e">
        <f>IF(INDEX(#REF!,MATCH('data '!$B234,#REF!,0),MATCH('data '!R$3,#REF!,0))=0,"",INDEX(#REF!,MATCH('data '!$B234,#REF!,0),MATCH('data '!R$3,#REF!,0)))</f>
        <v>#REF!</v>
      </c>
      <c r="S234" s="29" t="e">
        <f>IF(INDEX(#REF!,MATCH('data '!$B234,#REF!,0),MATCH('data '!S$3,#REF!,0))=0,"",INDEX(#REF!,MATCH('data '!$B234,#REF!,0),MATCH('data '!S$3,#REF!,0)))</f>
        <v>#REF!</v>
      </c>
      <c r="T234" s="29" t="e">
        <f>IF(INDEX(#REF!,MATCH('data '!$B234,#REF!,0),MATCH('data '!T$3,#REF!,0))=0,"",INDEX(#REF!,MATCH('data '!$B234,#REF!,0),MATCH('data '!T$3,#REF!,0)))</f>
        <v>#REF!</v>
      </c>
      <c r="U234" s="8" t="s">
        <v>25</v>
      </c>
      <c r="V234" s="25" t="s">
        <v>351</v>
      </c>
      <c r="W234" s="25" t="s">
        <v>144</v>
      </c>
      <c r="X234" s="43" t="s">
        <v>25</v>
      </c>
      <c r="Y234" s="43">
        <v>45873</v>
      </c>
      <c r="Z234" s="8">
        <v>45666</v>
      </c>
      <c r="AC234" s="8" t="e">
        <f>VLOOKUP(B234,#REF!,19,0)</f>
        <v>#REF!</v>
      </c>
      <c r="AP234" s="8" t="str">
        <f t="shared" si="8"/>
        <v>BP Secured</v>
      </c>
      <c r="AQ234" s="10" t="b" cm="1">
        <f t="array" aca="1" ref="AQ234" ca="1">IF(AM234&gt;0,(TODAY()-AM234),IF(AL234&gt;0,(TODAY()-AL234),IF(AK234&gt;0,(TODAY()-AK234,IF(AI234&gt;0,(TODAY()-AI234),IF(AG234&gt;0,(TODAY()-AG234),IF(AF234&gt;0,(TODAY()-AF234),IF(X234&gt;0,(TODAY()-X234)," "))))))))</f>
        <v>0</v>
      </c>
      <c r="BD234" s="2" t="str">
        <f t="shared" si="9"/>
        <v>BP Secured</v>
      </c>
      <c r="BE234" s="2" t="e">
        <v>#VALUE!</v>
      </c>
      <c r="BG234" s="2" t="e">
        <v>#N/A</v>
      </c>
    </row>
    <row r="235" spans="2:59" hidden="1" x14ac:dyDescent="0.25">
      <c r="B235" s="2" t="s">
        <v>1243</v>
      </c>
      <c r="C235" s="2" t="s">
        <v>1244</v>
      </c>
      <c r="D235" s="44" t="s">
        <v>1245</v>
      </c>
      <c r="E235" s="2" t="s">
        <v>11</v>
      </c>
      <c r="F235" s="2" t="s">
        <v>302</v>
      </c>
      <c r="G235" s="2" t="s">
        <v>1</v>
      </c>
      <c r="H235" s="2" t="s">
        <v>165</v>
      </c>
      <c r="I235" s="2" t="s">
        <v>68</v>
      </c>
      <c r="J235" s="2" t="s">
        <v>173</v>
      </c>
      <c r="K235" s="2" t="s">
        <v>303</v>
      </c>
      <c r="L235" s="2" t="s">
        <v>1246</v>
      </c>
      <c r="M235" s="2" t="s">
        <v>1247</v>
      </c>
      <c r="N235" s="2">
        <v>8.2842739999999999</v>
      </c>
      <c r="O235" s="2">
        <v>124.990314</v>
      </c>
      <c r="P235" s="2" t="s">
        <v>87</v>
      </c>
      <c r="Q235" s="2" t="s">
        <v>184</v>
      </c>
      <c r="R235" s="29" t="e">
        <f>IF(INDEX(#REF!,MATCH('data '!$B235,#REF!,0),MATCH('data '!R$3,#REF!,0))=0,"",INDEX(#REF!,MATCH('data '!$B235,#REF!,0),MATCH('data '!R$3,#REF!,0)))</f>
        <v>#REF!</v>
      </c>
      <c r="S235" s="29" t="e">
        <f>IF(INDEX(#REF!,MATCH('data '!$B235,#REF!,0),MATCH('data '!S$3,#REF!,0))=0,"",INDEX(#REF!,MATCH('data '!$B235,#REF!,0),MATCH('data '!S$3,#REF!,0)))</f>
        <v>#REF!</v>
      </c>
      <c r="T235" s="29" t="e">
        <f>IF(INDEX(#REF!,MATCH('data '!$B235,#REF!,0),MATCH('data '!T$3,#REF!,0))=0,"",INDEX(#REF!,MATCH('data '!$B235,#REF!,0),MATCH('data '!T$3,#REF!,0)))</f>
        <v>#REF!</v>
      </c>
      <c r="U235" s="8" t="s">
        <v>25</v>
      </c>
      <c r="V235" s="25" t="s">
        <v>266</v>
      </c>
      <c r="W235" s="25" t="s">
        <v>144</v>
      </c>
      <c r="X235" s="9" t="s">
        <v>25</v>
      </c>
      <c r="Y235" s="9">
        <v>45804</v>
      </c>
      <c r="AC235" s="8" t="e">
        <f>VLOOKUP(B235,#REF!,19,0)</f>
        <v>#REF!</v>
      </c>
      <c r="AE235" s="8" t="s">
        <v>307</v>
      </c>
      <c r="AP235" s="8" t="str">
        <f t="shared" si="8"/>
        <v>BP Secured</v>
      </c>
      <c r="AQ235" s="10" t="b" cm="1">
        <f t="array" aca="1" ref="AQ235" ca="1">IF(AM235&gt;0,(TODAY()-AM235),IF(AL235&gt;0,(TODAY()-AL235),IF(AK235&gt;0,(TODAY()-AK235,IF(AI235&gt;0,(TODAY()-AI235),IF(AG235&gt;0,(TODAY()-AG235),IF(AF235&gt;0,(TODAY()-AF235),IF(X235&gt;0,(TODAY()-X235)," "))))))))</f>
        <v>0</v>
      </c>
      <c r="AT235" s="8" t="s">
        <v>155</v>
      </c>
      <c r="AU235" s="8">
        <v>45889</v>
      </c>
      <c r="AV235" s="8">
        <v>45892</v>
      </c>
      <c r="AX235" s="8">
        <v>45895</v>
      </c>
      <c r="BD235" s="2" t="str">
        <f t="shared" si="9"/>
        <v>PO Issued</v>
      </c>
      <c r="BE235" s="2">
        <v>45</v>
      </c>
      <c r="BG235" s="2" t="e">
        <v>#N/A</v>
      </c>
    </row>
    <row r="236" spans="2:59" hidden="1" x14ac:dyDescent="0.25">
      <c r="B236" s="2" t="s">
        <v>1248</v>
      </c>
      <c r="C236" s="2" t="s">
        <v>1249</v>
      </c>
      <c r="D236" s="44" t="s">
        <v>1250</v>
      </c>
      <c r="E236" s="2" t="s">
        <v>11</v>
      </c>
      <c r="F236" s="2" t="s">
        <v>464</v>
      </c>
      <c r="G236" s="2" t="s">
        <v>1</v>
      </c>
      <c r="H236" s="2" t="s">
        <v>165</v>
      </c>
      <c r="I236" s="2" t="s">
        <v>68</v>
      </c>
      <c r="J236" s="2" t="s">
        <v>69</v>
      </c>
      <c r="K236" s="2" t="s">
        <v>465</v>
      </c>
      <c r="L236" s="2" t="s">
        <v>1251</v>
      </c>
      <c r="M236" s="2">
        <v>0</v>
      </c>
      <c r="N236" s="2">
        <v>6.0843483330000003</v>
      </c>
      <c r="O236" s="2">
        <v>121.0675933</v>
      </c>
      <c r="P236" s="2" t="s">
        <v>87</v>
      </c>
      <c r="Q236" s="2" t="s">
        <v>219</v>
      </c>
      <c r="R236" s="29" t="e">
        <f>IF(INDEX(#REF!,MATCH('data '!$B236,#REF!,0),MATCH('data '!R$3,#REF!,0))=0,"",INDEX(#REF!,MATCH('data '!$B236,#REF!,0),MATCH('data '!R$3,#REF!,0)))</f>
        <v>#REF!</v>
      </c>
      <c r="S236" s="29" t="e">
        <f>IF(INDEX(#REF!,MATCH('data '!$B236,#REF!,0),MATCH('data '!S$3,#REF!,0))=0,"",INDEX(#REF!,MATCH('data '!$B236,#REF!,0),MATCH('data '!S$3,#REF!,0)))</f>
        <v>#REF!</v>
      </c>
      <c r="T236" s="29" t="e">
        <f>IF(INDEX(#REF!,MATCH('data '!$B236,#REF!,0),MATCH('data '!T$3,#REF!,0))=0,"",INDEX(#REF!,MATCH('data '!$B236,#REF!,0),MATCH('data '!T$3,#REF!,0)))</f>
        <v>#REF!</v>
      </c>
      <c r="U236" s="8" t="s">
        <v>25</v>
      </c>
      <c r="V236" s="25" t="s">
        <v>351</v>
      </c>
      <c r="W236" s="25" t="s">
        <v>144</v>
      </c>
      <c r="X236" s="43" t="s">
        <v>25</v>
      </c>
      <c r="Y236" s="43">
        <v>45873</v>
      </c>
      <c r="AC236" s="8" t="e">
        <f>VLOOKUP(B236,#REF!,19,0)</f>
        <v>#REF!</v>
      </c>
      <c r="AP236" s="8" t="str">
        <f t="shared" si="8"/>
        <v>BP Secured</v>
      </c>
      <c r="AQ236" s="10" t="b" cm="1">
        <f t="array" aca="1" ref="AQ236" ca="1">IF(AM236&gt;0,(TODAY()-AM236),IF(AL236&gt;0,(TODAY()-AL236),IF(AK236&gt;0,(TODAY()-AK236,IF(AI236&gt;0,(TODAY()-AI236),IF(AG236&gt;0,(TODAY()-AG236),IF(AF236&gt;0,(TODAY()-AF236),IF(X236&gt;0,(TODAY()-X236)," "))))))))</f>
        <v>0</v>
      </c>
      <c r="BD236" s="2" t="str">
        <f t="shared" si="9"/>
        <v>BP Secured</v>
      </c>
      <c r="BE236" s="2" t="e">
        <v>#VALUE!</v>
      </c>
      <c r="BG236" s="2" t="e">
        <v>#N/A</v>
      </c>
    </row>
    <row r="237" spans="2:59" hidden="1" x14ac:dyDescent="0.25">
      <c r="B237" s="2" t="s">
        <v>1252</v>
      </c>
      <c r="C237" s="2" t="s">
        <v>1253</v>
      </c>
      <c r="D237" s="44" t="s">
        <v>1254</v>
      </c>
      <c r="E237" s="2" t="s">
        <v>11</v>
      </c>
      <c r="F237" s="2" t="s">
        <v>696</v>
      </c>
      <c r="G237" s="2" t="s">
        <v>1</v>
      </c>
      <c r="H237" s="2" t="s">
        <v>165</v>
      </c>
      <c r="I237" s="2" t="s">
        <v>68</v>
      </c>
      <c r="J237" s="2" t="s">
        <v>181</v>
      </c>
      <c r="K237" s="2" t="s">
        <v>697</v>
      </c>
      <c r="L237" s="2" t="s">
        <v>1221</v>
      </c>
      <c r="M237" s="2" t="s">
        <v>1255</v>
      </c>
      <c r="N237" s="2">
        <v>8.6040829999999993</v>
      </c>
      <c r="O237" s="2">
        <v>123.417157</v>
      </c>
      <c r="P237" s="2" t="s">
        <v>87</v>
      </c>
      <c r="Q237" s="2" t="s">
        <v>184</v>
      </c>
      <c r="R237" s="29" t="e">
        <f>IF(INDEX(#REF!,MATCH('data '!$B237,#REF!,0),MATCH('data '!R$3,#REF!,0))=0,"",INDEX(#REF!,MATCH('data '!$B237,#REF!,0),MATCH('data '!R$3,#REF!,0)))</f>
        <v>#REF!</v>
      </c>
      <c r="S237" s="29" t="e">
        <f>IF(INDEX(#REF!,MATCH('data '!$B237,#REF!,0),MATCH('data '!S$3,#REF!,0))=0,"",INDEX(#REF!,MATCH('data '!$B237,#REF!,0),MATCH('data '!S$3,#REF!,0)))</f>
        <v>#REF!</v>
      </c>
      <c r="T237" s="29" t="e">
        <f>IF(INDEX(#REF!,MATCH('data '!$B237,#REF!,0),MATCH('data '!T$3,#REF!,0))=0,"",INDEX(#REF!,MATCH('data '!$B237,#REF!,0),MATCH('data '!T$3,#REF!,0)))</f>
        <v>#REF!</v>
      </c>
      <c r="U237" s="8" t="s">
        <v>25</v>
      </c>
      <c r="V237" s="25" t="s">
        <v>185</v>
      </c>
      <c r="W237" s="25" t="s">
        <v>144</v>
      </c>
      <c r="X237" s="43" t="s">
        <v>25</v>
      </c>
      <c r="Y237" s="43">
        <v>45826</v>
      </c>
      <c r="AA237" s="8" t="s">
        <v>1256</v>
      </c>
      <c r="AC237" s="8" t="e">
        <f>VLOOKUP(B237,#REF!,19,0)</f>
        <v>#REF!</v>
      </c>
      <c r="AE237" s="8" t="s">
        <v>1222</v>
      </c>
      <c r="AP237" s="8" t="str">
        <f t="shared" si="8"/>
        <v>BP Secured</v>
      </c>
      <c r="AQ237" s="10" t="b" cm="1">
        <f t="array" aca="1" ref="AQ237" ca="1">IF(AM237&gt;0,(TODAY()-AM237),IF(AL237&gt;0,(TODAY()-AL237),IF(AK237&gt;0,(TODAY()-AK237,IF(AI237&gt;0,(TODAY()-AI237),IF(AG237&gt;0,(TODAY()-AG237),IF(AF237&gt;0,(TODAY()-AF237),IF(X237&gt;0,(TODAY()-X237)," "))))))))</f>
        <v>0</v>
      </c>
      <c r="AT237" s="8" t="s">
        <v>155</v>
      </c>
      <c r="AU237" s="8">
        <v>45887</v>
      </c>
      <c r="AV237" s="8">
        <v>45886</v>
      </c>
      <c r="AX237" s="8">
        <v>45889</v>
      </c>
      <c r="BD237" s="2" t="str">
        <f t="shared" si="9"/>
        <v>PO Issued</v>
      </c>
      <c r="BE237" s="2">
        <v>51</v>
      </c>
      <c r="BG237" s="2" t="e">
        <v>#N/A</v>
      </c>
    </row>
    <row r="238" spans="2:59" hidden="1" x14ac:dyDescent="0.25">
      <c r="B238" s="2" t="s">
        <v>1257</v>
      </c>
      <c r="C238" s="2" t="s">
        <v>1258</v>
      </c>
      <c r="D238" s="44" t="s">
        <v>1259</v>
      </c>
      <c r="E238" s="2" t="s">
        <v>11</v>
      </c>
      <c r="F238" s="2" t="s">
        <v>1260</v>
      </c>
      <c r="G238" s="2" t="s">
        <v>1</v>
      </c>
      <c r="H238" s="2" t="s">
        <v>165</v>
      </c>
      <c r="I238" s="2" t="s">
        <v>68</v>
      </c>
      <c r="J238" s="2" t="s">
        <v>181</v>
      </c>
      <c r="K238" s="2" t="s">
        <v>182</v>
      </c>
      <c r="L238" s="2" t="s">
        <v>1261</v>
      </c>
      <c r="M238" s="2">
        <v>0</v>
      </c>
      <c r="N238" s="2">
        <v>7.8848327749999996</v>
      </c>
      <c r="O238" s="2">
        <v>123.49474379999999</v>
      </c>
      <c r="P238" s="2" t="s">
        <v>87</v>
      </c>
      <c r="Q238" s="2" t="s">
        <v>198</v>
      </c>
      <c r="R238" s="29" t="e">
        <f>IF(INDEX(#REF!,MATCH('data '!$B238,#REF!,0),MATCH('data '!R$3,#REF!,0))=0,"",INDEX(#REF!,MATCH('data '!$B238,#REF!,0),MATCH('data '!R$3,#REF!,0)))</f>
        <v>#REF!</v>
      </c>
      <c r="S238" s="29" t="e">
        <f>IF(INDEX(#REF!,MATCH('data '!$B238,#REF!,0),MATCH('data '!S$3,#REF!,0))=0,"",INDEX(#REF!,MATCH('data '!$B238,#REF!,0),MATCH('data '!S$3,#REF!,0)))</f>
        <v>#REF!</v>
      </c>
      <c r="T238" s="29" t="e">
        <f>IF(INDEX(#REF!,MATCH('data '!$B238,#REF!,0),MATCH('data '!T$3,#REF!,0))=0,"",INDEX(#REF!,MATCH('data '!$B238,#REF!,0),MATCH('data '!T$3,#REF!,0)))</f>
        <v>#REF!</v>
      </c>
      <c r="U238" s="8" t="s">
        <v>25</v>
      </c>
      <c r="V238" s="25" t="s">
        <v>351</v>
      </c>
      <c r="W238" s="25" t="s">
        <v>144</v>
      </c>
      <c r="X238" s="43" t="s">
        <v>25</v>
      </c>
      <c r="Y238" s="43">
        <v>45833</v>
      </c>
      <c r="AC238" s="8" t="e">
        <f>VLOOKUP(B238,#REF!,19,0)</f>
        <v>#REF!</v>
      </c>
      <c r="AP238" s="8" t="str">
        <f t="shared" si="8"/>
        <v>BP Secured</v>
      </c>
      <c r="AQ238" s="10" t="b" cm="1">
        <f t="array" aca="1" ref="AQ238" ca="1">IF(AM238&gt;0,(TODAY()-AM238),IF(AL238&gt;0,(TODAY()-AL238),IF(AK238&gt;0,(TODAY()-AK238,IF(AI238&gt;0,(TODAY()-AI238),IF(AG238&gt;0,(TODAY()-AG238),IF(AF238&gt;0,(TODAY()-AF238),IF(X238&gt;0,(TODAY()-X238)," "))))))))</f>
        <v>0</v>
      </c>
      <c r="BD238" s="2" t="str">
        <f t="shared" si="9"/>
        <v>BP Secured</v>
      </c>
      <c r="BE238" s="2" t="e">
        <v>#VALUE!</v>
      </c>
      <c r="BG238" s="2" t="e">
        <v>#N/A</v>
      </c>
    </row>
    <row r="239" spans="2:59" hidden="1" x14ac:dyDescent="0.25">
      <c r="B239" s="2" t="s">
        <v>1262</v>
      </c>
      <c r="C239" s="2" t="s">
        <v>1263</v>
      </c>
      <c r="D239" s="44" t="s">
        <v>1264</v>
      </c>
      <c r="E239" s="2" t="s">
        <v>11</v>
      </c>
      <c r="F239" s="2" t="s">
        <v>591</v>
      </c>
      <c r="G239" s="2" t="s">
        <v>1</v>
      </c>
      <c r="H239" s="2" t="s">
        <v>165</v>
      </c>
      <c r="I239" s="2" t="s">
        <v>68</v>
      </c>
      <c r="J239" s="2" t="s">
        <v>173</v>
      </c>
      <c r="K239" s="2" t="s">
        <v>592</v>
      </c>
      <c r="L239" s="2" t="s">
        <v>593</v>
      </c>
      <c r="M239" s="2">
        <v>0</v>
      </c>
      <c r="N239" s="2">
        <v>0</v>
      </c>
      <c r="O239" s="2">
        <v>0</v>
      </c>
      <c r="P239" s="2" t="s">
        <v>82</v>
      </c>
      <c r="Q239" s="2" t="s">
        <v>73</v>
      </c>
      <c r="R239" s="29" t="e">
        <f>IF(INDEX(#REF!,MATCH('data '!$B239,#REF!,0),MATCH('data '!R$3,#REF!,0))=0,"",INDEX(#REF!,MATCH('data '!$B239,#REF!,0),MATCH('data '!R$3,#REF!,0)))</f>
        <v>#REF!</v>
      </c>
      <c r="S239" s="29" t="e">
        <f>IF(INDEX(#REF!,MATCH('data '!$B239,#REF!,0),MATCH('data '!S$3,#REF!,0))=0,"",INDEX(#REF!,MATCH('data '!$B239,#REF!,0),MATCH('data '!S$3,#REF!,0)))</f>
        <v>#REF!</v>
      </c>
      <c r="T239" s="29" t="e">
        <f>IF(INDEX(#REF!,MATCH('data '!$B239,#REF!,0),MATCH('data '!T$3,#REF!,0))=0,"",INDEX(#REF!,MATCH('data '!$B239,#REF!,0),MATCH('data '!T$3,#REF!,0)))</f>
        <v>#REF!</v>
      </c>
      <c r="U239" s="8" t="s">
        <v>25</v>
      </c>
      <c r="V239" s="25" t="s">
        <v>74</v>
      </c>
      <c r="W239" s="25">
        <v>0</v>
      </c>
      <c r="AC239" s="8" t="e">
        <f>VLOOKUP(B239,#REF!,19,0)</f>
        <v>#REF!</v>
      </c>
      <c r="AP239" s="8" t="str">
        <f t="shared" si="8"/>
        <v>Not yet endorsed</v>
      </c>
      <c r="AQ239" s="10" t="b" cm="1">
        <f t="array" aca="1" ref="AQ239" ca="1">IF(AM239&gt;0,(TODAY()-AM239),IF(AL239&gt;0,(TODAY()-AL239),IF(AK239&gt;0,(TODAY()-AK239,IF(AI239&gt;0,(TODAY()-AI239),IF(AG239&gt;0,(TODAY()-AG239),IF(AF239&gt;0,(TODAY()-AF239),IF(X239&gt;0,(TODAY()-X239)," "))))))))</f>
        <v>0</v>
      </c>
      <c r="BD239" s="2" t="str">
        <f t="shared" si="9"/>
        <v>TSSR Approved</v>
      </c>
      <c r="BE239" s="2" t="e">
        <v>#VALUE!</v>
      </c>
      <c r="BG239" s="2" t="e">
        <v>#N/A</v>
      </c>
    </row>
    <row r="240" spans="2:59" hidden="1" x14ac:dyDescent="0.25">
      <c r="B240" s="2" t="s">
        <v>1265</v>
      </c>
      <c r="C240" s="2" t="s">
        <v>1266</v>
      </c>
      <c r="D240" s="44" t="s">
        <v>1267</v>
      </c>
      <c r="E240" s="2" t="s">
        <v>11</v>
      </c>
      <c r="F240" s="2" t="s">
        <v>1268</v>
      </c>
      <c r="G240" s="2" t="s">
        <v>1</v>
      </c>
      <c r="H240" s="2" t="s">
        <v>165</v>
      </c>
      <c r="I240" s="2" t="s">
        <v>68</v>
      </c>
      <c r="J240" s="2" t="s">
        <v>173</v>
      </c>
      <c r="K240" s="2" t="s">
        <v>303</v>
      </c>
      <c r="L240" s="2" t="s">
        <v>1269</v>
      </c>
      <c r="M240" s="2">
        <v>0</v>
      </c>
      <c r="N240" s="2">
        <v>7.8712</v>
      </c>
      <c r="O240" s="2">
        <v>124.7367</v>
      </c>
      <c r="P240" s="2" t="s">
        <v>87</v>
      </c>
      <c r="Q240" s="2" t="s">
        <v>227</v>
      </c>
      <c r="R240" s="29" t="e">
        <f>IF(INDEX(#REF!,MATCH('data '!$B240,#REF!,0),MATCH('data '!R$3,#REF!,0))=0,"",INDEX(#REF!,MATCH('data '!$B240,#REF!,0),MATCH('data '!R$3,#REF!,0)))</f>
        <v>#REF!</v>
      </c>
      <c r="S240" s="29" t="e">
        <f>IF(INDEX(#REF!,MATCH('data '!$B240,#REF!,0),MATCH('data '!S$3,#REF!,0))=0,"",INDEX(#REF!,MATCH('data '!$B240,#REF!,0),MATCH('data '!S$3,#REF!,0)))</f>
        <v>#REF!</v>
      </c>
      <c r="T240" s="29" t="e">
        <f>IF(INDEX(#REF!,MATCH('data '!$B240,#REF!,0),MATCH('data '!T$3,#REF!,0))=0,"",INDEX(#REF!,MATCH('data '!$B240,#REF!,0),MATCH('data '!T$3,#REF!,0)))</f>
        <v>#REF!</v>
      </c>
      <c r="U240" s="8" t="s">
        <v>25</v>
      </c>
      <c r="V240" s="25" t="s">
        <v>160</v>
      </c>
      <c r="W240" s="25" t="s">
        <v>144</v>
      </c>
      <c r="X240" s="43" t="s">
        <v>25</v>
      </c>
      <c r="Y240" s="43">
        <v>45884</v>
      </c>
      <c r="AC240" s="8" t="e">
        <f>VLOOKUP(B240,#REF!,19,0)</f>
        <v>#REF!</v>
      </c>
      <c r="AP240" s="8" t="str">
        <f t="shared" si="8"/>
        <v>BP Secured</v>
      </c>
      <c r="AQ240" s="10" t="b" cm="1">
        <f t="array" aca="1" ref="AQ240" ca="1">IF(AM240&gt;0,(TODAY()-AM240),IF(AL240&gt;0,(TODAY()-AL240),IF(AK240&gt;0,(TODAY()-AK240,IF(AI240&gt;0,(TODAY()-AI240),IF(AG240&gt;0,(TODAY()-AG240),IF(AF240&gt;0,(TODAY()-AF240),IF(X240&gt;0,(TODAY()-X240)," "))))))))</f>
        <v>0</v>
      </c>
      <c r="BD240" s="2" t="str">
        <f t="shared" si="9"/>
        <v>BP Secured</v>
      </c>
      <c r="BE240" s="2" t="e">
        <v>#VALUE!</v>
      </c>
      <c r="BG240" s="2" t="e">
        <v>#N/A</v>
      </c>
    </row>
    <row r="241" spans="1:60" hidden="1" x14ac:dyDescent="0.25">
      <c r="B241" s="2" t="s">
        <v>1270</v>
      </c>
      <c r="C241" s="2" t="s">
        <v>1271</v>
      </c>
      <c r="D241" s="44" t="s">
        <v>1272</v>
      </c>
      <c r="E241" s="2" t="s">
        <v>11</v>
      </c>
      <c r="F241" s="2" t="s">
        <v>238</v>
      </c>
      <c r="G241" s="2" t="s">
        <v>1</v>
      </c>
      <c r="H241" s="2" t="s">
        <v>165</v>
      </c>
      <c r="I241" s="2" t="s">
        <v>68</v>
      </c>
      <c r="J241" s="2" t="s">
        <v>239</v>
      </c>
      <c r="K241" s="2" t="s">
        <v>240</v>
      </c>
      <c r="L241" s="2" t="s">
        <v>241</v>
      </c>
      <c r="M241" s="2">
        <v>0</v>
      </c>
      <c r="N241" s="2">
        <v>0</v>
      </c>
      <c r="O241" s="2">
        <v>0</v>
      </c>
      <c r="P241" s="2" t="s">
        <v>482</v>
      </c>
      <c r="Q241" s="2" t="s">
        <v>73</v>
      </c>
      <c r="R241" s="29" t="e">
        <f>IF(INDEX(#REF!,MATCH('data '!$B241,#REF!,0),MATCH('data '!R$3,#REF!,0))=0,"",INDEX(#REF!,MATCH('data '!$B241,#REF!,0),MATCH('data '!R$3,#REF!,0)))</f>
        <v>#REF!</v>
      </c>
      <c r="S241" s="29" t="e">
        <f>IF(INDEX(#REF!,MATCH('data '!$B241,#REF!,0),MATCH('data '!S$3,#REF!,0))=0,"",INDEX(#REF!,MATCH('data '!$B241,#REF!,0),MATCH('data '!S$3,#REF!,0)))</f>
        <v>#REF!</v>
      </c>
      <c r="T241" s="29" t="e">
        <f>IF(INDEX(#REF!,MATCH('data '!$B241,#REF!,0),MATCH('data '!T$3,#REF!,0))=0,"",INDEX(#REF!,MATCH('data '!$B241,#REF!,0),MATCH('data '!T$3,#REF!,0)))</f>
        <v>#REF!</v>
      </c>
      <c r="U241" s="8" t="s">
        <v>25</v>
      </c>
      <c r="V241" s="25" t="s">
        <v>74</v>
      </c>
      <c r="W241" s="25">
        <v>0</v>
      </c>
      <c r="AC241" s="8" t="e">
        <f>VLOOKUP(B241,#REF!,19,0)</f>
        <v>#REF!</v>
      </c>
      <c r="AP241" s="8" t="str">
        <f t="shared" si="8"/>
        <v>Not yet endorsed</v>
      </c>
      <c r="AQ241" s="10" t="b" cm="1">
        <f t="array" aca="1" ref="AQ241" ca="1">IF(AM241&gt;0,(TODAY()-AM241),IF(AL241&gt;0,(TODAY()-AL241),IF(AK241&gt;0,(TODAY()-AK241,IF(AI241&gt;0,(TODAY()-AI241),IF(AG241&gt;0,(TODAY()-AG241),IF(AF241&gt;0,(TODAY()-AF241),IF(X241&gt;0,(TODAY()-X241)," "))))))))</f>
        <v>0</v>
      </c>
      <c r="BD241" s="2" t="str">
        <f t="shared" si="9"/>
        <v>TSSR Approved</v>
      </c>
      <c r="BE241" s="2" t="e">
        <v>#VALUE!</v>
      </c>
      <c r="BG241" s="2" t="e">
        <v>#N/A</v>
      </c>
    </row>
    <row r="242" spans="1:60" hidden="1" x14ac:dyDescent="0.25">
      <c r="B242" s="2" t="s">
        <v>1273</v>
      </c>
      <c r="C242" s="2" t="s">
        <v>1274</v>
      </c>
      <c r="D242" s="44" t="s">
        <v>1275</v>
      </c>
      <c r="E242" s="2" t="s">
        <v>6</v>
      </c>
      <c r="F242" s="2" t="e">
        <v>#N/A</v>
      </c>
      <c r="G242" s="2" t="s">
        <v>1</v>
      </c>
      <c r="H242" s="2" t="s">
        <v>111</v>
      </c>
      <c r="I242" s="2" t="s">
        <v>112</v>
      </c>
      <c r="J242" s="2" t="e">
        <v>#N/A</v>
      </c>
      <c r="K242" s="2" t="e">
        <v>#N/A</v>
      </c>
      <c r="L242" s="2" t="e">
        <v>#N/A</v>
      </c>
      <c r="M242" s="2" t="e">
        <v>#N/A</v>
      </c>
      <c r="N242" s="2" t="e">
        <v>#N/A</v>
      </c>
      <c r="O242" s="2" t="e">
        <v>#N/A</v>
      </c>
      <c r="P242" s="2" t="e">
        <v>#N/A</v>
      </c>
      <c r="Q242" s="2" t="e">
        <v>#N/A</v>
      </c>
      <c r="R242" s="29" t="e">
        <f>IF(INDEX(#REF!,MATCH('data '!$B242,#REF!,0),MATCH('data '!R$3,#REF!,0))=0,"",INDEX(#REF!,MATCH('data '!$B242,#REF!,0),MATCH('data '!R$3,#REF!,0)))</f>
        <v>#REF!</v>
      </c>
      <c r="S242" s="29" t="e">
        <f>IF(INDEX(#REF!,MATCH('data '!$B242,#REF!,0),MATCH('data '!S$3,#REF!,0))=0,"",INDEX(#REF!,MATCH('data '!$B242,#REF!,0),MATCH('data '!S$3,#REF!,0)))</f>
        <v>#REF!</v>
      </c>
      <c r="T242" s="29" t="e">
        <f>IF(INDEX(#REF!,MATCH('data '!$B242,#REF!,0),MATCH('data '!T$3,#REF!,0))=0,"",INDEX(#REF!,MATCH('data '!$B242,#REF!,0),MATCH('data '!T$3,#REF!,0)))</f>
        <v>#REF!</v>
      </c>
      <c r="V242" s="25" t="s">
        <v>133</v>
      </c>
      <c r="W242" s="25" t="s">
        <v>134</v>
      </c>
      <c r="AC242" s="8" t="e">
        <f>VLOOKUP(B242,#REF!,19,0)</f>
        <v>#REF!</v>
      </c>
      <c r="AP242" s="8" t="str">
        <f t="shared" si="8"/>
        <v>Not yet endorsed</v>
      </c>
      <c r="AQ242" s="10" t="b" cm="1">
        <f t="array" aca="1" ref="AQ242" ca="1">IF(AM242&gt;0,(TODAY()-AM242),IF(AL242&gt;0,(TODAY()-AL242),IF(AK242&gt;0,(TODAY()-AK242,IF(AI242&gt;0,(TODAY()-AI242),IF(AG242&gt;0,(TODAY()-AG242),IF(AF242&gt;0,(TODAY()-AF242),IF(X242&gt;0,(TODAY()-X242)," "))))))))</f>
        <v>0</v>
      </c>
      <c r="BD242" s="2" t="str">
        <f t="shared" si="9"/>
        <v>Not yet endorsed</v>
      </c>
      <c r="BE242" s="2" t="s">
        <v>75</v>
      </c>
      <c r="BG242" s="2" t="e">
        <v>#N/A</v>
      </c>
    </row>
    <row r="243" spans="1:60" hidden="1" x14ac:dyDescent="0.25">
      <c r="B243" s="2" t="s">
        <v>1276</v>
      </c>
      <c r="C243" s="2" t="s">
        <v>1277</v>
      </c>
      <c r="D243" s="44" t="s">
        <v>1278</v>
      </c>
      <c r="E243" s="2" t="s">
        <v>6</v>
      </c>
      <c r="F243" s="2" t="s">
        <v>1279</v>
      </c>
      <c r="G243" s="2" t="s">
        <v>1</v>
      </c>
      <c r="H243" s="2" t="s">
        <v>111</v>
      </c>
      <c r="I243" s="2" t="s">
        <v>112</v>
      </c>
      <c r="J243" s="2" t="s">
        <v>344</v>
      </c>
      <c r="K243" s="2" t="s">
        <v>1052</v>
      </c>
      <c r="L243" s="2" t="s">
        <v>1280</v>
      </c>
      <c r="M243" s="2">
        <v>0</v>
      </c>
      <c r="N243" s="2">
        <v>0</v>
      </c>
      <c r="O243" s="2">
        <v>0</v>
      </c>
      <c r="P243" s="2" t="s">
        <v>168</v>
      </c>
      <c r="Q243" s="2" t="s">
        <v>73</v>
      </c>
      <c r="R243" s="29" t="e">
        <f>IF(INDEX(#REF!,MATCH('data '!$B243,#REF!,0),MATCH('data '!R$3,#REF!,0))=0,"",INDEX(#REF!,MATCH('data '!$B243,#REF!,0),MATCH('data '!R$3,#REF!,0)))</f>
        <v>#REF!</v>
      </c>
      <c r="S243" s="29" t="e">
        <f>IF(INDEX(#REF!,MATCH('data '!$B243,#REF!,0),MATCH('data '!S$3,#REF!,0))=0,"",INDEX(#REF!,MATCH('data '!$B243,#REF!,0),MATCH('data '!S$3,#REF!,0)))</f>
        <v>#REF!</v>
      </c>
      <c r="T243" s="29" t="e">
        <f>IF(INDEX(#REF!,MATCH('data '!$B243,#REF!,0),MATCH('data '!T$3,#REF!,0))=0,"",INDEX(#REF!,MATCH('data '!$B243,#REF!,0),MATCH('data '!T$3,#REF!,0)))</f>
        <v>#REF!</v>
      </c>
      <c r="U243" s="8" t="s">
        <v>25</v>
      </c>
      <c r="V243" s="25" t="s">
        <v>160</v>
      </c>
      <c r="W243" s="25" t="s">
        <v>144</v>
      </c>
      <c r="X243" s="9" t="s">
        <v>25</v>
      </c>
      <c r="Y243" s="9">
        <v>45957</v>
      </c>
      <c r="AC243" s="8" t="e">
        <f>VLOOKUP(B243,#REF!,19,0)</f>
        <v>#REF!</v>
      </c>
      <c r="AE243" s="8" t="s">
        <v>966</v>
      </c>
      <c r="AP243" s="8" t="str">
        <f t="shared" si="8"/>
        <v>BP Secured</v>
      </c>
      <c r="AQ243" s="10" t="b" cm="1">
        <f t="array" aca="1" ref="AQ243" ca="1">IF(AM243&gt;0,(TODAY()-AM243),IF(AL243&gt;0,(TODAY()-AL243),IF(AK243&gt;0,(TODAY()-AK243,IF(AI243&gt;0,(TODAY()-AI243),IF(AG243&gt;0,(TODAY()-AG243),IF(AF243&gt;0,(TODAY()-AF243),IF(X243&gt;0,(TODAY()-X243)," "))))))))</f>
        <v>0</v>
      </c>
      <c r="AT243" s="8" t="s">
        <v>155</v>
      </c>
      <c r="AU243" s="8">
        <v>45895</v>
      </c>
      <c r="AV243" s="8">
        <v>45894</v>
      </c>
      <c r="AX243" s="8">
        <v>45897</v>
      </c>
      <c r="BD243" s="2" t="str">
        <f t="shared" si="9"/>
        <v>PO Issued</v>
      </c>
      <c r="BE243" s="2">
        <v>43</v>
      </c>
      <c r="BG243" s="2" t="e">
        <v>#N/A</v>
      </c>
    </row>
    <row r="244" spans="1:60" hidden="1" x14ac:dyDescent="0.25">
      <c r="B244" s="2" t="s">
        <v>1281</v>
      </c>
      <c r="C244" s="2" t="s">
        <v>1282</v>
      </c>
      <c r="D244" s="44" t="s">
        <v>1283</v>
      </c>
      <c r="E244" s="2" t="s">
        <v>11</v>
      </c>
      <c r="F244" s="2" t="s">
        <v>302</v>
      </c>
      <c r="G244" s="2" t="s">
        <v>1</v>
      </c>
      <c r="H244" s="2" t="s">
        <v>165</v>
      </c>
      <c r="I244" s="2" t="s">
        <v>68</v>
      </c>
      <c r="J244" s="2" t="s">
        <v>173</v>
      </c>
      <c r="K244" s="2" t="s">
        <v>303</v>
      </c>
      <c r="L244" s="2" t="s">
        <v>1002</v>
      </c>
      <c r="M244" s="2" t="s">
        <v>333</v>
      </c>
      <c r="N244" s="2">
        <v>8.2238910000000001</v>
      </c>
      <c r="O244" s="2">
        <v>124.84983800000001</v>
      </c>
      <c r="P244" s="2" t="s">
        <v>87</v>
      </c>
      <c r="Q244" s="2" t="s">
        <v>184</v>
      </c>
      <c r="R244" s="29" t="e">
        <f>IF(INDEX(#REF!,MATCH('data '!$B244,#REF!,0),MATCH('data '!R$3,#REF!,0))=0,"",INDEX(#REF!,MATCH('data '!$B244,#REF!,0),MATCH('data '!R$3,#REF!,0)))</f>
        <v>#REF!</v>
      </c>
      <c r="S244" s="29" t="e">
        <f>IF(INDEX(#REF!,MATCH('data '!$B244,#REF!,0),MATCH('data '!S$3,#REF!,0))=0,"",INDEX(#REF!,MATCH('data '!$B244,#REF!,0),MATCH('data '!S$3,#REF!,0)))</f>
        <v>#REF!</v>
      </c>
      <c r="T244" s="29" t="e">
        <f>IF(INDEX(#REF!,MATCH('data '!$B244,#REF!,0),MATCH('data '!T$3,#REF!,0))=0,"",INDEX(#REF!,MATCH('data '!$B244,#REF!,0),MATCH('data '!T$3,#REF!,0)))</f>
        <v>#REF!</v>
      </c>
      <c r="U244" s="8" t="s">
        <v>25</v>
      </c>
      <c r="V244" s="25" t="s">
        <v>266</v>
      </c>
      <c r="W244" s="25" t="s">
        <v>144</v>
      </c>
      <c r="X244" s="9" t="s">
        <v>25</v>
      </c>
      <c r="Y244" s="9">
        <v>45803</v>
      </c>
      <c r="Z244" s="8">
        <v>45694</v>
      </c>
      <c r="AA244" s="8" t="s">
        <v>1167</v>
      </c>
      <c r="AC244" s="8" t="e">
        <f>VLOOKUP(B244,#REF!,19,0)</f>
        <v>#REF!</v>
      </c>
      <c r="AE244" s="8" t="s">
        <v>307</v>
      </c>
      <c r="AP244" s="8" t="str">
        <f t="shared" si="8"/>
        <v>BP Secured</v>
      </c>
      <c r="AQ244" s="10" t="b" cm="1">
        <f t="array" aca="1" ref="AQ244" ca="1">IF(AM244&gt;0,(TODAY()-AM244),IF(AL244&gt;0,(TODAY()-AL244),IF(AK244&gt;0,(TODAY()-AK244,IF(AI244&gt;0,(TODAY()-AI244),IF(AG244&gt;0,(TODAY()-AG244),IF(AF244&gt;0,(TODAY()-AF244),IF(X244&gt;0,(TODAY()-X244)," "))))))))</f>
        <v>0</v>
      </c>
      <c r="AT244" s="8" t="s">
        <v>155</v>
      </c>
      <c r="AU244" s="8">
        <v>45842</v>
      </c>
      <c r="AV244" s="8">
        <v>45842</v>
      </c>
      <c r="AX244" s="8">
        <v>45845</v>
      </c>
      <c r="BD244" s="2" t="str">
        <f t="shared" si="9"/>
        <v>PO Issued</v>
      </c>
      <c r="BE244" s="2">
        <v>95</v>
      </c>
      <c r="BG244" s="2" t="e">
        <v>#N/A</v>
      </c>
    </row>
    <row r="245" spans="1:60" hidden="1" x14ac:dyDescent="0.25">
      <c r="B245" s="2" t="s">
        <v>1284</v>
      </c>
      <c r="C245" s="2" t="s">
        <v>1285</v>
      </c>
      <c r="D245" s="44" t="s">
        <v>1286</v>
      </c>
      <c r="E245" s="2" t="s">
        <v>6</v>
      </c>
      <c r="F245" s="2" t="s">
        <v>1287</v>
      </c>
      <c r="G245" s="2" t="s">
        <v>1</v>
      </c>
      <c r="H245" s="2" t="s">
        <v>111</v>
      </c>
      <c r="I245" s="2" t="s">
        <v>112</v>
      </c>
      <c r="J245" s="2" t="s">
        <v>113</v>
      </c>
      <c r="K245" s="2" t="s">
        <v>202</v>
      </c>
      <c r="L245" s="2" t="s">
        <v>1288</v>
      </c>
      <c r="M245" s="2">
        <v>0</v>
      </c>
      <c r="N245" s="2">
        <v>9.9475700000000007</v>
      </c>
      <c r="O245" s="2">
        <v>123.97754999999999</v>
      </c>
      <c r="P245" s="2" t="s">
        <v>87</v>
      </c>
      <c r="Q245" s="2" t="s">
        <v>184</v>
      </c>
      <c r="R245" s="29" t="e">
        <f>IF(INDEX(#REF!,MATCH('data '!$B245,#REF!,0),MATCH('data '!R$3,#REF!,0))=0,"",INDEX(#REF!,MATCH('data '!$B245,#REF!,0),MATCH('data '!R$3,#REF!,0)))</f>
        <v>#REF!</v>
      </c>
      <c r="S245" s="29" t="e">
        <f>IF(INDEX(#REF!,MATCH('data '!$B245,#REF!,0),MATCH('data '!S$3,#REF!,0))=0,"",INDEX(#REF!,MATCH('data '!$B245,#REF!,0),MATCH('data '!S$3,#REF!,0)))</f>
        <v>#REF!</v>
      </c>
      <c r="T245" s="29" t="e">
        <f>IF(INDEX(#REF!,MATCH('data '!$B245,#REF!,0),MATCH('data '!T$3,#REF!,0))=0,"",INDEX(#REF!,MATCH('data '!$B245,#REF!,0),MATCH('data '!T$3,#REF!,0)))</f>
        <v>#REF!</v>
      </c>
      <c r="U245" s="8" t="s">
        <v>25</v>
      </c>
      <c r="V245" s="25" t="s">
        <v>266</v>
      </c>
      <c r="W245" s="25" t="s">
        <v>144</v>
      </c>
      <c r="X245" s="9" t="s">
        <v>25</v>
      </c>
      <c r="Y245" s="9">
        <v>45724</v>
      </c>
      <c r="Z245" s="8">
        <v>45994</v>
      </c>
      <c r="AA245" s="8">
        <v>45995</v>
      </c>
      <c r="AB245" s="8">
        <v>45775</v>
      </c>
      <c r="AC245" s="8" t="e">
        <f>VLOOKUP(B245,#REF!,19,0)</f>
        <v>#REF!</v>
      </c>
      <c r="AE245" s="8" t="s">
        <v>1289</v>
      </c>
      <c r="AP245" s="8" t="str">
        <f t="shared" si="8"/>
        <v>BP Secured</v>
      </c>
      <c r="AQ245" s="10" t="b" cm="1">
        <f t="array" aca="1" ref="AQ245" ca="1">IF(AM245&gt;0,(TODAY()-AM245),IF(AL245&gt;0,(TODAY()-AL245),IF(AK245&gt;0,(TODAY()-AK245,IF(AI245&gt;0,(TODAY()-AI245),IF(AG245&gt;0,(TODAY()-AG245),IF(AF245&gt;0,(TODAY()-AF245),IF(X245&gt;0,(TODAY()-X245)," "))))))))</f>
        <v>0</v>
      </c>
      <c r="AT245" s="8" t="s">
        <v>155</v>
      </c>
      <c r="AU245" s="8">
        <v>45790</v>
      </c>
      <c r="AV245" s="8">
        <v>45789</v>
      </c>
      <c r="AX245" s="8">
        <v>45792</v>
      </c>
      <c r="BD245" s="2" t="str">
        <f t="shared" si="9"/>
        <v>PO Issued</v>
      </c>
      <c r="BE245" s="2">
        <v>148</v>
      </c>
      <c r="BG245" s="2" t="e">
        <v>#N/A</v>
      </c>
    </row>
    <row r="246" spans="1:60" hidden="1" x14ac:dyDescent="0.25">
      <c r="B246" s="2" t="s">
        <v>1290</v>
      </c>
      <c r="C246" s="2" t="s">
        <v>1291</v>
      </c>
      <c r="D246" s="44" t="s">
        <v>1292</v>
      </c>
      <c r="E246" s="2" t="s">
        <v>11</v>
      </c>
      <c r="F246" s="2">
        <v>0</v>
      </c>
      <c r="G246" s="2" t="s">
        <v>1</v>
      </c>
      <c r="H246" s="2" t="s">
        <v>67</v>
      </c>
      <c r="I246" s="2" t="s">
        <v>68</v>
      </c>
      <c r="J246" s="2" t="s">
        <v>69</v>
      </c>
      <c r="K246" s="2" t="s">
        <v>70</v>
      </c>
      <c r="L246" s="2">
        <v>0</v>
      </c>
      <c r="M246" s="2">
        <v>0</v>
      </c>
      <c r="N246" s="2">
        <v>0</v>
      </c>
      <c r="O246" s="2">
        <v>0</v>
      </c>
      <c r="P246" s="2" t="s">
        <v>133</v>
      </c>
      <c r="Q246" s="2">
        <v>0</v>
      </c>
      <c r="R246" s="29" t="e">
        <f>IF(INDEX(#REF!,MATCH('data '!$B246,#REF!,0),MATCH('data '!R$3,#REF!,0))=0,"",INDEX(#REF!,MATCH('data '!$B246,#REF!,0),MATCH('data '!R$3,#REF!,0)))</f>
        <v>#REF!</v>
      </c>
      <c r="S246" s="29" t="e">
        <f>IF(INDEX(#REF!,MATCH('data '!$B246,#REF!,0),MATCH('data '!S$3,#REF!,0))=0,"",INDEX(#REF!,MATCH('data '!$B246,#REF!,0),MATCH('data '!S$3,#REF!,0)))</f>
        <v>#REF!</v>
      </c>
      <c r="T246" s="29" t="e">
        <f>IF(INDEX(#REF!,MATCH('data '!$B246,#REF!,0),MATCH('data '!T$3,#REF!,0))=0,"",INDEX(#REF!,MATCH('data '!$B246,#REF!,0),MATCH('data '!T$3,#REF!,0)))</f>
        <v>#REF!</v>
      </c>
      <c r="V246" s="25" t="s">
        <v>87</v>
      </c>
      <c r="W246" s="25" t="s">
        <v>144</v>
      </c>
      <c r="X246" s="61"/>
      <c r="Y246" s="61"/>
      <c r="AC246" s="8" t="e">
        <f>VLOOKUP(B246,#REF!,19,0)</f>
        <v>#REF!</v>
      </c>
      <c r="AP246" s="8" t="str">
        <f t="shared" si="8"/>
        <v>Not yet endorsed</v>
      </c>
      <c r="AQ246" s="10" t="b" cm="1">
        <f t="array" aca="1" ref="AQ246" ca="1">IF(AM246&gt;0,(TODAY()-AM246),IF(AL246&gt;0,(TODAY()-AL246),IF(AK246&gt;0,(TODAY()-AK246,IF(AI246&gt;0,(TODAY()-AI246),IF(AG246&gt;0,(TODAY()-AG246),IF(AF246&gt;0,(TODAY()-AF246),IF(X246&gt;0,(TODAY()-X246)," "))))))))</f>
        <v>0</v>
      </c>
      <c r="BD246" s="2" t="str">
        <f t="shared" si="9"/>
        <v>Not yet endorsed</v>
      </c>
      <c r="BE246" s="2" t="s">
        <v>75</v>
      </c>
      <c r="BG246" s="2" t="e">
        <v>#N/A</v>
      </c>
    </row>
    <row r="247" spans="1:60" hidden="1" x14ac:dyDescent="0.25">
      <c r="B247" s="2" t="s">
        <v>1293</v>
      </c>
      <c r="C247" s="2" t="s">
        <v>1294</v>
      </c>
      <c r="D247" s="44" t="s">
        <v>1295</v>
      </c>
      <c r="E247" s="2" t="s">
        <v>11</v>
      </c>
      <c r="F247" s="2">
        <v>0</v>
      </c>
      <c r="G247" s="2" t="s">
        <v>1</v>
      </c>
      <c r="H247" s="2" t="s">
        <v>67</v>
      </c>
      <c r="I247" s="2" t="s">
        <v>68</v>
      </c>
      <c r="J247" s="2" t="s">
        <v>80</v>
      </c>
      <c r="K247" s="2" t="s">
        <v>81</v>
      </c>
      <c r="L247" s="2">
        <v>0</v>
      </c>
      <c r="M247" s="2">
        <v>0</v>
      </c>
      <c r="N247" s="2">
        <v>0</v>
      </c>
      <c r="O247" s="2">
        <v>0</v>
      </c>
      <c r="P247" s="2" t="s">
        <v>82</v>
      </c>
      <c r="Q247" s="2">
        <v>0</v>
      </c>
      <c r="R247" s="29" t="e">
        <f>IF(INDEX(#REF!,MATCH('data '!$B247,#REF!,0),MATCH('data '!R$3,#REF!,0))=0,"",INDEX(#REF!,MATCH('data '!$B247,#REF!,0),MATCH('data '!R$3,#REF!,0)))</f>
        <v>#REF!</v>
      </c>
      <c r="S247" s="29" t="e">
        <f>IF(INDEX(#REF!,MATCH('data '!$B247,#REF!,0),MATCH('data '!S$3,#REF!,0))=0,"",INDEX(#REF!,MATCH('data '!$B247,#REF!,0),MATCH('data '!S$3,#REF!,0)))</f>
        <v>#REF!</v>
      </c>
      <c r="T247" s="29" t="e">
        <f>IF(INDEX(#REF!,MATCH('data '!$B247,#REF!,0),MATCH('data '!T$3,#REF!,0))=0,"",INDEX(#REF!,MATCH('data '!$B247,#REF!,0),MATCH('data '!T$3,#REF!,0)))</f>
        <v>#REF!</v>
      </c>
      <c r="V247" s="25" t="s">
        <v>82</v>
      </c>
      <c r="W247" s="25" t="s">
        <v>83</v>
      </c>
      <c r="AC247" s="8" t="e">
        <f>VLOOKUP(B247,#REF!,19,0)</f>
        <v>#REF!</v>
      </c>
      <c r="AP247" s="8" t="str">
        <f t="shared" si="8"/>
        <v>Not yet endorsed</v>
      </c>
      <c r="AQ247" s="10" t="b" cm="1">
        <f t="array" aca="1" ref="AQ247" ca="1">IF(AM247&gt;0,(TODAY()-AM247),IF(AL247&gt;0,(TODAY()-AL247),IF(AK247&gt;0,(TODAY()-AK247,IF(AI247&gt;0,(TODAY()-AI247),IF(AG247&gt;0,(TODAY()-AG247),IF(AF247&gt;0,(TODAY()-AF247),IF(X247&gt;0,(TODAY()-X247)," "))))))))</f>
        <v>0</v>
      </c>
      <c r="BD247" s="2" t="str">
        <f t="shared" si="9"/>
        <v>Not yet endorsed</v>
      </c>
      <c r="BE247" s="2" t="s">
        <v>75</v>
      </c>
      <c r="BG247" s="2" t="e">
        <v>#N/A</v>
      </c>
    </row>
    <row r="248" spans="1:60" hidden="1" x14ac:dyDescent="0.25">
      <c r="A248" s="48"/>
      <c r="B248" s="7" t="s">
        <v>1296</v>
      </c>
      <c r="C248" s="2" t="s">
        <v>1297</v>
      </c>
      <c r="D248" s="44" t="s">
        <v>1298</v>
      </c>
      <c r="E248" s="2" t="s">
        <v>5</v>
      </c>
      <c r="F248" s="2" t="s">
        <v>1299</v>
      </c>
      <c r="G248" s="2" t="s">
        <v>153</v>
      </c>
      <c r="H248" s="2" t="s">
        <v>419</v>
      </c>
      <c r="I248" s="2" t="s">
        <v>140</v>
      </c>
      <c r="J248" s="2" t="e">
        <v>#N/A</v>
      </c>
      <c r="K248" s="2" t="e">
        <v>#N/A</v>
      </c>
      <c r="L248" s="2" t="e">
        <v>#N/A</v>
      </c>
      <c r="M248" s="2" t="e">
        <v>#N/A</v>
      </c>
      <c r="N248" s="2" t="e">
        <v>#N/A</v>
      </c>
      <c r="O248" s="2" t="e">
        <v>#N/A</v>
      </c>
      <c r="P248" s="2" t="e">
        <v>#N/A</v>
      </c>
      <c r="Q248" s="2" t="e">
        <v>#N/A</v>
      </c>
      <c r="R248" s="29" t="e">
        <f>IF(INDEX(#REF!,MATCH('data '!$B248,#REF!,0),MATCH('data '!R$3,#REF!,0))=0,"",INDEX(#REF!,MATCH('data '!$B248,#REF!,0),MATCH('data '!R$3,#REF!,0)))</f>
        <v>#REF!</v>
      </c>
      <c r="S248" s="29" t="e">
        <f>IF(INDEX(#REF!,MATCH('data '!$B248,#REF!,0),MATCH('data '!S$3,#REF!,0))=0,"",INDEX(#REF!,MATCH('data '!$B248,#REF!,0),MATCH('data '!S$3,#REF!,0)))</f>
        <v>#REF!</v>
      </c>
      <c r="T248" s="29" t="e">
        <f>IF(INDEX(#REF!,MATCH('data '!$B248,#REF!,0),MATCH('data '!T$3,#REF!,0))=0,"",INDEX(#REF!,MATCH('data '!$B248,#REF!,0),MATCH('data '!T$3,#REF!,0)))</f>
        <v>#REF!</v>
      </c>
      <c r="V248" s="25">
        <v>0</v>
      </c>
      <c r="W248" s="25" t="s">
        <v>144</v>
      </c>
      <c r="X248" s="9" t="s">
        <v>25</v>
      </c>
      <c r="AC248" s="8" t="e">
        <f>VLOOKUP(B248,#REF!,19,0)</f>
        <v>#REF!</v>
      </c>
      <c r="AE248" s="8" t="s">
        <v>420</v>
      </c>
      <c r="AH248" s="8" t="s">
        <v>362</v>
      </c>
      <c r="AP248" s="8" t="str">
        <f t="shared" si="8"/>
        <v>BP Secured</v>
      </c>
      <c r="AQ248" s="10" t="b" cm="1">
        <f t="array" aca="1" ref="AQ248" ca="1">IF(AM248&gt;0,(TODAY()-AM248),IF(AL248&gt;0,(TODAY()-AL248),IF(AK248&gt;0,(TODAY()-AK248,IF(AI248&gt;0,(TODAY()-AI248),IF(AG248&gt;0,(TODAY()-AG248),IF(AF248&gt;0,(TODAY()-AF248),IF(X248&gt;0,(TODAY()-X248)," "))))))))</f>
        <v>0</v>
      </c>
      <c r="AT248" s="11"/>
      <c r="AU248" s="11"/>
      <c r="AV248" s="11"/>
      <c r="AW248" s="11"/>
      <c r="AX248" s="11"/>
      <c r="AY248" s="11"/>
      <c r="BD248" s="2" t="str">
        <f t="shared" si="9"/>
        <v>BP Secured</v>
      </c>
      <c r="BE248" s="2" t="s">
        <v>75</v>
      </c>
      <c r="BF248" s="2" t="s">
        <v>1300</v>
      </c>
      <c r="BG248" s="2" t="e">
        <v>#N/A</v>
      </c>
    </row>
    <row r="249" spans="1:60" hidden="1" x14ac:dyDescent="0.25">
      <c r="B249" s="2" t="s">
        <v>1301</v>
      </c>
      <c r="C249" s="2" t="s">
        <v>1302</v>
      </c>
      <c r="D249" s="44" t="s">
        <v>1303</v>
      </c>
      <c r="E249" s="2" t="s">
        <v>11</v>
      </c>
      <c r="F249" s="2" t="s">
        <v>79</v>
      </c>
      <c r="G249" s="2" t="s">
        <v>1</v>
      </c>
      <c r="H249" s="2" t="s">
        <v>67</v>
      </c>
      <c r="I249" s="2" t="s">
        <v>68</v>
      </c>
      <c r="J249" s="2" t="s">
        <v>80</v>
      </c>
      <c r="K249" s="2" t="s">
        <v>81</v>
      </c>
      <c r="L249" s="2">
        <v>0</v>
      </c>
      <c r="M249" s="2">
        <v>0</v>
      </c>
      <c r="N249" s="2">
        <v>7.117324</v>
      </c>
      <c r="O249" s="2">
        <v>125.55589500000001</v>
      </c>
      <c r="P249" s="2" t="s">
        <v>168</v>
      </c>
      <c r="Q249" s="2" t="s">
        <v>73</v>
      </c>
      <c r="R249" s="29" t="e">
        <f>IF(INDEX(#REF!,MATCH('data '!$B249,#REF!,0),MATCH('data '!R$3,#REF!,0))=0,"",INDEX(#REF!,MATCH('data '!$B249,#REF!,0),MATCH('data '!R$3,#REF!,0)))</f>
        <v>#REF!</v>
      </c>
      <c r="S249" s="29" t="e">
        <f>IF(INDEX(#REF!,MATCH('data '!$B249,#REF!,0),MATCH('data '!S$3,#REF!,0))=0,"",INDEX(#REF!,MATCH('data '!$B249,#REF!,0),MATCH('data '!S$3,#REF!,0)))</f>
        <v>#REF!</v>
      </c>
      <c r="T249" s="29" t="e">
        <f>IF(INDEX(#REF!,MATCH('data '!$B249,#REF!,0),MATCH('data '!T$3,#REF!,0))=0,"",INDEX(#REF!,MATCH('data '!$B249,#REF!,0),MATCH('data '!T$3,#REF!,0)))</f>
        <v>#REF!</v>
      </c>
      <c r="U249" s="8" t="s">
        <v>25</v>
      </c>
      <c r="V249" s="25" t="s">
        <v>74</v>
      </c>
      <c r="W249" s="25">
        <v>0</v>
      </c>
      <c r="AC249" s="8" t="e">
        <f>VLOOKUP(B249,#REF!,19,0)</f>
        <v>#REF!</v>
      </c>
      <c r="AP249" s="8" t="str">
        <f t="shared" si="8"/>
        <v>Not yet endorsed</v>
      </c>
      <c r="AQ249" s="10" t="b" cm="1">
        <f t="array" aca="1" ref="AQ249" ca="1">IF(AM249&gt;0,(TODAY()-AM249),IF(AL249&gt;0,(TODAY()-AL249),IF(AK249&gt;0,(TODAY()-AK249,IF(AI249&gt;0,(TODAY()-AI249),IF(AG249&gt;0,(TODAY()-AG249),IF(AF249&gt;0,(TODAY()-AF249),IF(X249&gt;0,(TODAY()-X249)," "))))))))</f>
        <v>0</v>
      </c>
      <c r="BD249" s="2" t="str">
        <f t="shared" si="9"/>
        <v>TSSR Approved</v>
      </c>
      <c r="BE249" s="2" t="e">
        <v>#VALUE!</v>
      </c>
      <c r="BG249" s="2" t="e">
        <v>#N/A</v>
      </c>
    </row>
    <row r="250" spans="1:60" hidden="1" x14ac:dyDescent="0.25">
      <c r="B250" s="2" t="s">
        <v>1304</v>
      </c>
      <c r="C250" s="2" t="s">
        <v>1305</v>
      </c>
      <c r="D250" s="44" t="s">
        <v>1306</v>
      </c>
      <c r="E250" s="2" t="s">
        <v>11</v>
      </c>
      <c r="F250" s="2" t="s">
        <v>514</v>
      </c>
      <c r="G250" s="2" t="s">
        <v>1</v>
      </c>
      <c r="H250" s="2" t="s">
        <v>165</v>
      </c>
      <c r="I250" s="2" t="s">
        <v>68</v>
      </c>
      <c r="J250" s="2" t="s">
        <v>239</v>
      </c>
      <c r="K250" s="2" t="s">
        <v>515</v>
      </c>
      <c r="L250" s="2" t="s">
        <v>1307</v>
      </c>
      <c r="M250" s="2" t="s">
        <v>1308</v>
      </c>
      <c r="N250" s="2">
        <v>8.6950629999999993</v>
      </c>
      <c r="O250" s="2">
        <v>126.207442</v>
      </c>
      <c r="P250" s="2" t="s">
        <v>87</v>
      </c>
      <c r="Q250" s="2" t="s">
        <v>184</v>
      </c>
      <c r="R250" s="29" t="e">
        <f>IF(INDEX(#REF!,MATCH('data '!$B250,#REF!,0),MATCH('data '!R$3,#REF!,0))=0,"",INDEX(#REF!,MATCH('data '!$B250,#REF!,0),MATCH('data '!R$3,#REF!,0)))</f>
        <v>#REF!</v>
      </c>
      <c r="S250" s="29" t="e">
        <f>IF(INDEX(#REF!,MATCH('data '!$B250,#REF!,0),MATCH('data '!S$3,#REF!,0))=0,"",INDEX(#REF!,MATCH('data '!$B250,#REF!,0),MATCH('data '!S$3,#REF!,0)))</f>
        <v>#REF!</v>
      </c>
      <c r="T250" s="29" t="e">
        <f>IF(INDEX(#REF!,MATCH('data '!$B250,#REF!,0),MATCH('data '!T$3,#REF!,0))=0,"",INDEX(#REF!,MATCH('data '!$B250,#REF!,0),MATCH('data '!T$3,#REF!,0)))</f>
        <v>#REF!</v>
      </c>
      <c r="U250" s="8" t="s">
        <v>25</v>
      </c>
      <c r="V250" s="25" t="s">
        <v>266</v>
      </c>
      <c r="W250" s="25" t="s">
        <v>144</v>
      </c>
      <c r="X250" s="43" t="s">
        <v>25</v>
      </c>
      <c r="Y250" s="43">
        <v>45803</v>
      </c>
      <c r="Z250" s="8">
        <v>45784</v>
      </c>
      <c r="AA250" s="8">
        <v>45939</v>
      </c>
      <c r="AC250" s="8" t="e">
        <f>VLOOKUP(B250,#REF!,19,0)</f>
        <v>#REF!</v>
      </c>
      <c r="AE250" s="8" t="s">
        <v>307</v>
      </c>
      <c r="AP250" s="8" t="str">
        <f t="shared" si="8"/>
        <v>BP Secured</v>
      </c>
      <c r="AQ250" s="10" t="b" cm="1">
        <f t="array" aca="1" ref="AQ250" ca="1">IF(AM250&gt;0,(TODAY()-AM250),IF(AL250&gt;0,(TODAY()-AL250),IF(AK250&gt;0,(TODAY()-AK250,IF(AI250&gt;0,(TODAY()-AI250),IF(AG250&gt;0,(TODAY()-AG250),IF(AF250&gt;0,(TODAY()-AF250),IF(X250&gt;0,(TODAY()-X250)," "))))))))</f>
        <v>0</v>
      </c>
      <c r="AT250" s="8" t="s">
        <v>155</v>
      </c>
      <c r="AU250" s="8">
        <v>45911</v>
      </c>
      <c r="AV250" s="8">
        <v>45912</v>
      </c>
      <c r="AX250" s="8">
        <v>45915</v>
      </c>
      <c r="BD250" s="2" t="str">
        <f t="shared" si="9"/>
        <v>PO Issued</v>
      </c>
      <c r="BE250" s="2">
        <v>25</v>
      </c>
      <c r="BG250" s="2" t="e">
        <v>#N/A</v>
      </c>
    </row>
    <row r="251" spans="1:60" hidden="1" x14ac:dyDescent="0.25">
      <c r="B251" s="2" t="s">
        <v>1309</v>
      </c>
      <c r="C251" s="2" t="s">
        <v>1310</v>
      </c>
      <c r="D251" s="44" t="s">
        <v>1311</v>
      </c>
      <c r="E251" s="2" t="s">
        <v>4</v>
      </c>
      <c r="F251" s="2" t="s">
        <v>575</v>
      </c>
      <c r="G251" s="2" t="s">
        <v>1</v>
      </c>
      <c r="H251" s="2" t="s">
        <v>120</v>
      </c>
      <c r="I251" s="2" t="s">
        <v>140</v>
      </c>
      <c r="J251" s="2" t="s">
        <v>122</v>
      </c>
      <c r="K251" s="2" t="s">
        <v>123</v>
      </c>
      <c r="L251" s="2" t="s">
        <v>1312</v>
      </c>
      <c r="M251" s="2">
        <v>0</v>
      </c>
      <c r="N251" s="2">
        <v>14.788563</v>
      </c>
      <c r="O251" s="2">
        <v>120.956115</v>
      </c>
      <c r="P251" s="2" t="s">
        <v>87</v>
      </c>
      <c r="Q251" s="2" t="s">
        <v>265</v>
      </c>
      <c r="R251" s="29" t="e">
        <f>IF(INDEX(#REF!,MATCH('data '!$B251,#REF!,0),MATCH('data '!R$3,#REF!,0))=0,"",INDEX(#REF!,MATCH('data '!$B251,#REF!,0),MATCH('data '!R$3,#REF!,0)))</f>
        <v>#REF!</v>
      </c>
      <c r="S251" s="29" t="e">
        <f>IF(INDEX(#REF!,MATCH('data '!$B251,#REF!,0),MATCH('data '!S$3,#REF!,0))=0,"",INDEX(#REF!,MATCH('data '!$B251,#REF!,0),MATCH('data '!S$3,#REF!,0)))</f>
        <v>#REF!</v>
      </c>
      <c r="T251" s="29" t="e">
        <f>IF(INDEX(#REF!,MATCH('data '!$B251,#REF!,0),MATCH('data '!T$3,#REF!,0))=0,"",INDEX(#REF!,MATCH('data '!$B251,#REF!,0),MATCH('data '!T$3,#REF!,0)))</f>
        <v>#REF!</v>
      </c>
      <c r="U251" s="8" t="s">
        <v>25</v>
      </c>
      <c r="V251" s="25" t="s">
        <v>266</v>
      </c>
      <c r="W251" s="25" t="s">
        <v>144</v>
      </c>
      <c r="X251" s="9" t="s">
        <v>25</v>
      </c>
      <c r="Y251" s="9">
        <v>45863</v>
      </c>
      <c r="Z251" s="8">
        <v>45908</v>
      </c>
      <c r="AA251" s="8">
        <v>45909</v>
      </c>
      <c r="AC251" s="8" t="e">
        <f>VLOOKUP(B251,#REF!,19,0)</f>
        <v>#REF!</v>
      </c>
      <c r="AE251" s="8" t="s">
        <v>530</v>
      </c>
      <c r="AF251" s="8">
        <v>45908</v>
      </c>
      <c r="AG251" s="8">
        <v>45908</v>
      </c>
      <c r="AH251" s="8" t="s">
        <v>778</v>
      </c>
      <c r="AI251" s="8">
        <v>45909</v>
      </c>
      <c r="AJ251" s="8" t="s">
        <v>532</v>
      </c>
      <c r="AK251" s="8">
        <v>45916</v>
      </c>
      <c r="AN251" s="8" t="s">
        <v>25</v>
      </c>
      <c r="AP251" s="8" t="str">
        <f t="shared" si="8"/>
        <v>COOP Surveyed</v>
      </c>
      <c r="AS251" s="8" t="s">
        <v>780</v>
      </c>
      <c r="AT251" s="8">
        <v>45887</v>
      </c>
      <c r="AU251" s="8">
        <v>45888</v>
      </c>
      <c r="AV251" s="8">
        <v>45936</v>
      </c>
      <c r="AW251" s="15" t="s">
        <v>1313</v>
      </c>
      <c r="AX251" s="8">
        <v>45938</v>
      </c>
      <c r="AY251" s="8" t="s">
        <v>1314</v>
      </c>
      <c r="AZ251" s="8">
        <v>45981</v>
      </c>
      <c r="BA251" s="8">
        <v>45984</v>
      </c>
      <c r="BD251" s="2" t="str">
        <f t="shared" si="9"/>
        <v>Line Construction Completed</v>
      </c>
      <c r="BF251" s="2" t="s">
        <v>1315</v>
      </c>
      <c r="BG251" s="2" t="e">
        <v>#N/A</v>
      </c>
    </row>
    <row r="252" spans="1:60" hidden="1" x14ac:dyDescent="0.25">
      <c r="B252" s="2" t="s">
        <v>1316</v>
      </c>
      <c r="C252" s="2" t="s">
        <v>1317</v>
      </c>
      <c r="D252" s="44" t="s">
        <v>1318</v>
      </c>
      <c r="E252" s="2" t="s">
        <v>4</v>
      </c>
      <c r="F252" s="2" t="s">
        <v>358</v>
      </c>
      <c r="G252" s="2" t="s">
        <v>1</v>
      </c>
      <c r="H252" s="2" t="s">
        <v>139</v>
      </c>
      <c r="I252" s="2" t="s">
        <v>140</v>
      </c>
      <c r="J252" s="2" t="s">
        <v>122</v>
      </c>
      <c r="K252" s="2" t="s">
        <v>359</v>
      </c>
      <c r="L252" s="2" t="s">
        <v>546</v>
      </c>
      <c r="M252" s="2">
        <v>0</v>
      </c>
      <c r="N252" s="2">
        <v>0</v>
      </c>
      <c r="O252" s="2">
        <v>0</v>
      </c>
      <c r="P252" s="2" t="s">
        <v>1319</v>
      </c>
      <c r="Q252" s="2" t="s">
        <v>73</v>
      </c>
      <c r="R252" s="29" t="e">
        <f>IF(INDEX(#REF!,MATCH('data '!$B252,#REF!,0),MATCH('data '!R$3,#REF!,0))=0,"",INDEX(#REF!,MATCH('data '!$B252,#REF!,0),MATCH('data '!R$3,#REF!,0)))</f>
        <v>#REF!</v>
      </c>
      <c r="S252" s="29" t="e">
        <f>IF(INDEX(#REF!,MATCH('data '!$B252,#REF!,0),MATCH('data '!S$3,#REF!,0))=0,"",INDEX(#REF!,MATCH('data '!$B252,#REF!,0),MATCH('data '!S$3,#REF!,0)))</f>
        <v>#REF!</v>
      </c>
      <c r="T252" s="29" t="e">
        <f>IF(INDEX(#REF!,MATCH('data '!$B252,#REF!,0),MATCH('data '!T$3,#REF!,0))=0,"",INDEX(#REF!,MATCH('data '!$B252,#REF!,0),MATCH('data '!T$3,#REF!,0)))</f>
        <v>#REF!</v>
      </c>
      <c r="U252" s="8" t="s">
        <v>25</v>
      </c>
      <c r="V252" s="25" t="s">
        <v>82</v>
      </c>
      <c r="W252" s="25" t="s">
        <v>83</v>
      </c>
      <c r="AC252" s="8" t="e">
        <f>VLOOKUP(B252,#REF!,19,0)</f>
        <v>#REF!</v>
      </c>
      <c r="AP252" s="8" t="str">
        <f t="shared" si="8"/>
        <v>Not yet endorsed</v>
      </c>
      <c r="AQ252" s="10" t="b" cm="1">
        <f t="array" aca="1" ref="AQ252" ca="1">IF(AM252&gt;0,(TODAY()-AM252),IF(AL252&gt;0,(TODAY()-AL252),IF(AK252&gt;0,(TODAY()-AK252,IF(AI252&gt;0,(TODAY()-AI252),IF(AG252&gt;0,(TODAY()-AG252),IF(AF252&gt;0,(TODAY()-AF252),IF(X252&gt;0,(TODAY()-X252)," "))))))))</f>
        <v>0</v>
      </c>
      <c r="BD252" s="2" t="str">
        <f t="shared" si="9"/>
        <v>TSSR Approved</v>
      </c>
      <c r="BE252" s="2" t="e">
        <v>#VALUE!</v>
      </c>
      <c r="BG252" s="2" t="e">
        <v>#N/A</v>
      </c>
    </row>
    <row r="253" spans="1:60" hidden="1" x14ac:dyDescent="0.25">
      <c r="B253" s="2" t="s">
        <v>1320</v>
      </c>
      <c r="C253" s="2" t="s">
        <v>1321</v>
      </c>
      <c r="D253" s="44" t="s">
        <v>1322</v>
      </c>
      <c r="E253" s="2" t="s">
        <v>5</v>
      </c>
      <c r="F253" s="2" t="s">
        <v>382</v>
      </c>
      <c r="G253" s="2" t="s">
        <v>1</v>
      </c>
      <c r="H253" s="2" t="s">
        <v>120</v>
      </c>
      <c r="I253" s="2" t="s">
        <v>140</v>
      </c>
      <c r="J253" s="2" t="s">
        <v>141</v>
      </c>
      <c r="K253" s="2" t="s">
        <v>370</v>
      </c>
      <c r="L253" s="26" t="s">
        <v>1323</v>
      </c>
      <c r="M253" s="2">
        <v>0</v>
      </c>
      <c r="N253" s="2">
        <v>15.94145</v>
      </c>
      <c r="O253" s="2">
        <v>120.24509999999999</v>
      </c>
      <c r="P253" s="2" t="s">
        <v>87</v>
      </c>
      <c r="Q253" s="2" t="s">
        <v>219</v>
      </c>
      <c r="R253" s="29" t="e">
        <f>IF(INDEX(#REF!,MATCH('data '!$B253,#REF!,0),MATCH('data '!R$3,#REF!,0))=0,"",INDEX(#REF!,MATCH('data '!$B253,#REF!,0),MATCH('data '!R$3,#REF!,0)))</f>
        <v>#REF!</v>
      </c>
      <c r="S253" s="29" t="e">
        <f>IF(INDEX(#REF!,MATCH('data '!$B253,#REF!,0),MATCH('data '!S$3,#REF!,0))=0,"",INDEX(#REF!,MATCH('data '!$B253,#REF!,0),MATCH('data '!S$3,#REF!,0)))</f>
        <v>#REF!</v>
      </c>
      <c r="T253" s="29" t="e">
        <f>IF(INDEX(#REF!,MATCH('data '!$B253,#REF!,0),MATCH('data '!T$3,#REF!,0))=0,"",INDEX(#REF!,MATCH('data '!$B253,#REF!,0),MATCH('data '!T$3,#REF!,0)))</f>
        <v>#REF!</v>
      </c>
      <c r="U253" s="8" t="s">
        <v>25</v>
      </c>
      <c r="V253" s="25" t="s">
        <v>185</v>
      </c>
      <c r="W253" s="25" t="s">
        <v>144</v>
      </c>
      <c r="X253" s="9" t="s">
        <v>25</v>
      </c>
      <c r="Y253" s="9">
        <v>45803</v>
      </c>
      <c r="Z253" s="8">
        <v>45936</v>
      </c>
      <c r="AC253" s="8" t="e">
        <f>VLOOKUP(B253,#REF!,19,0)</f>
        <v>#REF!</v>
      </c>
      <c r="AE253" s="8" t="s">
        <v>295</v>
      </c>
      <c r="AF253" s="8">
        <v>45908</v>
      </c>
      <c r="AG253" s="8">
        <v>45908</v>
      </c>
      <c r="AH253" s="8" t="s">
        <v>373</v>
      </c>
      <c r="AI253" s="8">
        <v>45909</v>
      </c>
      <c r="AJ253" s="8" t="s">
        <v>374</v>
      </c>
      <c r="AK253" s="8">
        <v>45916</v>
      </c>
      <c r="AL253" s="11">
        <v>45915</v>
      </c>
      <c r="AM253" s="8">
        <v>45954</v>
      </c>
      <c r="AP253" s="8" t="str">
        <f t="shared" si="8"/>
        <v>Tempo Energized</v>
      </c>
      <c r="AR253" s="10" t="s">
        <v>1324</v>
      </c>
      <c r="AS253" s="27" t="s">
        <v>1325</v>
      </c>
      <c r="AT253" s="8">
        <v>45922</v>
      </c>
      <c r="AU253" s="8">
        <v>45924</v>
      </c>
      <c r="AV253" s="8">
        <v>45936</v>
      </c>
      <c r="AW253" s="8" t="s">
        <v>377</v>
      </c>
      <c r="AX253" s="8">
        <v>45939</v>
      </c>
      <c r="AY253" s="8" t="s">
        <v>378</v>
      </c>
      <c r="AZ253" s="8">
        <v>45929</v>
      </c>
      <c r="BA253" s="8">
        <v>45935</v>
      </c>
      <c r="BD253" s="2" t="str">
        <f t="shared" si="9"/>
        <v>Line Construction Completed</v>
      </c>
      <c r="BE253" s="2">
        <v>5</v>
      </c>
      <c r="BF253" s="2" t="s">
        <v>1326</v>
      </c>
      <c r="BG253" s="2" t="e">
        <v>#N/A</v>
      </c>
      <c r="BH253" s="2" t="e" vm="1">
        <v>#REF!</v>
      </c>
    </row>
    <row r="254" spans="1:60" hidden="1" x14ac:dyDescent="0.25">
      <c r="B254" s="2" t="s">
        <v>1327</v>
      </c>
      <c r="C254" s="2" t="s">
        <v>1328</v>
      </c>
      <c r="D254" s="44" t="s">
        <v>1329</v>
      </c>
      <c r="E254" s="2" t="s">
        <v>3</v>
      </c>
      <c r="F254" s="2">
        <v>0</v>
      </c>
      <c r="G254" s="2" t="s">
        <v>1</v>
      </c>
      <c r="H254" s="2" t="s">
        <v>120</v>
      </c>
      <c r="I254" s="2" t="s">
        <v>121</v>
      </c>
      <c r="J254" s="2" t="s">
        <v>141</v>
      </c>
      <c r="K254" s="2" t="s">
        <v>370</v>
      </c>
      <c r="L254" s="2" t="s">
        <v>814</v>
      </c>
      <c r="M254" s="2">
        <v>0</v>
      </c>
      <c r="N254" s="2">
        <v>0</v>
      </c>
      <c r="O254" s="2">
        <v>0</v>
      </c>
      <c r="P254" s="2" t="s">
        <v>655</v>
      </c>
      <c r="Q254" s="2">
        <v>0</v>
      </c>
      <c r="R254" s="29" t="e">
        <f>IF(INDEX(#REF!,MATCH('data '!$B254,#REF!,0),MATCH('data '!R$3,#REF!,0))=0,"",INDEX(#REF!,MATCH('data '!$B254,#REF!,0),MATCH('data '!R$3,#REF!,0)))</f>
        <v>#REF!</v>
      </c>
      <c r="S254" s="29" t="e">
        <f>IF(INDEX(#REF!,MATCH('data '!$B254,#REF!,0),MATCH('data '!S$3,#REF!,0))=0,"",INDEX(#REF!,MATCH('data '!$B254,#REF!,0),MATCH('data '!S$3,#REF!,0)))</f>
        <v>#REF!</v>
      </c>
      <c r="T254" s="29" t="e">
        <f>IF(INDEX(#REF!,MATCH('data '!$B254,#REF!,0),MATCH('data '!T$3,#REF!,0))=0,"",INDEX(#REF!,MATCH('data '!$B254,#REF!,0),MATCH('data '!T$3,#REF!,0)))</f>
        <v>#REF!</v>
      </c>
      <c r="V254" s="25" t="s">
        <v>656</v>
      </c>
      <c r="W254" s="25">
        <v>0</v>
      </c>
      <c r="AC254" s="8" t="e">
        <f>VLOOKUP(B254,#REF!,19,0)</f>
        <v>#REF!</v>
      </c>
      <c r="AP254" s="8" t="str">
        <f t="shared" si="8"/>
        <v>Not yet endorsed</v>
      </c>
      <c r="AQ254" s="10" t="b" cm="1">
        <f t="array" aca="1" ref="AQ254" ca="1">IF(AM254&gt;0,(TODAY()-AM254),IF(AL254&gt;0,(TODAY()-AL254),IF(AK254&gt;0,(TODAY()-AK254,IF(AI254&gt;0,(TODAY()-AI254),IF(AG254&gt;0,(TODAY()-AG254),IF(AF254&gt;0,(TODAY()-AF254),IF(X254&gt;0,(TODAY()-X254)," "))))))))</f>
        <v>0</v>
      </c>
      <c r="BD254" s="2" t="str">
        <f t="shared" si="9"/>
        <v>Not yet endorsed</v>
      </c>
      <c r="BE254" s="2" t="s">
        <v>75</v>
      </c>
      <c r="BG254" s="2" t="e">
        <v>#N/A</v>
      </c>
      <c r="BH254" s="2" t="e" vm="1">
        <v>#REF!</v>
      </c>
    </row>
    <row r="255" spans="1:60" hidden="1" x14ac:dyDescent="0.25">
      <c r="B255" s="2" t="s">
        <v>1330</v>
      </c>
      <c r="C255" s="2" t="s">
        <v>1331</v>
      </c>
      <c r="D255" s="44" t="s">
        <v>1332</v>
      </c>
      <c r="E255" s="2" t="s">
        <v>4</v>
      </c>
      <c r="F255" s="2" t="s">
        <v>538</v>
      </c>
      <c r="G255" s="2" t="s">
        <v>1</v>
      </c>
      <c r="H255" s="2" t="s">
        <v>139</v>
      </c>
      <c r="I255" s="2" t="s">
        <v>140</v>
      </c>
      <c r="J255" s="2" t="s">
        <v>122</v>
      </c>
      <c r="K255" s="2" t="s">
        <v>359</v>
      </c>
      <c r="L255" s="2" t="s">
        <v>539</v>
      </c>
      <c r="M255" s="2">
        <v>0</v>
      </c>
      <c r="N255" s="2">
        <v>0</v>
      </c>
      <c r="O255" s="2">
        <v>0</v>
      </c>
      <c r="P255" s="2" t="s">
        <v>789</v>
      </c>
      <c r="Q255" s="2" t="s">
        <v>73</v>
      </c>
      <c r="R255" s="29" t="e">
        <f>IF(INDEX(#REF!,MATCH('data '!$B255,#REF!,0),MATCH('data '!R$3,#REF!,0))=0,"",INDEX(#REF!,MATCH('data '!$B255,#REF!,0),MATCH('data '!R$3,#REF!,0)))</f>
        <v>#REF!</v>
      </c>
      <c r="S255" s="29" t="e">
        <f>IF(INDEX(#REF!,MATCH('data '!$B255,#REF!,0),MATCH('data '!S$3,#REF!,0))=0,"",INDEX(#REF!,MATCH('data '!$B255,#REF!,0),MATCH('data '!S$3,#REF!,0)))</f>
        <v>#REF!</v>
      </c>
      <c r="T255" s="29" t="e">
        <f>IF(INDEX(#REF!,MATCH('data '!$B255,#REF!,0),MATCH('data '!T$3,#REF!,0))=0,"",INDEX(#REF!,MATCH('data '!$B255,#REF!,0),MATCH('data '!T$3,#REF!,0)))</f>
        <v>#REF!</v>
      </c>
      <c r="V255" s="25" t="s">
        <v>74</v>
      </c>
      <c r="W255" s="25">
        <v>0</v>
      </c>
      <c r="AC255" s="8" t="e">
        <f>VLOOKUP(B255,#REF!,19,0)</f>
        <v>#REF!</v>
      </c>
      <c r="AP255" s="8" t="str">
        <f t="shared" si="8"/>
        <v>Not yet endorsed</v>
      </c>
      <c r="AQ255" s="10" t="b" cm="1">
        <f t="array" aca="1" ref="AQ255" ca="1">IF(AM255&gt;0,(TODAY()-AM255),IF(AL255&gt;0,(TODAY()-AL255),IF(AK255&gt;0,(TODAY()-AK255,IF(AI255&gt;0,(TODAY()-AI255),IF(AG255&gt;0,(TODAY()-AG255),IF(AF255&gt;0,(TODAY()-AF255),IF(X255&gt;0,(TODAY()-X255)," "))))))))</f>
        <v>0</v>
      </c>
      <c r="BD255" s="2" t="str">
        <f t="shared" si="9"/>
        <v>Not yet endorsed</v>
      </c>
      <c r="BE255" s="2" t="s">
        <v>75</v>
      </c>
      <c r="BG255" s="2" t="e">
        <v>#N/A</v>
      </c>
    </row>
    <row r="256" spans="1:60" hidden="1" x14ac:dyDescent="0.25">
      <c r="A256" s="48"/>
      <c r="B256" s="7" t="s">
        <v>1333</v>
      </c>
      <c r="C256" s="2" t="s">
        <v>1334</v>
      </c>
      <c r="D256" s="44" t="s">
        <v>1335</v>
      </c>
      <c r="E256" s="2" t="s">
        <v>5</v>
      </c>
      <c r="F256" s="2" t="s">
        <v>1336</v>
      </c>
      <c r="G256" s="2" t="s">
        <v>153</v>
      </c>
      <c r="H256" s="2" t="s">
        <v>139</v>
      </c>
      <c r="I256" s="2" t="s">
        <v>140</v>
      </c>
      <c r="J256" s="2" t="e">
        <v>#N/A</v>
      </c>
      <c r="K256" s="2" t="e">
        <v>#N/A</v>
      </c>
      <c r="L256" s="2" t="e">
        <v>#N/A</v>
      </c>
      <c r="M256" s="2" t="e">
        <v>#N/A</v>
      </c>
      <c r="N256" s="2" t="e">
        <v>#N/A</v>
      </c>
      <c r="O256" s="2" t="e">
        <v>#N/A</v>
      </c>
      <c r="P256" s="2" t="e">
        <v>#N/A</v>
      </c>
      <c r="Q256" s="2" t="e">
        <v>#N/A</v>
      </c>
      <c r="R256" s="29" t="e">
        <f>IF(INDEX(#REF!,MATCH('data '!$B256,#REF!,0),MATCH('data '!R$3,#REF!,0))=0,"",INDEX(#REF!,MATCH('data '!$B256,#REF!,0),MATCH('data '!R$3,#REF!,0)))</f>
        <v>#REF!</v>
      </c>
      <c r="S256" s="29" t="e">
        <f>IF(INDEX(#REF!,MATCH('data '!$B256,#REF!,0),MATCH('data '!S$3,#REF!,0))=0,"",INDEX(#REF!,MATCH('data '!$B256,#REF!,0),MATCH('data '!S$3,#REF!,0)))</f>
        <v>#REF!</v>
      </c>
      <c r="T256" s="29" t="e">
        <f>IF(INDEX(#REF!,MATCH('data '!$B256,#REF!,0),MATCH('data '!T$3,#REF!,0))=0,"",INDEX(#REF!,MATCH('data '!$B256,#REF!,0),MATCH('data '!T$3,#REF!,0)))</f>
        <v>#REF!</v>
      </c>
      <c r="V256" s="25">
        <v>0</v>
      </c>
      <c r="W256" s="25" t="s">
        <v>144</v>
      </c>
      <c r="X256" s="9" t="s">
        <v>25</v>
      </c>
      <c r="AB256" s="8">
        <v>45860</v>
      </c>
      <c r="AC256" s="8" t="e">
        <f>VLOOKUP(B256,#REF!,19,0)</f>
        <v>#REF!</v>
      </c>
      <c r="AE256" s="8" t="s">
        <v>212</v>
      </c>
      <c r="AH256" s="8" t="s">
        <v>362</v>
      </c>
      <c r="AP256" s="8" t="str">
        <f t="shared" si="8"/>
        <v>BP Secured</v>
      </c>
      <c r="AQ256" s="10" t="b" cm="1">
        <f t="array" aca="1" ref="AQ256" ca="1">IF(AM256&gt;0,(TODAY()-AM256),IF(AL256&gt;0,(TODAY()-AL256),IF(AK256&gt;0,(TODAY()-AK256,IF(AI256&gt;0,(TODAY()-AI256),IF(AG256&gt;0,(TODAY()-AG256),IF(AF256&gt;0,(TODAY()-AF256),IF(X256&gt;0,(TODAY()-X256)," "))))))))</f>
        <v>0</v>
      </c>
      <c r="AS256" s="8" t="s">
        <v>1337</v>
      </c>
      <c r="AT256" s="8">
        <v>45863</v>
      </c>
      <c r="AU256" s="8">
        <v>45863</v>
      </c>
      <c r="AV256" s="8">
        <v>45863</v>
      </c>
      <c r="AW256" s="8" t="s">
        <v>1338</v>
      </c>
      <c r="AX256" s="8">
        <v>45866</v>
      </c>
      <c r="AY256" s="8" t="s">
        <v>1339</v>
      </c>
      <c r="AZ256" s="8">
        <v>45914</v>
      </c>
      <c r="BA256" s="8">
        <v>45916</v>
      </c>
      <c r="BB256" s="8">
        <v>45931</v>
      </c>
      <c r="BC256" s="8">
        <v>46049</v>
      </c>
      <c r="BD256" s="2" t="str">
        <f t="shared" si="9"/>
        <v>Permanent Energized</v>
      </c>
      <c r="BE256" s="2">
        <v>24</v>
      </c>
      <c r="BF256" s="2" t="s">
        <v>1340</v>
      </c>
      <c r="BG256" s="2" t="e">
        <v>#N/A</v>
      </c>
    </row>
    <row r="257" spans="1:60" hidden="1" x14ac:dyDescent="0.25">
      <c r="B257" s="2" t="s">
        <v>1341</v>
      </c>
      <c r="C257" s="2" t="s">
        <v>1342</v>
      </c>
      <c r="D257" s="44" t="s">
        <v>1343</v>
      </c>
      <c r="E257" s="2" t="s">
        <v>3</v>
      </c>
      <c r="F257" s="2" t="s">
        <v>279</v>
      </c>
      <c r="G257" s="2" t="s">
        <v>1</v>
      </c>
      <c r="H257" s="2" t="s">
        <v>139</v>
      </c>
      <c r="I257" s="2" t="s">
        <v>140</v>
      </c>
      <c r="J257" s="2" t="s">
        <v>141</v>
      </c>
      <c r="K257" s="2" t="s">
        <v>280</v>
      </c>
      <c r="L257" s="2" t="s">
        <v>1344</v>
      </c>
      <c r="M257" s="2">
        <v>0</v>
      </c>
      <c r="N257" s="2">
        <v>0</v>
      </c>
      <c r="O257" s="2">
        <v>0</v>
      </c>
      <c r="P257" s="2" t="s">
        <v>82</v>
      </c>
      <c r="Q257" s="2" t="s">
        <v>73</v>
      </c>
      <c r="R257" s="29" t="e">
        <f>IF(INDEX(#REF!,MATCH('data '!$B257,#REF!,0),MATCH('data '!R$3,#REF!,0))=0,"",INDEX(#REF!,MATCH('data '!$B257,#REF!,0),MATCH('data '!R$3,#REF!,0)))</f>
        <v>#REF!</v>
      </c>
      <c r="S257" s="29" t="e">
        <f>IF(INDEX(#REF!,MATCH('data '!$B257,#REF!,0),MATCH('data '!S$3,#REF!,0))=0,"",INDEX(#REF!,MATCH('data '!$B257,#REF!,0),MATCH('data '!S$3,#REF!,0)))</f>
        <v>#REF!</v>
      </c>
      <c r="T257" s="29" t="e">
        <f>IF(INDEX(#REF!,MATCH('data '!$B257,#REF!,0),MATCH('data '!T$3,#REF!,0))=0,"",INDEX(#REF!,MATCH('data '!$B257,#REF!,0),MATCH('data '!T$3,#REF!,0)))</f>
        <v>#REF!</v>
      </c>
      <c r="V257" s="25" t="s">
        <v>168</v>
      </c>
      <c r="W257" s="25" t="s">
        <v>176</v>
      </c>
      <c r="AC257" s="8" t="e">
        <f>VLOOKUP(B257,#REF!,19,0)</f>
        <v>#REF!</v>
      </c>
      <c r="AE257" s="8" t="s">
        <v>145</v>
      </c>
      <c r="AF257" s="21">
        <v>45938</v>
      </c>
      <c r="AP257" s="8" t="str">
        <f t="shared" si="8"/>
        <v>Vendor Allocated</v>
      </c>
      <c r="AQ257" s="10" t="b" cm="1">
        <f t="array" aca="1" ref="AQ257" ca="1">IF(AM257&gt;0,(TODAY()-AM257),IF(AL257&gt;0,(TODAY()-AL257),IF(AK257&gt;0,(TODAY()-AK257,IF(AI257&gt;0,(TODAY()-AI257),IF(AG257&gt;0,(TODAY()-AG257),IF(AF257&gt;0,(TODAY()-AF257),IF(X257&gt;0,(TODAY()-X257)," "))))))))</f>
        <v>0</v>
      </c>
      <c r="BD257" s="2" t="str">
        <f t="shared" si="9"/>
        <v>Vendor Allocated</v>
      </c>
      <c r="BE257" s="2">
        <v>2</v>
      </c>
      <c r="BG257" s="2" t="s">
        <v>149</v>
      </c>
      <c r="BH257" s="2" t="e" vm="1">
        <v>#REF!</v>
      </c>
    </row>
    <row r="258" spans="1:60" hidden="1" x14ac:dyDescent="0.25">
      <c r="A258" s="48"/>
      <c r="B258" s="7" t="s">
        <v>1345</v>
      </c>
      <c r="C258" s="2" t="s">
        <v>1346</v>
      </c>
      <c r="D258" s="44" t="s">
        <v>1347</v>
      </c>
      <c r="E258" s="2" t="s">
        <v>5</v>
      </c>
      <c r="F258" s="2" t="s">
        <v>279</v>
      </c>
      <c r="G258" s="2" t="s">
        <v>153</v>
      </c>
      <c r="H258" s="2" t="s">
        <v>139</v>
      </c>
      <c r="I258" s="2" t="s">
        <v>140</v>
      </c>
      <c r="J258" s="2" t="e">
        <v>#N/A</v>
      </c>
      <c r="K258" s="2" t="e">
        <v>#N/A</v>
      </c>
      <c r="L258" s="2" t="e">
        <v>#N/A</v>
      </c>
      <c r="M258" s="2" t="e">
        <v>#N/A</v>
      </c>
      <c r="N258" s="2" t="e">
        <v>#N/A</v>
      </c>
      <c r="O258" s="2" t="e">
        <v>#N/A</v>
      </c>
      <c r="P258" s="2" t="e">
        <v>#N/A</v>
      </c>
      <c r="Q258" s="2" t="e">
        <v>#N/A</v>
      </c>
      <c r="R258" s="29" t="e">
        <f>IF(INDEX(#REF!,MATCH('data '!$B258,#REF!,0),MATCH('data '!R$3,#REF!,0))=0,"",INDEX(#REF!,MATCH('data '!$B258,#REF!,0),MATCH('data '!R$3,#REF!,0)))</f>
        <v>#REF!</v>
      </c>
      <c r="S258" s="29" t="e">
        <f>IF(INDEX(#REF!,MATCH('data '!$B258,#REF!,0),MATCH('data '!S$3,#REF!,0))=0,"",INDEX(#REF!,MATCH('data '!$B258,#REF!,0),MATCH('data '!S$3,#REF!,0)))</f>
        <v>#REF!</v>
      </c>
      <c r="T258" s="29" t="e">
        <f>IF(INDEX(#REF!,MATCH('data '!$B258,#REF!,0),MATCH('data '!T$3,#REF!,0))=0,"",INDEX(#REF!,MATCH('data '!$B258,#REF!,0),MATCH('data '!T$3,#REF!,0)))</f>
        <v>#REF!</v>
      </c>
      <c r="V258" s="25">
        <v>0</v>
      </c>
      <c r="W258" s="25" t="s">
        <v>144</v>
      </c>
      <c r="X258" s="9" t="s">
        <v>25</v>
      </c>
      <c r="AB258" s="8">
        <v>45882</v>
      </c>
      <c r="AC258" s="8" t="e">
        <f>VLOOKUP(B258,#REF!,19,0)</f>
        <v>#REF!</v>
      </c>
      <c r="AE258" s="8" t="s">
        <v>145</v>
      </c>
      <c r="AH258" s="8" t="s">
        <v>362</v>
      </c>
      <c r="AP258" s="8" t="str">
        <f t="shared" si="8"/>
        <v>BP Secured</v>
      </c>
      <c r="AQ258" s="10" t="b" cm="1">
        <f t="array" aca="1" ref="AQ258" ca="1">IF(AM258&gt;0,(TODAY()-AM258),IF(AL258&gt;0,(TODAY()-AL258),IF(AK258&gt;0,(TODAY()-AK258,IF(AI258&gt;0,(TODAY()-AI258),IF(AG258&gt;0,(TODAY()-AG258),IF(AF258&gt;0,(TODAY()-AF258),IF(X258&gt;0,(TODAY()-X258)," "))))))))</f>
        <v>0</v>
      </c>
      <c r="AS258" s="8" t="s">
        <v>296</v>
      </c>
      <c r="AT258" s="8">
        <v>45860</v>
      </c>
      <c r="AU258" s="8">
        <v>45861</v>
      </c>
      <c r="AV258" s="8">
        <v>45858</v>
      </c>
      <c r="AW258" s="8" t="s">
        <v>1348</v>
      </c>
      <c r="AX258" s="8">
        <v>45861</v>
      </c>
      <c r="AY258" s="8" t="s">
        <v>1349</v>
      </c>
      <c r="AZ258" s="8">
        <v>45931</v>
      </c>
      <c r="BA258" s="8">
        <v>45931</v>
      </c>
      <c r="BC258" s="8">
        <v>45982</v>
      </c>
      <c r="BD258" s="2" t="str">
        <f t="shared" si="9"/>
        <v>Permanent Energized</v>
      </c>
      <c r="BE258" s="2">
        <v>79</v>
      </c>
      <c r="BG258" s="2" t="e">
        <v>#N/A</v>
      </c>
    </row>
    <row r="259" spans="1:60" hidden="1" x14ac:dyDescent="0.25">
      <c r="B259" s="2" t="s">
        <v>1350</v>
      </c>
      <c r="C259" s="2" t="s">
        <v>1351</v>
      </c>
      <c r="D259" s="44" t="s">
        <v>1352</v>
      </c>
      <c r="E259" s="2" t="s">
        <v>4</v>
      </c>
      <c r="F259" s="2" t="s">
        <v>722</v>
      </c>
      <c r="G259" s="2" t="s">
        <v>1</v>
      </c>
      <c r="H259" s="2" t="s">
        <v>120</v>
      </c>
      <c r="I259" s="2" t="s">
        <v>140</v>
      </c>
      <c r="J259" s="2" t="s">
        <v>122</v>
      </c>
      <c r="K259" s="2" t="s">
        <v>723</v>
      </c>
      <c r="L259" s="2" t="s">
        <v>724</v>
      </c>
      <c r="M259" s="2">
        <v>0</v>
      </c>
      <c r="N259" s="2">
        <v>0</v>
      </c>
      <c r="O259" s="2">
        <v>0</v>
      </c>
      <c r="P259" s="2" t="s">
        <v>944</v>
      </c>
      <c r="Q259" s="2" t="s">
        <v>73</v>
      </c>
      <c r="R259" s="29" t="e">
        <f>IF(INDEX(#REF!,MATCH('data '!$B259,#REF!,0),MATCH('data '!R$3,#REF!,0))=0,"",INDEX(#REF!,MATCH('data '!$B259,#REF!,0),MATCH('data '!R$3,#REF!,0)))</f>
        <v>#REF!</v>
      </c>
      <c r="S259" s="29" t="e">
        <f>IF(INDEX(#REF!,MATCH('data '!$B259,#REF!,0),MATCH('data '!S$3,#REF!,0))=0,"",INDEX(#REF!,MATCH('data '!$B259,#REF!,0),MATCH('data '!S$3,#REF!,0)))</f>
        <v>#REF!</v>
      </c>
      <c r="T259" s="29" t="e">
        <f>IF(INDEX(#REF!,MATCH('data '!$B259,#REF!,0),MATCH('data '!T$3,#REF!,0))=0,"",INDEX(#REF!,MATCH('data '!$B259,#REF!,0),MATCH('data '!T$3,#REF!,0)))</f>
        <v>#REF!</v>
      </c>
      <c r="V259" s="25" t="s">
        <v>731</v>
      </c>
      <c r="W259" s="25">
        <v>0</v>
      </c>
      <c r="AC259" s="8" t="e">
        <f>VLOOKUP(B259,#REF!,19,0)</f>
        <v>#REF!</v>
      </c>
      <c r="AP259" s="8" t="str">
        <f t="shared" si="8"/>
        <v>Not yet endorsed</v>
      </c>
      <c r="AQ259" s="10" t="b" cm="1">
        <f t="array" aca="1" ref="AQ259" ca="1">IF(AM259&gt;0,(TODAY()-AM259),IF(AL259&gt;0,(TODAY()-AL259),IF(AK259&gt;0,(TODAY()-AK259,IF(AI259&gt;0,(TODAY()-AI259),IF(AG259&gt;0,(TODAY()-AG259),IF(AF259&gt;0,(TODAY()-AF259),IF(X259&gt;0,(TODAY()-X259)," "))))))))</f>
        <v>0</v>
      </c>
      <c r="BD259" s="2" t="str">
        <f t="shared" si="9"/>
        <v>Not yet endorsed</v>
      </c>
      <c r="BE259" s="2" t="s">
        <v>75</v>
      </c>
      <c r="BG259" s="2" t="e">
        <v>#N/A</v>
      </c>
    </row>
    <row r="260" spans="1:60" hidden="1" x14ac:dyDescent="0.25">
      <c r="B260" s="2" t="s">
        <v>1353</v>
      </c>
      <c r="C260" s="2" t="s">
        <v>1354</v>
      </c>
      <c r="D260" s="44" t="s">
        <v>1355</v>
      </c>
      <c r="E260" s="2" t="s">
        <v>11</v>
      </c>
      <c r="F260" s="2">
        <v>0</v>
      </c>
      <c r="G260" s="2" t="s">
        <v>1</v>
      </c>
      <c r="H260" s="2" t="s">
        <v>67</v>
      </c>
      <c r="I260" s="2" t="s">
        <v>68</v>
      </c>
      <c r="J260" s="2" t="s">
        <v>80</v>
      </c>
      <c r="K260" s="2" t="s">
        <v>81</v>
      </c>
      <c r="L260" s="2">
        <v>0</v>
      </c>
      <c r="M260" s="2">
        <v>0</v>
      </c>
      <c r="N260" s="2">
        <v>0</v>
      </c>
      <c r="O260" s="2">
        <v>0</v>
      </c>
      <c r="P260" s="2" t="s">
        <v>204</v>
      </c>
      <c r="Q260" s="2">
        <v>0</v>
      </c>
      <c r="R260" s="29" t="e">
        <f>IF(INDEX(#REF!,MATCH('data '!$B260,#REF!,0),MATCH('data '!R$3,#REF!,0))=0,"",INDEX(#REF!,MATCH('data '!$B260,#REF!,0),MATCH('data '!R$3,#REF!,0)))</f>
        <v>#REF!</v>
      </c>
      <c r="S260" s="29" t="e">
        <f>IF(INDEX(#REF!,MATCH('data '!$B260,#REF!,0),MATCH('data '!S$3,#REF!,0))=0,"",INDEX(#REF!,MATCH('data '!$B260,#REF!,0),MATCH('data '!S$3,#REF!,0)))</f>
        <v>#REF!</v>
      </c>
      <c r="T260" s="29" t="e">
        <f>IF(INDEX(#REF!,MATCH('data '!$B260,#REF!,0),MATCH('data '!T$3,#REF!,0))=0,"",INDEX(#REF!,MATCH('data '!$B260,#REF!,0),MATCH('data '!T$3,#REF!,0)))</f>
        <v>#REF!</v>
      </c>
      <c r="V260" s="25" t="s">
        <v>168</v>
      </c>
      <c r="W260" s="25" t="s">
        <v>176</v>
      </c>
      <c r="AC260" s="8" t="e">
        <f>VLOOKUP(B260,#REF!,19,0)</f>
        <v>#REF!</v>
      </c>
      <c r="AP260" s="8" t="str">
        <f t="shared" ref="AP260:AP323" si="10">IF(AM260&gt;0,"Tempo Energized",IF(AL260&gt;0,"Tempo Permit Released",IF(AK260&gt;0,"COOP Surveyed",IF(AI260&gt;0,"PO Issued",IF(AG260&gt;0,"PQ Raised",IF(AF260&gt;0,"Vendor Allocated",IF(X260&gt;0,"BP Secured","Not yet endorsed")))))))</f>
        <v>Not yet endorsed</v>
      </c>
      <c r="AQ260" s="10" t="b" cm="1">
        <f t="array" aca="1" ref="AQ260" ca="1">IF(AM260&gt;0,(TODAY()-AM260),IF(AL260&gt;0,(TODAY()-AL260),IF(AK260&gt;0,(TODAY()-AK260,IF(AI260&gt;0,(TODAY()-AI260),IF(AG260&gt;0,(TODAY()-AG260),IF(AF260&gt;0,(TODAY()-AF260),IF(X260&gt;0,(TODAY()-X260)," "))))))))</f>
        <v>0</v>
      </c>
      <c r="BD260" s="2" t="str">
        <f t="shared" ref="BD260:BD323" si="11">IF(BC260&gt;0,"Permanent Energized",IF(BB260&gt;0,"Bill deposit Paid",IF(BA260&gt;0,"Line Construction Completed",IF(AZ260&gt;0,"Line Construction Started",IF(AX260&gt;0,"PO Issued",IF(AV260&gt;0,"PQ Raised",IF(AU260&gt;0,"BoQ Approved",IF(AT260&gt;0,"BoQ Submitted",IF(AF260&gt;0,"Vendor Allocated",IF(X260&gt;0,"BP Secured",IF(U260&gt;0,"TSSR Approved","Not yet endorsed")))))))))))</f>
        <v>Not yet endorsed</v>
      </c>
      <c r="BE260" s="2" t="s">
        <v>75</v>
      </c>
      <c r="BG260" s="2" t="e">
        <v>#N/A</v>
      </c>
    </row>
    <row r="261" spans="1:60" hidden="1" x14ac:dyDescent="0.25">
      <c r="B261" s="2" t="s">
        <v>1356</v>
      </c>
      <c r="C261" s="2" t="s">
        <v>1357</v>
      </c>
      <c r="D261" s="44" t="s">
        <v>1358</v>
      </c>
      <c r="E261" s="2" t="s">
        <v>11</v>
      </c>
      <c r="F261" s="2">
        <v>0</v>
      </c>
      <c r="G261" s="2" t="s">
        <v>1</v>
      </c>
      <c r="H261" s="2" t="s">
        <v>67</v>
      </c>
      <c r="I261" s="2" t="s">
        <v>68</v>
      </c>
      <c r="J261" s="2" t="s">
        <v>80</v>
      </c>
      <c r="K261" s="2" t="s">
        <v>81</v>
      </c>
      <c r="L261" s="2">
        <v>0</v>
      </c>
      <c r="M261" s="2">
        <v>0</v>
      </c>
      <c r="N261" s="2">
        <v>0</v>
      </c>
      <c r="O261" s="2">
        <v>0</v>
      </c>
      <c r="P261" s="2" t="s">
        <v>482</v>
      </c>
      <c r="Q261" s="2">
        <v>0</v>
      </c>
      <c r="R261" s="29" t="e">
        <f>IF(INDEX(#REF!,MATCH('data '!$B261,#REF!,0),MATCH('data '!R$3,#REF!,0))=0,"",INDEX(#REF!,MATCH('data '!$B261,#REF!,0),MATCH('data '!R$3,#REF!,0)))</f>
        <v>#REF!</v>
      </c>
      <c r="S261" s="29" t="e">
        <f>IF(INDEX(#REF!,MATCH('data '!$B261,#REF!,0),MATCH('data '!S$3,#REF!,0))=0,"",INDEX(#REF!,MATCH('data '!$B261,#REF!,0),MATCH('data '!S$3,#REF!,0)))</f>
        <v>#REF!</v>
      </c>
      <c r="T261" s="29" t="e">
        <f>IF(INDEX(#REF!,MATCH('data '!$B261,#REF!,0),MATCH('data '!T$3,#REF!,0))=0,"",INDEX(#REF!,MATCH('data '!$B261,#REF!,0),MATCH('data '!T$3,#REF!,0)))</f>
        <v>#REF!</v>
      </c>
      <c r="V261" s="25" t="s">
        <v>204</v>
      </c>
      <c r="W261" s="25">
        <v>0</v>
      </c>
      <c r="AC261" s="8" t="e">
        <f>VLOOKUP(B261,#REF!,19,0)</f>
        <v>#REF!</v>
      </c>
      <c r="AP261" s="8" t="str">
        <f t="shared" si="10"/>
        <v>Not yet endorsed</v>
      </c>
      <c r="AQ261" s="10" t="b" cm="1">
        <f t="array" aca="1" ref="AQ261" ca="1">IF(AM261&gt;0,(TODAY()-AM261),IF(AL261&gt;0,(TODAY()-AL261),IF(AK261&gt;0,(TODAY()-AK261,IF(AI261&gt;0,(TODAY()-AI261),IF(AG261&gt;0,(TODAY()-AG261),IF(AF261&gt;0,(TODAY()-AF261),IF(X261&gt;0,(TODAY()-X261)," "))))))))</f>
        <v>0</v>
      </c>
      <c r="BD261" s="2" t="str">
        <f t="shared" si="11"/>
        <v>Not yet endorsed</v>
      </c>
      <c r="BE261" s="2" t="s">
        <v>75</v>
      </c>
      <c r="BG261" s="2" t="e">
        <v>#N/A</v>
      </c>
    </row>
    <row r="262" spans="1:60" hidden="1" x14ac:dyDescent="0.25">
      <c r="B262" s="2" t="s">
        <v>1359</v>
      </c>
      <c r="C262" s="2" t="s">
        <v>1360</v>
      </c>
      <c r="D262" s="44" t="s">
        <v>1361</v>
      </c>
      <c r="E262" s="2" t="s">
        <v>11</v>
      </c>
      <c r="F262" s="2" t="s">
        <v>79</v>
      </c>
      <c r="G262" s="2" t="s">
        <v>1</v>
      </c>
      <c r="H262" s="2" t="s">
        <v>67</v>
      </c>
      <c r="I262" s="2" t="s">
        <v>68</v>
      </c>
      <c r="J262" s="2" t="s">
        <v>80</v>
      </c>
      <c r="K262" s="2" t="s">
        <v>81</v>
      </c>
      <c r="L262" s="2" t="s">
        <v>1362</v>
      </c>
      <c r="M262" s="2" t="s">
        <v>1363</v>
      </c>
      <c r="N262" s="2">
        <v>6.7473999999999998</v>
      </c>
      <c r="O262" s="2">
        <v>125.3647</v>
      </c>
      <c r="P262" s="2" t="s">
        <v>87</v>
      </c>
      <c r="Q262" s="2" t="s">
        <v>265</v>
      </c>
      <c r="R262" s="29" t="e">
        <f>IF(INDEX(#REF!,MATCH('data '!$B262,#REF!,0),MATCH('data '!R$3,#REF!,0))=0,"",INDEX(#REF!,MATCH('data '!$B262,#REF!,0),MATCH('data '!R$3,#REF!,0)))</f>
        <v>#REF!</v>
      </c>
      <c r="S262" s="29" t="e">
        <f>IF(INDEX(#REF!,MATCH('data '!$B262,#REF!,0),MATCH('data '!S$3,#REF!,0))=0,"",INDEX(#REF!,MATCH('data '!$B262,#REF!,0),MATCH('data '!S$3,#REF!,0)))</f>
        <v>#REF!</v>
      </c>
      <c r="T262" s="29" t="e">
        <f>IF(INDEX(#REF!,MATCH('data '!$B262,#REF!,0),MATCH('data '!T$3,#REF!,0))=0,"",INDEX(#REF!,MATCH('data '!$B262,#REF!,0),MATCH('data '!T$3,#REF!,0)))</f>
        <v>#REF!</v>
      </c>
      <c r="U262" s="8" t="s">
        <v>25</v>
      </c>
      <c r="V262" s="25" t="s">
        <v>266</v>
      </c>
      <c r="W262" s="25" t="s">
        <v>144</v>
      </c>
      <c r="X262" s="43" t="s">
        <v>25</v>
      </c>
      <c r="Y262" s="43">
        <v>45856</v>
      </c>
      <c r="AC262" s="8" t="e">
        <f>VLOOKUP(B262,#REF!,19,0)</f>
        <v>#REF!</v>
      </c>
      <c r="AP262" s="8" t="str">
        <f t="shared" si="10"/>
        <v>BP Secured</v>
      </c>
      <c r="AQ262" s="10" t="b" cm="1">
        <f t="array" aca="1" ref="AQ262" ca="1">IF(AM262&gt;0,(TODAY()-AM262),IF(AL262&gt;0,(TODAY()-AL262),IF(AK262&gt;0,(TODAY()-AK262,IF(AI262&gt;0,(TODAY()-AI262),IF(AG262&gt;0,(TODAY()-AG262),IF(AF262&gt;0,(TODAY()-AF262),IF(X262&gt;0,(TODAY()-X262)," "))))))))</f>
        <v>0</v>
      </c>
      <c r="BD262" s="2" t="str">
        <f t="shared" si="11"/>
        <v>BP Secured</v>
      </c>
      <c r="BE262" s="2" t="e">
        <v>#VALUE!</v>
      </c>
      <c r="BG262" s="2" t="e">
        <v>#N/A</v>
      </c>
    </row>
    <row r="263" spans="1:60" hidden="1" x14ac:dyDescent="0.25">
      <c r="B263" s="2" t="s">
        <v>1364</v>
      </c>
      <c r="C263" s="2" t="s">
        <v>1365</v>
      </c>
      <c r="D263" s="44" t="s">
        <v>1366</v>
      </c>
      <c r="E263" s="2" t="s">
        <v>11</v>
      </c>
      <c r="F263" s="2" t="s">
        <v>302</v>
      </c>
      <c r="G263" s="2" t="s">
        <v>1</v>
      </c>
      <c r="H263" s="2" t="s">
        <v>165</v>
      </c>
      <c r="I263" s="2" t="s">
        <v>68</v>
      </c>
      <c r="J263" s="2" t="s">
        <v>173</v>
      </c>
      <c r="K263" s="2" t="s">
        <v>303</v>
      </c>
      <c r="L263" s="2" t="s">
        <v>304</v>
      </c>
      <c r="M263" s="2" t="s">
        <v>1367</v>
      </c>
      <c r="N263" s="2">
        <v>8.0388000000000002</v>
      </c>
      <c r="O263" s="2">
        <v>125.24420000000001</v>
      </c>
      <c r="P263" s="2" t="s">
        <v>87</v>
      </c>
      <c r="Q263" s="2" t="s">
        <v>184</v>
      </c>
      <c r="R263" s="29" t="e">
        <f>IF(INDEX(#REF!,MATCH('data '!$B263,#REF!,0),MATCH('data '!R$3,#REF!,0))=0,"",INDEX(#REF!,MATCH('data '!$B263,#REF!,0),MATCH('data '!R$3,#REF!,0)))</f>
        <v>#REF!</v>
      </c>
      <c r="S263" s="29" t="e">
        <f>IF(INDEX(#REF!,MATCH('data '!$B263,#REF!,0),MATCH('data '!S$3,#REF!,0))=0,"",INDEX(#REF!,MATCH('data '!$B263,#REF!,0),MATCH('data '!S$3,#REF!,0)))</f>
        <v>#REF!</v>
      </c>
      <c r="T263" s="29" t="e">
        <f>IF(INDEX(#REF!,MATCH('data '!$B263,#REF!,0),MATCH('data '!T$3,#REF!,0))=0,"",INDEX(#REF!,MATCH('data '!$B263,#REF!,0),MATCH('data '!T$3,#REF!,0)))</f>
        <v>#REF!</v>
      </c>
      <c r="U263" s="8" t="s">
        <v>25</v>
      </c>
      <c r="V263" s="25" t="s">
        <v>185</v>
      </c>
      <c r="W263" s="25" t="s">
        <v>144</v>
      </c>
      <c r="X263" s="9" t="s">
        <v>25</v>
      </c>
      <c r="Y263" s="9">
        <v>45745</v>
      </c>
      <c r="Z263" s="8">
        <v>45842</v>
      </c>
      <c r="AA263" s="8">
        <v>45664</v>
      </c>
      <c r="AC263" s="8" t="e">
        <f>VLOOKUP(B263,#REF!,19,0)</f>
        <v>#REF!</v>
      </c>
      <c r="AE263" s="8" t="s">
        <v>472</v>
      </c>
      <c r="AK263" s="8">
        <v>45776</v>
      </c>
      <c r="AP263" s="8" t="str">
        <f t="shared" si="10"/>
        <v>COOP Surveyed</v>
      </c>
      <c r="AQ263" s="10" t="e" cm="1">
        <f t="array" aca="1" ref="AQ263" ca="1">IF(AM263&gt;0,(TODAY()-AM263),IF(AL263&gt;0,(TODAY()-AL263),IF(AK263&gt;0,(TODAY()-AK263,IF(AI263&gt;0,(TODAY()-AI263),IF(AG263&gt;0,(TODAY()-AG263),IF(AF263&gt;0,(TODAY()-AF263),IF(X263&gt;0,(TODAY()-X263)," "))))))))</f>
        <v>#VALUE!</v>
      </c>
      <c r="AT263" s="8" t="s">
        <v>155</v>
      </c>
      <c r="AU263" s="8">
        <v>45790</v>
      </c>
      <c r="AV263" s="8">
        <v>45789</v>
      </c>
      <c r="AX263" s="8">
        <v>45792</v>
      </c>
      <c r="BD263" s="2" t="str">
        <f t="shared" si="11"/>
        <v>PO Issued</v>
      </c>
      <c r="BE263" s="2">
        <v>148</v>
      </c>
      <c r="BG263" s="2" t="e">
        <v>#N/A</v>
      </c>
    </row>
    <row r="264" spans="1:60" hidden="1" x14ac:dyDescent="0.25">
      <c r="B264" s="2" t="s">
        <v>1368</v>
      </c>
      <c r="C264" s="2" t="s">
        <v>1369</v>
      </c>
      <c r="D264" s="44" t="s">
        <v>1370</v>
      </c>
      <c r="E264" s="2" t="s">
        <v>11</v>
      </c>
      <c r="F264" s="2" t="s">
        <v>1371</v>
      </c>
      <c r="G264" s="2" t="s">
        <v>1</v>
      </c>
      <c r="H264" s="2" t="s">
        <v>165</v>
      </c>
      <c r="I264" s="2" t="s">
        <v>68</v>
      </c>
      <c r="J264" s="2" t="s">
        <v>69</v>
      </c>
      <c r="K264" s="2" t="s">
        <v>1372</v>
      </c>
      <c r="L264" s="2" t="s">
        <v>1373</v>
      </c>
      <c r="M264" s="2" t="s">
        <v>1374</v>
      </c>
      <c r="N264" s="2">
        <v>8.0357140000000005</v>
      </c>
      <c r="O264" s="2">
        <v>124.2957655</v>
      </c>
      <c r="P264" s="2" t="s">
        <v>87</v>
      </c>
      <c r="Q264" s="2" t="s">
        <v>314</v>
      </c>
      <c r="R264" s="29" t="e">
        <f>IF(INDEX(#REF!,MATCH('data '!$B264,#REF!,0),MATCH('data '!R$3,#REF!,0))=0,"",INDEX(#REF!,MATCH('data '!$B264,#REF!,0),MATCH('data '!R$3,#REF!,0)))</f>
        <v>#REF!</v>
      </c>
      <c r="S264" s="29" t="e">
        <f>IF(INDEX(#REF!,MATCH('data '!$B264,#REF!,0),MATCH('data '!S$3,#REF!,0))=0,"",INDEX(#REF!,MATCH('data '!$B264,#REF!,0),MATCH('data '!S$3,#REF!,0)))</f>
        <v>#REF!</v>
      </c>
      <c r="T264" s="29" t="e">
        <f>IF(INDEX(#REF!,MATCH('data '!$B264,#REF!,0),MATCH('data '!T$3,#REF!,0))=0,"",INDEX(#REF!,MATCH('data '!$B264,#REF!,0),MATCH('data '!T$3,#REF!,0)))</f>
        <v>#REF!</v>
      </c>
      <c r="U264" s="8" t="s">
        <v>25</v>
      </c>
      <c r="V264" s="25" t="s">
        <v>160</v>
      </c>
      <c r="W264" s="25" t="s">
        <v>144</v>
      </c>
      <c r="X264" s="43" t="s">
        <v>25</v>
      </c>
      <c r="Y264" s="43">
        <v>45878</v>
      </c>
      <c r="AC264" s="8" t="e">
        <f>VLOOKUP(B264,#REF!,19,0)</f>
        <v>#REF!</v>
      </c>
      <c r="AE264" s="8" t="s">
        <v>472</v>
      </c>
      <c r="AP264" s="8" t="str">
        <f t="shared" si="10"/>
        <v>BP Secured</v>
      </c>
      <c r="AQ264" s="10" t="b" cm="1">
        <f t="array" aca="1" ref="AQ264" ca="1">IF(AM264&gt;0,(TODAY()-AM264),IF(AL264&gt;0,(TODAY()-AL264),IF(AK264&gt;0,(TODAY()-AK264,IF(AI264&gt;0,(TODAY()-AI264),IF(AG264&gt;0,(TODAY()-AG264),IF(AF264&gt;0,(TODAY()-AF264),IF(X264&gt;0,(TODAY()-X264)," "))))))))</f>
        <v>0</v>
      </c>
      <c r="AT264" s="8">
        <v>45926</v>
      </c>
      <c r="AU264" s="8">
        <v>45932</v>
      </c>
      <c r="BD264" s="2" t="str">
        <f t="shared" si="11"/>
        <v>BoQ Approved</v>
      </c>
      <c r="BE264" s="2">
        <v>8</v>
      </c>
      <c r="BG264" s="2" t="e">
        <v>#N/A</v>
      </c>
    </row>
    <row r="265" spans="1:60" hidden="1" x14ac:dyDescent="0.25">
      <c r="B265" s="2" t="s">
        <v>1375</v>
      </c>
      <c r="C265" s="2" t="s">
        <v>1376</v>
      </c>
      <c r="D265" s="44" t="s">
        <v>1377</v>
      </c>
      <c r="E265" s="2" t="s">
        <v>11</v>
      </c>
      <c r="F265" s="2" t="s">
        <v>1268</v>
      </c>
      <c r="G265" s="2" t="s">
        <v>1</v>
      </c>
      <c r="H265" s="2" t="s">
        <v>165</v>
      </c>
      <c r="I265" s="2" t="s">
        <v>68</v>
      </c>
      <c r="J265" s="2" t="s">
        <v>173</v>
      </c>
      <c r="K265" s="2" t="s">
        <v>303</v>
      </c>
      <c r="L265" s="2" t="s">
        <v>1378</v>
      </c>
      <c r="M265" s="2">
        <v>0</v>
      </c>
      <c r="N265" s="2">
        <v>0</v>
      </c>
      <c r="O265" s="2">
        <v>0</v>
      </c>
      <c r="P265" s="2" t="s">
        <v>133</v>
      </c>
      <c r="Q265" s="2" t="s">
        <v>73</v>
      </c>
      <c r="R265" s="29" t="e">
        <f>IF(INDEX(#REF!,MATCH('data '!$B265,#REF!,0),MATCH('data '!R$3,#REF!,0))=0,"",INDEX(#REF!,MATCH('data '!$B265,#REF!,0),MATCH('data '!R$3,#REF!,0)))</f>
        <v>#REF!</v>
      </c>
      <c r="S265" s="29" t="e">
        <f>IF(INDEX(#REF!,MATCH('data '!$B265,#REF!,0),MATCH('data '!S$3,#REF!,0))=0,"",INDEX(#REF!,MATCH('data '!$B265,#REF!,0),MATCH('data '!S$3,#REF!,0)))</f>
        <v>#REF!</v>
      </c>
      <c r="T265" s="29" t="e">
        <f>IF(INDEX(#REF!,MATCH('data '!$B265,#REF!,0),MATCH('data '!T$3,#REF!,0))=0,"",INDEX(#REF!,MATCH('data '!$B265,#REF!,0),MATCH('data '!T$3,#REF!,0)))</f>
        <v>#REF!</v>
      </c>
      <c r="U265" s="8" t="s">
        <v>25</v>
      </c>
      <c r="V265" s="25" t="s">
        <v>87</v>
      </c>
      <c r="W265" s="25" t="s">
        <v>144</v>
      </c>
      <c r="X265" s="61"/>
      <c r="Y265" s="61"/>
      <c r="AC265" s="8" t="e">
        <f>VLOOKUP(B265,#REF!,19,0)</f>
        <v>#REF!</v>
      </c>
      <c r="AP265" s="8" t="str">
        <f t="shared" si="10"/>
        <v>Not yet endorsed</v>
      </c>
      <c r="AQ265" s="10" t="b" cm="1">
        <f t="array" aca="1" ref="AQ265" ca="1">IF(AM265&gt;0,(TODAY()-AM265),IF(AL265&gt;0,(TODAY()-AL265),IF(AK265&gt;0,(TODAY()-AK265,IF(AI265&gt;0,(TODAY()-AI265),IF(AG265&gt;0,(TODAY()-AG265),IF(AF265&gt;0,(TODAY()-AF265),IF(X265&gt;0,(TODAY()-X265)," "))))))))</f>
        <v>0</v>
      </c>
      <c r="BD265" s="2" t="str">
        <f t="shared" si="11"/>
        <v>TSSR Approved</v>
      </c>
      <c r="BE265" s="2" t="e">
        <v>#VALUE!</v>
      </c>
      <c r="BG265" s="2" t="e">
        <v>#N/A</v>
      </c>
    </row>
    <row r="266" spans="1:60" hidden="1" x14ac:dyDescent="0.25">
      <c r="B266" s="2" t="s">
        <v>1379</v>
      </c>
      <c r="C266" s="2" t="s">
        <v>1380</v>
      </c>
      <c r="D266" s="44" t="s">
        <v>1381</v>
      </c>
      <c r="E266" s="2" t="s">
        <v>11</v>
      </c>
      <c r="F266" s="2" t="s">
        <v>1268</v>
      </c>
      <c r="G266" s="2" t="s">
        <v>1</v>
      </c>
      <c r="H266" s="2" t="s">
        <v>165</v>
      </c>
      <c r="I266" s="2" t="s">
        <v>68</v>
      </c>
      <c r="J266" s="2" t="s">
        <v>173</v>
      </c>
      <c r="K266" s="2" t="s">
        <v>303</v>
      </c>
      <c r="L266" s="2" t="s">
        <v>1382</v>
      </c>
      <c r="M266" s="2">
        <v>0</v>
      </c>
      <c r="N266" s="2">
        <v>0</v>
      </c>
      <c r="O266" s="2">
        <v>0</v>
      </c>
      <c r="P266" s="2" t="s">
        <v>82</v>
      </c>
      <c r="Q266" s="2" t="s">
        <v>73</v>
      </c>
      <c r="R266" s="29" t="e">
        <f>IF(INDEX(#REF!,MATCH('data '!$B266,#REF!,0),MATCH('data '!R$3,#REF!,0))=0,"",INDEX(#REF!,MATCH('data '!$B266,#REF!,0),MATCH('data '!R$3,#REF!,0)))</f>
        <v>#REF!</v>
      </c>
      <c r="S266" s="29" t="e">
        <f>IF(INDEX(#REF!,MATCH('data '!$B266,#REF!,0),MATCH('data '!S$3,#REF!,0))=0,"",INDEX(#REF!,MATCH('data '!$B266,#REF!,0),MATCH('data '!S$3,#REF!,0)))</f>
        <v>#REF!</v>
      </c>
      <c r="T266" s="29" t="e">
        <f>IF(INDEX(#REF!,MATCH('data '!$B266,#REF!,0),MATCH('data '!T$3,#REF!,0))=0,"",INDEX(#REF!,MATCH('data '!$B266,#REF!,0),MATCH('data '!T$3,#REF!,0)))</f>
        <v>#REF!</v>
      </c>
      <c r="U266" s="8" t="s">
        <v>25</v>
      </c>
      <c r="V266" s="25" t="s">
        <v>82</v>
      </c>
      <c r="W266" s="25" t="s">
        <v>83</v>
      </c>
      <c r="AC266" s="8" t="e">
        <f>VLOOKUP(B266,#REF!,19,0)</f>
        <v>#REF!</v>
      </c>
      <c r="AP266" s="8" t="str">
        <f t="shared" si="10"/>
        <v>Not yet endorsed</v>
      </c>
      <c r="AQ266" s="10" t="b" cm="1">
        <f t="array" aca="1" ref="AQ266" ca="1">IF(AM266&gt;0,(TODAY()-AM266),IF(AL266&gt;0,(TODAY()-AL266),IF(AK266&gt;0,(TODAY()-AK266,IF(AI266&gt;0,(TODAY()-AI266),IF(AG266&gt;0,(TODAY()-AG266),IF(AF266&gt;0,(TODAY()-AF266),IF(X266&gt;0,(TODAY()-X266)," "))))))))</f>
        <v>0</v>
      </c>
      <c r="BD266" s="2" t="str">
        <f t="shared" si="11"/>
        <v>TSSR Approved</v>
      </c>
      <c r="BE266" s="2" t="e">
        <v>#VALUE!</v>
      </c>
      <c r="BG266" s="2" t="e">
        <v>#N/A</v>
      </c>
    </row>
    <row r="267" spans="1:60" hidden="1" x14ac:dyDescent="0.25">
      <c r="B267" s="2" t="s">
        <v>1383</v>
      </c>
      <c r="C267" s="2" t="s">
        <v>1384</v>
      </c>
      <c r="D267" s="44" t="s">
        <v>1385</v>
      </c>
      <c r="E267" s="2" t="s">
        <v>11</v>
      </c>
      <c r="F267" s="2" t="s">
        <v>597</v>
      </c>
      <c r="G267" s="2" t="s">
        <v>1</v>
      </c>
      <c r="H267" s="2" t="s">
        <v>165</v>
      </c>
      <c r="I267" s="2" t="s">
        <v>68</v>
      </c>
      <c r="J267" s="2" t="s">
        <v>239</v>
      </c>
      <c r="K267" s="2" t="s">
        <v>598</v>
      </c>
      <c r="L267" s="2" t="s">
        <v>599</v>
      </c>
      <c r="M267" s="2" t="s">
        <v>1386</v>
      </c>
      <c r="N267" s="2">
        <v>8.9594109999999993</v>
      </c>
      <c r="O267" s="2">
        <v>125.513069</v>
      </c>
      <c r="P267" s="2" t="s">
        <v>87</v>
      </c>
      <c r="Q267" s="2" t="s">
        <v>314</v>
      </c>
      <c r="R267" s="29" t="e">
        <f>IF(INDEX(#REF!,MATCH('data '!$B267,#REF!,0),MATCH('data '!R$3,#REF!,0))=0,"",INDEX(#REF!,MATCH('data '!$B267,#REF!,0),MATCH('data '!R$3,#REF!,0)))</f>
        <v>#REF!</v>
      </c>
      <c r="S267" s="29" t="e">
        <f>IF(INDEX(#REF!,MATCH('data '!$B267,#REF!,0),MATCH('data '!S$3,#REF!,0))=0,"",INDEX(#REF!,MATCH('data '!$B267,#REF!,0),MATCH('data '!S$3,#REF!,0)))</f>
        <v>#REF!</v>
      </c>
      <c r="T267" s="29" t="e">
        <f>IF(INDEX(#REF!,MATCH('data '!$B267,#REF!,0),MATCH('data '!T$3,#REF!,0))=0,"",INDEX(#REF!,MATCH('data '!$B267,#REF!,0),MATCH('data '!T$3,#REF!,0)))</f>
        <v>#REF!</v>
      </c>
      <c r="U267" s="8" t="s">
        <v>25</v>
      </c>
      <c r="V267" s="25" t="s">
        <v>560</v>
      </c>
      <c r="W267" s="25" t="s">
        <v>103</v>
      </c>
      <c r="X267" s="43" t="s">
        <v>25</v>
      </c>
      <c r="Y267" s="43">
        <v>45923</v>
      </c>
      <c r="AC267" s="8" t="e">
        <f>VLOOKUP(B267,#REF!,19,0)</f>
        <v>#REF!</v>
      </c>
      <c r="AP267" s="8" t="str">
        <f t="shared" si="10"/>
        <v>BP Secured</v>
      </c>
      <c r="AQ267" s="10" t="b" cm="1">
        <f t="array" aca="1" ref="AQ267" ca="1">IF(AM267&gt;0,(TODAY()-AM267),IF(AL267&gt;0,(TODAY()-AL267),IF(AK267&gt;0,(TODAY()-AK267,IF(AI267&gt;0,(TODAY()-AI267),IF(AG267&gt;0,(TODAY()-AG267),IF(AF267&gt;0,(TODAY()-AF267),IF(X267&gt;0,(TODAY()-X267)," "))))))))</f>
        <v>0</v>
      </c>
      <c r="BD267" s="2" t="str">
        <f t="shared" si="11"/>
        <v>BP Secured</v>
      </c>
      <c r="BE267" s="2" t="e">
        <v>#VALUE!</v>
      </c>
      <c r="BG267" s="2" t="e">
        <v>#N/A</v>
      </c>
    </row>
    <row r="268" spans="1:60" hidden="1" x14ac:dyDescent="0.25">
      <c r="B268" s="2" t="s">
        <v>1387</v>
      </c>
      <c r="C268" s="2" t="s">
        <v>1388</v>
      </c>
      <c r="D268" s="44" t="s">
        <v>1389</v>
      </c>
      <c r="E268" s="2" t="s">
        <v>11</v>
      </c>
      <c r="F268" s="2" t="s">
        <v>456</v>
      </c>
      <c r="G268" s="2" t="s">
        <v>1</v>
      </c>
      <c r="H268" s="2" t="s">
        <v>67</v>
      </c>
      <c r="I268" s="2" t="s">
        <v>68</v>
      </c>
      <c r="J268" s="2" t="s">
        <v>80</v>
      </c>
      <c r="K268" s="2" t="s">
        <v>692</v>
      </c>
      <c r="L268" s="2" t="s">
        <v>1390</v>
      </c>
      <c r="M268" s="2">
        <v>0</v>
      </c>
      <c r="N268" s="2">
        <v>7.5555000000000003</v>
      </c>
      <c r="O268" s="2">
        <v>125.72669999999999</v>
      </c>
      <c r="P268" s="2" t="s">
        <v>87</v>
      </c>
      <c r="Q268" s="2" t="s">
        <v>184</v>
      </c>
      <c r="R268" s="29" t="e">
        <f>IF(INDEX(#REF!,MATCH('data '!$B268,#REF!,0),MATCH('data '!R$3,#REF!,0))=0,"",INDEX(#REF!,MATCH('data '!$B268,#REF!,0),MATCH('data '!R$3,#REF!,0)))</f>
        <v>#REF!</v>
      </c>
      <c r="S268" s="29" t="e">
        <f>IF(INDEX(#REF!,MATCH('data '!$B268,#REF!,0),MATCH('data '!S$3,#REF!,0))=0,"",INDEX(#REF!,MATCH('data '!$B268,#REF!,0),MATCH('data '!S$3,#REF!,0)))</f>
        <v>#REF!</v>
      </c>
      <c r="T268" s="29" t="e">
        <f>IF(INDEX(#REF!,MATCH('data '!$B268,#REF!,0),MATCH('data '!T$3,#REF!,0))=0,"",INDEX(#REF!,MATCH('data '!$B268,#REF!,0),MATCH('data '!T$3,#REF!,0)))</f>
        <v>#REF!</v>
      </c>
      <c r="U268" s="8" t="s">
        <v>25</v>
      </c>
      <c r="V268" s="25" t="s">
        <v>266</v>
      </c>
      <c r="W268" s="25" t="s">
        <v>144</v>
      </c>
      <c r="X268" s="9" t="s">
        <v>25</v>
      </c>
      <c r="Y268" s="9">
        <v>45758</v>
      </c>
      <c r="Z268" s="8">
        <v>45752</v>
      </c>
      <c r="AA268" s="8">
        <v>45875</v>
      </c>
      <c r="AC268" s="8" t="e">
        <f>VLOOKUP(B268,#REF!,19,0)</f>
        <v>#REF!</v>
      </c>
      <c r="AE268" s="8" t="s">
        <v>460</v>
      </c>
      <c r="AP268" s="8" t="str">
        <f t="shared" si="10"/>
        <v>BP Secured</v>
      </c>
      <c r="AQ268" s="10" t="b" cm="1">
        <f t="array" aca="1" ref="AQ268" ca="1">IF(AM268&gt;0,(TODAY()-AM268),IF(AL268&gt;0,(TODAY()-AL268),IF(AK268&gt;0,(TODAY()-AK268,IF(AI268&gt;0,(TODAY()-AI268),IF(AG268&gt;0,(TODAY()-AG268),IF(AF268&gt;0,(TODAY()-AF268),IF(X268&gt;0,(TODAY()-X268)," "))))))))</f>
        <v>0</v>
      </c>
      <c r="AT268" s="8" t="s">
        <v>155</v>
      </c>
      <c r="AU268" s="8">
        <v>45790</v>
      </c>
      <c r="AV268" s="8">
        <v>45789</v>
      </c>
      <c r="AX268" s="8">
        <v>45792</v>
      </c>
      <c r="BD268" s="2" t="str">
        <f t="shared" si="11"/>
        <v>PO Issued</v>
      </c>
      <c r="BE268" s="2">
        <v>148</v>
      </c>
      <c r="BG268" s="2" t="e">
        <v>#N/A</v>
      </c>
    </row>
    <row r="269" spans="1:60" hidden="1" x14ac:dyDescent="0.25">
      <c r="B269" s="2" t="s">
        <v>1391</v>
      </c>
      <c r="C269" s="2" t="s">
        <v>1392</v>
      </c>
      <c r="D269" s="44" t="s">
        <v>1393</v>
      </c>
      <c r="E269" s="2" t="s">
        <v>11</v>
      </c>
      <c r="F269" s="2" t="s">
        <v>869</v>
      </c>
      <c r="G269" s="2" t="s">
        <v>1</v>
      </c>
      <c r="H269" s="2" t="s">
        <v>165</v>
      </c>
      <c r="I269" s="2" t="s">
        <v>68</v>
      </c>
      <c r="J269" s="2" t="s">
        <v>181</v>
      </c>
      <c r="K269" s="2" t="s">
        <v>870</v>
      </c>
      <c r="L269" s="2" t="s">
        <v>871</v>
      </c>
      <c r="M269" s="2">
        <v>0</v>
      </c>
      <c r="N269" s="2">
        <v>7.7598091</v>
      </c>
      <c r="O269" s="2">
        <v>122.563697</v>
      </c>
      <c r="P269" s="2" t="s">
        <v>87</v>
      </c>
      <c r="Q269" s="2" t="s">
        <v>184</v>
      </c>
      <c r="R269" s="29" t="e">
        <f>IF(INDEX(#REF!,MATCH('data '!$B269,#REF!,0),MATCH('data '!R$3,#REF!,0))=0,"",INDEX(#REF!,MATCH('data '!$B269,#REF!,0),MATCH('data '!R$3,#REF!,0)))</f>
        <v>#REF!</v>
      </c>
      <c r="S269" s="29" t="e">
        <f>IF(INDEX(#REF!,MATCH('data '!$B269,#REF!,0),MATCH('data '!S$3,#REF!,0))=0,"",INDEX(#REF!,MATCH('data '!$B269,#REF!,0),MATCH('data '!S$3,#REF!,0)))</f>
        <v>#REF!</v>
      </c>
      <c r="T269" s="29" t="e">
        <f>IF(INDEX(#REF!,MATCH('data '!$B269,#REF!,0),MATCH('data '!T$3,#REF!,0))=0,"",INDEX(#REF!,MATCH('data '!$B269,#REF!,0),MATCH('data '!T$3,#REF!,0)))</f>
        <v>#REF!</v>
      </c>
      <c r="U269" s="8" t="s">
        <v>25</v>
      </c>
      <c r="V269" s="25" t="s">
        <v>185</v>
      </c>
      <c r="W269" s="25" t="s">
        <v>144</v>
      </c>
      <c r="X269" s="43" t="s">
        <v>25</v>
      </c>
      <c r="Y269" s="43">
        <v>45848</v>
      </c>
      <c r="AC269" s="8" t="e">
        <f>VLOOKUP(B269,#REF!,19,0)</f>
        <v>#REF!</v>
      </c>
      <c r="AE269" s="8" t="s">
        <v>307</v>
      </c>
      <c r="AP269" s="8" t="str">
        <f t="shared" si="10"/>
        <v>BP Secured</v>
      </c>
      <c r="AQ269" s="10" t="b" cm="1">
        <f t="array" aca="1" ref="AQ269" ca="1">IF(AM269&gt;0,(TODAY()-AM269),IF(AL269&gt;0,(TODAY()-AL269),IF(AK269&gt;0,(TODAY()-AK269,IF(AI269&gt;0,(TODAY()-AI269),IF(AG269&gt;0,(TODAY()-AG269),IF(AF269&gt;0,(TODAY()-AF269),IF(X269&gt;0,(TODAY()-X269)," "))))))))</f>
        <v>0</v>
      </c>
      <c r="AT269" s="8" t="s">
        <v>155</v>
      </c>
      <c r="AU269" s="8">
        <v>45897</v>
      </c>
      <c r="AV269" s="8">
        <v>45899</v>
      </c>
      <c r="AX269" s="8">
        <v>45902</v>
      </c>
      <c r="BD269" s="2" t="str">
        <f t="shared" si="11"/>
        <v>PO Issued</v>
      </c>
      <c r="BE269" s="2">
        <v>38</v>
      </c>
      <c r="BG269" s="2" t="e">
        <v>#N/A</v>
      </c>
    </row>
    <row r="270" spans="1:60" hidden="1" x14ac:dyDescent="0.25">
      <c r="B270" s="2" t="s">
        <v>1394</v>
      </c>
      <c r="C270" s="2" t="s">
        <v>1395</v>
      </c>
      <c r="D270" s="44" t="s">
        <v>1396</v>
      </c>
      <c r="E270" s="2" t="s">
        <v>11</v>
      </c>
      <c r="F270" s="2" t="s">
        <v>696</v>
      </c>
      <c r="G270" s="2" t="s">
        <v>1</v>
      </c>
      <c r="H270" s="2" t="s">
        <v>165</v>
      </c>
      <c r="I270" s="2" t="s">
        <v>68</v>
      </c>
      <c r="J270" s="2" t="s">
        <v>181</v>
      </c>
      <c r="K270" s="2" t="s">
        <v>697</v>
      </c>
      <c r="L270" s="2" t="s">
        <v>1161</v>
      </c>
      <c r="M270" s="2">
        <v>0</v>
      </c>
      <c r="N270" s="2">
        <v>8.5454838879999997</v>
      </c>
      <c r="O270" s="2">
        <v>123.3613122</v>
      </c>
      <c r="P270" s="2" t="s">
        <v>87</v>
      </c>
      <c r="Q270" s="2" t="s">
        <v>227</v>
      </c>
      <c r="R270" s="29" t="e">
        <f>IF(INDEX(#REF!,MATCH('data '!$B270,#REF!,0),MATCH('data '!R$3,#REF!,0))=0,"",INDEX(#REF!,MATCH('data '!$B270,#REF!,0),MATCH('data '!R$3,#REF!,0)))</f>
        <v>#REF!</v>
      </c>
      <c r="S270" s="29" t="e">
        <f>IF(INDEX(#REF!,MATCH('data '!$B270,#REF!,0),MATCH('data '!S$3,#REF!,0))=0,"",INDEX(#REF!,MATCH('data '!$B270,#REF!,0),MATCH('data '!S$3,#REF!,0)))</f>
        <v>#REF!</v>
      </c>
      <c r="T270" s="29" t="e">
        <f>IF(INDEX(#REF!,MATCH('data '!$B270,#REF!,0),MATCH('data '!T$3,#REF!,0))=0,"",INDEX(#REF!,MATCH('data '!$B270,#REF!,0),MATCH('data '!T$3,#REF!,0)))</f>
        <v>#REF!</v>
      </c>
      <c r="U270" s="8" t="s">
        <v>25</v>
      </c>
      <c r="V270" s="25" t="s">
        <v>351</v>
      </c>
      <c r="W270" s="25" t="s">
        <v>144</v>
      </c>
      <c r="X270" s="43" t="s">
        <v>25</v>
      </c>
      <c r="Y270" s="43">
        <v>45911</v>
      </c>
      <c r="AC270" s="8" t="e">
        <f>VLOOKUP(B270,#REF!,19,0)</f>
        <v>#REF!</v>
      </c>
      <c r="AP270" s="8" t="str">
        <f t="shared" si="10"/>
        <v>BP Secured</v>
      </c>
      <c r="AQ270" s="10" t="b" cm="1">
        <f t="array" aca="1" ref="AQ270" ca="1">IF(AM270&gt;0,(TODAY()-AM270),IF(AL270&gt;0,(TODAY()-AL270),IF(AK270&gt;0,(TODAY()-AK270,IF(AI270&gt;0,(TODAY()-AI270),IF(AG270&gt;0,(TODAY()-AG270),IF(AF270&gt;0,(TODAY()-AF270),IF(X270&gt;0,(TODAY()-X270)," "))))))))</f>
        <v>0</v>
      </c>
      <c r="BD270" s="2" t="str">
        <f t="shared" si="11"/>
        <v>BP Secured</v>
      </c>
      <c r="BE270" s="2" t="e">
        <v>#VALUE!</v>
      </c>
      <c r="BG270" s="2" t="e">
        <v>#N/A</v>
      </c>
    </row>
    <row r="271" spans="1:60" hidden="1" x14ac:dyDescent="0.25">
      <c r="B271" s="2" t="s">
        <v>1397</v>
      </c>
      <c r="C271" s="2" t="s">
        <v>1398</v>
      </c>
      <c r="D271" s="44" t="s">
        <v>1399</v>
      </c>
      <c r="E271" s="2" t="s">
        <v>11</v>
      </c>
      <c r="F271" s="2" t="s">
        <v>1260</v>
      </c>
      <c r="G271" s="2" t="s">
        <v>1</v>
      </c>
      <c r="H271" s="2" t="s">
        <v>165</v>
      </c>
      <c r="I271" s="2" t="s">
        <v>68</v>
      </c>
      <c r="J271" s="2" t="s">
        <v>181</v>
      </c>
      <c r="K271" s="2" t="s">
        <v>182</v>
      </c>
      <c r="L271" s="2" t="s">
        <v>1400</v>
      </c>
      <c r="M271" s="2">
        <v>0</v>
      </c>
      <c r="N271" s="2">
        <v>7.8524585399999998</v>
      </c>
      <c r="O271" s="2">
        <v>123.55942930000001</v>
      </c>
      <c r="P271" s="2" t="s">
        <v>87</v>
      </c>
      <c r="Q271" s="2" t="s">
        <v>198</v>
      </c>
      <c r="R271" s="29" t="e">
        <f>IF(INDEX(#REF!,MATCH('data '!$B271,#REF!,0),MATCH('data '!R$3,#REF!,0))=0,"",INDEX(#REF!,MATCH('data '!$B271,#REF!,0),MATCH('data '!R$3,#REF!,0)))</f>
        <v>#REF!</v>
      </c>
      <c r="S271" s="29" t="e">
        <f>IF(INDEX(#REF!,MATCH('data '!$B271,#REF!,0),MATCH('data '!S$3,#REF!,0))=0,"",INDEX(#REF!,MATCH('data '!$B271,#REF!,0),MATCH('data '!S$3,#REF!,0)))</f>
        <v>#REF!</v>
      </c>
      <c r="T271" s="29" t="e">
        <f>IF(INDEX(#REF!,MATCH('data '!$B271,#REF!,0),MATCH('data '!T$3,#REF!,0))=0,"",INDEX(#REF!,MATCH('data '!$B271,#REF!,0),MATCH('data '!T$3,#REF!,0)))</f>
        <v>#REF!</v>
      </c>
      <c r="U271" s="8" t="s">
        <v>25</v>
      </c>
      <c r="V271" s="25" t="s">
        <v>351</v>
      </c>
      <c r="W271" s="25" t="s">
        <v>144</v>
      </c>
      <c r="X271" s="43" t="s">
        <v>25</v>
      </c>
      <c r="Y271" s="43">
        <v>45843</v>
      </c>
      <c r="AC271" s="8" t="e">
        <f>VLOOKUP(B271,#REF!,19,0)</f>
        <v>#REF!</v>
      </c>
      <c r="AP271" s="8" t="str">
        <f t="shared" si="10"/>
        <v>BP Secured</v>
      </c>
      <c r="AQ271" s="10" t="b" cm="1">
        <f t="array" aca="1" ref="AQ271" ca="1">IF(AM271&gt;0,(TODAY()-AM271),IF(AL271&gt;0,(TODAY()-AL271),IF(AK271&gt;0,(TODAY()-AK271,IF(AI271&gt;0,(TODAY()-AI271),IF(AG271&gt;0,(TODAY()-AG271),IF(AF271&gt;0,(TODAY()-AF271),IF(X271&gt;0,(TODAY()-X271)," "))))))))</f>
        <v>0</v>
      </c>
      <c r="BD271" s="2" t="str">
        <f t="shared" si="11"/>
        <v>BP Secured</v>
      </c>
      <c r="BE271" s="2" t="e">
        <v>#VALUE!</v>
      </c>
      <c r="BG271" s="2" t="e">
        <v>#N/A</v>
      </c>
    </row>
    <row r="272" spans="1:60" hidden="1" x14ac:dyDescent="0.25">
      <c r="B272" s="2" t="s">
        <v>1401</v>
      </c>
      <c r="C272" s="2" t="s">
        <v>1402</v>
      </c>
      <c r="D272" s="44" t="s">
        <v>1403</v>
      </c>
      <c r="E272" s="2" t="s">
        <v>11</v>
      </c>
      <c r="F272" s="2" t="s">
        <v>869</v>
      </c>
      <c r="G272" s="2" t="s">
        <v>1</v>
      </c>
      <c r="H272" s="2" t="s">
        <v>165</v>
      </c>
      <c r="I272" s="2" t="s">
        <v>68</v>
      </c>
      <c r="J272" s="2" t="s">
        <v>181</v>
      </c>
      <c r="K272" s="2" t="s">
        <v>870</v>
      </c>
      <c r="L272" s="2" t="s">
        <v>1404</v>
      </c>
      <c r="M272" s="2">
        <v>0</v>
      </c>
      <c r="N272" s="2">
        <v>7.6718000000000002</v>
      </c>
      <c r="O272" s="2">
        <v>123.00620000000001</v>
      </c>
      <c r="P272" s="2" t="s">
        <v>87</v>
      </c>
      <c r="Q272" s="2" t="s">
        <v>265</v>
      </c>
      <c r="R272" s="29" t="e">
        <f>IF(INDEX(#REF!,MATCH('data '!$B272,#REF!,0),MATCH('data '!R$3,#REF!,0))=0,"",INDEX(#REF!,MATCH('data '!$B272,#REF!,0),MATCH('data '!R$3,#REF!,0)))</f>
        <v>#REF!</v>
      </c>
      <c r="S272" s="29" t="e">
        <f>IF(INDEX(#REF!,MATCH('data '!$B272,#REF!,0),MATCH('data '!S$3,#REF!,0))=0,"",INDEX(#REF!,MATCH('data '!$B272,#REF!,0),MATCH('data '!S$3,#REF!,0)))</f>
        <v>#REF!</v>
      </c>
      <c r="T272" s="29" t="e">
        <f>IF(INDEX(#REF!,MATCH('data '!$B272,#REF!,0),MATCH('data '!T$3,#REF!,0))=0,"",INDEX(#REF!,MATCH('data '!$B272,#REF!,0),MATCH('data '!T$3,#REF!,0)))</f>
        <v>#REF!</v>
      </c>
      <c r="U272" s="8" t="s">
        <v>25</v>
      </c>
      <c r="V272" s="25" t="s">
        <v>266</v>
      </c>
      <c r="W272" s="25" t="s">
        <v>144</v>
      </c>
      <c r="X272" s="43" t="s">
        <v>25</v>
      </c>
      <c r="Y272" s="43">
        <v>45819</v>
      </c>
      <c r="Z272" s="8">
        <v>45723</v>
      </c>
      <c r="AC272" s="8" t="e">
        <f>VLOOKUP(B272,#REF!,19,0)</f>
        <v>#REF!</v>
      </c>
      <c r="AP272" s="8" t="str">
        <f t="shared" si="10"/>
        <v>BP Secured</v>
      </c>
      <c r="AQ272" s="10" t="b" cm="1">
        <f t="array" aca="1" ref="AQ272" ca="1">IF(AM272&gt;0,(TODAY()-AM272),IF(AL272&gt;0,(TODAY()-AL272),IF(AK272&gt;0,(TODAY()-AK272,IF(AI272&gt;0,(TODAY()-AI272),IF(AG272&gt;0,(TODAY()-AG272),IF(AF272&gt;0,(TODAY()-AF272),IF(X272&gt;0,(TODAY()-X272)," "))))))))</f>
        <v>0</v>
      </c>
      <c r="BD272" s="2" t="str">
        <f t="shared" si="11"/>
        <v>BP Secured</v>
      </c>
      <c r="BE272" s="2" t="e">
        <v>#VALUE!</v>
      </c>
      <c r="BG272" s="2" t="e">
        <v>#N/A</v>
      </c>
    </row>
    <row r="273" spans="2:59" hidden="1" x14ac:dyDescent="0.25">
      <c r="B273" s="2" t="s">
        <v>1405</v>
      </c>
      <c r="C273" s="2" t="s">
        <v>1406</v>
      </c>
      <c r="D273" s="44" t="s">
        <v>1407</v>
      </c>
      <c r="E273" s="2" t="s">
        <v>11</v>
      </c>
      <c r="F273" s="2" t="s">
        <v>850</v>
      </c>
      <c r="G273" s="2" t="s">
        <v>1</v>
      </c>
      <c r="H273" s="2" t="s">
        <v>165</v>
      </c>
      <c r="I273" s="2" t="s">
        <v>68</v>
      </c>
      <c r="J273" s="2" t="s">
        <v>173</v>
      </c>
      <c r="K273" s="2" t="s">
        <v>592</v>
      </c>
      <c r="L273" s="2" t="s">
        <v>1408</v>
      </c>
      <c r="M273" s="2">
        <v>0</v>
      </c>
      <c r="N273" s="2">
        <v>0</v>
      </c>
      <c r="O273" s="2">
        <v>0</v>
      </c>
      <c r="P273" s="2" t="s">
        <v>82</v>
      </c>
      <c r="Q273" s="2" t="s">
        <v>73</v>
      </c>
      <c r="R273" s="29" t="e">
        <f>IF(INDEX(#REF!,MATCH('data '!$B273,#REF!,0),MATCH('data '!R$3,#REF!,0))=0,"",INDEX(#REF!,MATCH('data '!$B273,#REF!,0),MATCH('data '!R$3,#REF!,0)))</f>
        <v>#REF!</v>
      </c>
      <c r="S273" s="29" t="e">
        <f>IF(INDEX(#REF!,MATCH('data '!$B273,#REF!,0),MATCH('data '!S$3,#REF!,0))=0,"",INDEX(#REF!,MATCH('data '!$B273,#REF!,0),MATCH('data '!S$3,#REF!,0)))</f>
        <v>#REF!</v>
      </c>
      <c r="T273" s="29" t="e">
        <f>IF(INDEX(#REF!,MATCH('data '!$B273,#REF!,0),MATCH('data '!T$3,#REF!,0))=0,"",INDEX(#REF!,MATCH('data '!$B273,#REF!,0),MATCH('data '!T$3,#REF!,0)))</f>
        <v>#REF!</v>
      </c>
      <c r="U273" s="8" t="s">
        <v>25</v>
      </c>
      <c r="V273" s="25" t="s">
        <v>168</v>
      </c>
      <c r="W273" s="25" t="s">
        <v>176</v>
      </c>
      <c r="AC273" s="8" t="e">
        <f>VLOOKUP(B273,#REF!,19,0)</f>
        <v>#REF!</v>
      </c>
      <c r="AP273" s="8" t="str">
        <f t="shared" si="10"/>
        <v>Not yet endorsed</v>
      </c>
      <c r="AQ273" s="10" t="b" cm="1">
        <f t="array" aca="1" ref="AQ273" ca="1">IF(AM273&gt;0,(TODAY()-AM273),IF(AL273&gt;0,(TODAY()-AL273),IF(AK273&gt;0,(TODAY()-AK273,IF(AI273&gt;0,(TODAY()-AI273),IF(AG273&gt;0,(TODAY()-AG273),IF(AF273&gt;0,(TODAY()-AF273),IF(X273&gt;0,(TODAY()-X273)," "))))))))</f>
        <v>0</v>
      </c>
      <c r="BD273" s="2" t="str">
        <f t="shared" si="11"/>
        <v>TSSR Approved</v>
      </c>
      <c r="BE273" s="2" t="e">
        <v>#VALUE!</v>
      </c>
      <c r="BG273" s="2" t="e">
        <v>#N/A</v>
      </c>
    </row>
    <row r="274" spans="2:59" hidden="1" x14ac:dyDescent="0.25">
      <c r="B274" s="2" t="s">
        <v>1409</v>
      </c>
      <c r="C274" s="2" t="s">
        <v>1410</v>
      </c>
      <c r="D274" s="44" t="s">
        <v>1411</v>
      </c>
      <c r="E274" s="2" t="s">
        <v>11</v>
      </c>
      <c r="F274" s="2" t="s">
        <v>1371</v>
      </c>
      <c r="G274" s="2" t="s">
        <v>1</v>
      </c>
      <c r="H274" s="2" t="s">
        <v>165</v>
      </c>
      <c r="I274" s="2" t="s">
        <v>68</v>
      </c>
      <c r="J274" s="2" t="s">
        <v>173</v>
      </c>
      <c r="K274" s="2" t="s">
        <v>592</v>
      </c>
      <c r="L274" s="2" t="s">
        <v>1412</v>
      </c>
      <c r="M274" s="2" t="s">
        <v>1413</v>
      </c>
      <c r="N274" s="2">
        <v>8.5343</v>
      </c>
      <c r="O274" s="2">
        <v>124.7942</v>
      </c>
      <c r="P274" s="2" t="s">
        <v>87</v>
      </c>
      <c r="Q274" s="2" t="s">
        <v>265</v>
      </c>
      <c r="R274" s="29" t="e">
        <f>IF(INDEX(#REF!,MATCH('data '!$B274,#REF!,0),MATCH('data '!R$3,#REF!,0))=0,"",INDEX(#REF!,MATCH('data '!$B274,#REF!,0),MATCH('data '!R$3,#REF!,0)))</f>
        <v>#REF!</v>
      </c>
      <c r="S274" s="29" t="e">
        <f>IF(INDEX(#REF!,MATCH('data '!$B274,#REF!,0),MATCH('data '!S$3,#REF!,0))=0,"",INDEX(#REF!,MATCH('data '!$B274,#REF!,0),MATCH('data '!S$3,#REF!,0)))</f>
        <v>#REF!</v>
      </c>
      <c r="T274" s="29" t="e">
        <f>IF(INDEX(#REF!,MATCH('data '!$B274,#REF!,0),MATCH('data '!T$3,#REF!,0))=0,"",INDEX(#REF!,MATCH('data '!$B274,#REF!,0),MATCH('data '!T$3,#REF!,0)))</f>
        <v>#REF!</v>
      </c>
      <c r="U274" s="8" t="s">
        <v>25</v>
      </c>
      <c r="V274" s="25" t="s">
        <v>266</v>
      </c>
      <c r="W274" s="25" t="s">
        <v>144</v>
      </c>
      <c r="X274" s="43" t="s">
        <v>25</v>
      </c>
      <c r="Y274" s="43">
        <v>45855</v>
      </c>
      <c r="AA274" s="8" t="s">
        <v>1414</v>
      </c>
      <c r="AC274" s="8" t="e">
        <f>VLOOKUP(B274,#REF!,19,0)</f>
        <v>#REF!</v>
      </c>
      <c r="AE274" s="8" t="s">
        <v>472</v>
      </c>
      <c r="AP274" s="8" t="str">
        <f t="shared" si="10"/>
        <v>BP Secured</v>
      </c>
      <c r="AQ274" s="10" t="b" cm="1">
        <f t="array" aca="1" ref="AQ274" ca="1">IF(AM274&gt;0,(TODAY()-AM274),IF(AL274&gt;0,(TODAY()-AL274),IF(AK274&gt;0,(TODAY()-AK274,IF(AI274&gt;0,(TODAY()-AI274),IF(AG274&gt;0,(TODAY()-AG274),IF(AF274&gt;0,(TODAY()-AF274),IF(X274&gt;0,(TODAY()-X274)," "))))))))</f>
        <v>0</v>
      </c>
      <c r="AT274" s="8" t="s">
        <v>155</v>
      </c>
      <c r="AU274" s="8">
        <v>45883</v>
      </c>
      <c r="AV274" s="8">
        <v>45884</v>
      </c>
      <c r="AX274" s="8">
        <v>45887</v>
      </c>
      <c r="BD274" s="2" t="str">
        <f t="shared" si="11"/>
        <v>PO Issued</v>
      </c>
      <c r="BE274" s="2">
        <v>53</v>
      </c>
      <c r="BG274" s="2" t="e">
        <v>#N/A</v>
      </c>
    </row>
    <row r="275" spans="2:59" hidden="1" x14ac:dyDescent="0.25">
      <c r="B275" s="2" t="s">
        <v>1415</v>
      </c>
      <c r="C275" s="2" t="s">
        <v>1416</v>
      </c>
      <c r="D275" s="44" t="s">
        <v>1417</v>
      </c>
      <c r="E275" s="2" t="s">
        <v>11</v>
      </c>
      <c r="F275" s="2" t="s">
        <v>591</v>
      </c>
      <c r="G275" s="2" t="s">
        <v>1</v>
      </c>
      <c r="H275" s="2" t="s">
        <v>165</v>
      </c>
      <c r="I275" s="2" t="s">
        <v>68</v>
      </c>
      <c r="J275" s="2" t="s">
        <v>173</v>
      </c>
      <c r="K275" s="2" t="s">
        <v>592</v>
      </c>
      <c r="L275" s="2" t="s">
        <v>593</v>
      </c>
      <c r="M275" s="2">
        <v>0</v>
      </c>
      <c r="N275" s="2">
        <v>0</v>
      </c>
      <c r="O275" s="2">
        <v>0</v>
      </c>
      <c r="P275" s="2" t="s">
        <v>133</v>
      </c>
      <c r="Q275" s="2" t="s">
        <v>73</v>
      </c>
      <c r="R275" s="29" t="e">
        <f>IF(INDEX(#REF!,MATCH('data '!$B275,#REF!,0),MATCH('data '!R$3,#REF!,0))=0,"",INDEX(#REF!,MATCH('data '!$B275,#REF!,0),MATCH('data '!R$3,#REF!,0)))</f>
        <v>#REF!</v>
      </c>
      <c r="S275" s="29" t="e">
        <f>IF(INDEX(#REF!,MATCH('data '!$B275,#REF!,0),MATCH('data '!S$3,#REF!,0))=0,"",INDEX(#REF!,MATCH('data '!$B275,#REF!,0),MATCH('data '!S$3,#REF!,0)))</f>
        <v>#REF!</v>
      </c>
      <c r="T275" s="29" t="e">
        <f>IF(INDEX(#REF!,MATCH('data '!$B275,#REF!,0),MATCH('data '!T$3,#REF!,0))=0,"",INDEX(#REF!,MATCH('data '!$B275,#REF!,0),MATCH('data '!T$3,#REF!,0)))</f>
        <v>#REF!</v>
      </c>
      <c r="U275" s="8" t="s">
        <v>25</v>
      </c>
      <c r="V275" s="25" t="s">
        <v>74</v>
      </c>
      <c r="W275" s="25">
        <v>0</v>
      </c>
      <c r="AC275" s="8" t="e">
        <f>VLOOKUP(B275,#REF!,19,0)</f>
        <v>#REF!</v>
      </c>
      <c r="AP275" s="8" t="str">
        <f t="shared" si="10"/>
        <v>Not yet endorsed</v>
      </c>
      <c r="AQ275" s="10" t="b" cm="1">
        <f t="array" aca="1" ref="AQ275" ca="1">IF(AM275&gt;0,(TODAY()-AM275),IF(AL275&gt;0,(TODAY()-AL275),IF(AK275&gt;0,(TODAY()-AK275,IF(AI275&gt;0,(TODAY()-AI275),IF(AG275&gt;0,(TODAY()-AG275),IF(AF275&gt;0,(TODAY()-AF275),IF(X275&gt;0,(TODAY()-X275)," "))))))))</f>
        <v>0</v>
      </c>
      <c r="BD275" s="2" t="str">
        <f t="shared" si="11"/>
        <v>TSSR Approved</v>
      </c>
      <c r="BE275" s="2" t="e">
        <v>#VALUE!</v>
      </c>
      <c r="BG275" s="2" t="e">
        <v>#N/A</v>
      </c>
    </row>
    <row r="276" spans="2:59" hidden="1" x14ac:dyDescent="0.25">
      <c r="B276" s="2" t="s">
        <v>1418</v>
      </c>
      <c r="C276" s="2" t="s">
        <v>1419</v>
      </c>
      <c r="D276" s="44" t="s">
        <v>1420</v>
      </c>
      <c r="E276" s="2" t="s">
        <v>11</v>
      </c>
      <c r="F276" s="2">
        <v>0</v>
      </c>
      <c r="G276" s="2" t="s">
        <v>1</v>
      </c>
      <c r="H276" s="2" t="s">
        <v>67</v>
      </c>
      <c r="I276" s="2" t="s">
        <v>68</v>
      </c>
      <c r="J276" s="2" t="s">
        <v>330</v>
      </c>
      <c r="K276" s="2" t="s">
        <v>338</v>
      </c>
      <c r="L276" s="2">
        <v>0</v>
      </c>
      <c r="M276" s="2">
        <v>0</v>
      </c>
      <c r="N276" s="2">
        <v>0</v>
      </c>
      <c r="O276" s="2">
        <v>0</v>
      </c>
      <c r="P276" s="2" t="s">
        <v>482</v>
      </c>
      <c r="Q276" s="2">
        <v>0</v>
      </c>
      <c r="R276" s="29" t="e">
        <f>IF(INDEX(#REF!,MATCH('data '!$B276,#REF!,0),MATCH('data '!R$3,#REF!,0))=0,"",INDEX(#REF!,MATCH('data '!$B276,#REF!,0),MATCH('data '!R$3,#REF!,0)))</f>
        <v>#REF!</v>
      </c>
      <c r="S276" s="29" t="e">
        <f>IF(INDEX(#REF!,MATCH('data '!$B276,#REF!,0),MATCH('data '!S$3,#REF!,0))=0,"",INDEX(#REF!,MATCH('data '!$B276,#REF!,0),MATCH('data '!S$3,#REF!,0)))</f>
        <v>#REF!</v>
      </c>
      <c r="T276" s="29" t="e">
        <f>IF(INDEX(#REF!,MATCH('data '!$B276,#REF!,0),MATCH('data '!T$3,#REF!,0))=0,"",INDEX(#REF!,MATCH('data '!$B276,#REF!,0),MATCH('data '!T$3,#REF!,0)))</f>
        <v>#REF!</v>
      </c>
      <c r="V276" s="25" t="s">
        <v>74</v>
      </c>
      <c r="W276" s="25">
        <v>0</v>
      </c>
      <c r="AC276" s="8" t="e">
        <f>VLOOKUP(B276,#REF!,19,0)</f>
        <v>#REF!</v>
      </c>
      <c r="AP276" s="8" t="str">
        <f t="shared" si="10"/>
        <v>Not yet endorsed</v>
      </c>
      <c r="AQ276" s="10" t="b" cm="1">
        <f t="array" aca="1" ref="AQ276" ca="1">IF(AM276&gt;0,(TODAY()-AM276),IF(AL276&gt;0,(TODAY()-AL276),IF(AK276&gt;0,(TODAY()-AK276,IF(AI276&gt;0,(TODAY()-AI276),IF(AG276&gt;0,(TODAY()-AG276),IF(AF276&gt;0,(TODAY()-AF276),IF(X276&gt;0,(TODAY()-X276)," "))))))))</f>
        <v>0</v>
      </c>
      <c r="BD276" s="2" t="str">
        <f t="shared" si="11"/>
        <v>Not yet endorsed</v>
      </c>
      <c r="BE276" s="2" t="s">
        <v>75</v>
      </c>
      <c r="BG276" s="2" t="e">
        <v>#N/A</v>
      </c>
    </row>
    <row r="277" spans="2:59" hidden="1" x14ac:dyDescent="0.25">
      <c r="B277" s="2" t="s">
        <v>1421</v>
      </c>
      <c r="C277" s="2" t="s">
        <v>1422</v>
      </c>
      <c r="D277" s="44" t="s">
        <v>1423</v>
      </c>
      <c r="E277" s="2" t="s">
        <v>11</v>
      </c>
      <c r="F277" s="2" t="s">
        <v>591</v>
      </c>
      <c r="G277" s="2" t="s">
        <v>1</v>
      </c>
      <c r="H277" s="2" t="s">
        <v>165</v>
      </c>
      <c r="I277" s="2" t="s">
        <v>68</v>
      </c>
      <c r="J277" s="2" t="s">
        <v>173</v>
      </c>
      <c r="K277" s="2" t="s">
        <v>592</v>
      </c>
      <c r="L277" s="2" t="s">
        <v>823</v>
      </c>
      <c r="M277" s="2">
        <v>0</v>
      </c>
      <c r="N277" s="2">
        <v>0</v>
      </c>
      <c r="O277" s="2">
        <v>0</v>
      </c>
      <c r="P277" s="2" t="s">
        <v>88</v>
      </c>
      <c r="Q277" s="2" t="s">
        <v>73</v>
      </c>
      <c r="R277" s="29" t="e">
        <f>IF(INDEX(#REF!,MATCH('data '!$B277,#REF!,0),MATCH('data '!R$3,#REF!,0))=0,"",INDEX(#REF!,MATCH('data '!$B277,#REF!,0),MATCH('data '!R$3,#REF!,0)))</f>
        <v>#REF!</v>
      </c>
      <c r="S277" s="29" t="e">
        <f>IF(INDEX(#REF!,MATCH('data '!$B277,#REF!,0),MATCH('data '!S$3,#REF!,0))=0,"",INDEX(#REF!,MATCH('data '!$B277,#REF!,0),MATCH('data '!S$3,#REF!,0)))</f>
        <v>#REF!</v>
      </c>
      <c r="T277" s="29" t="e">
        <f>IF(INDEX(#REF!,MATCH('data '!$B277,#REF!,0),MATCH('data '!T$3,#REF!,0))=0,"",INDEX(#REF!,MATCH('data '!$B277,#REF!,0),MATCH('data '!T$3,#REF!,0)))</f>
        <v>#REF!</v>
      </c>
      <c r="U277" s="8" t="s">
        <v>25</v>
      </c>
      <c r="V277" s="25" t="s">
        <v>160</v>
      </c>
      <c r="W277" s="25" t="s">
        <v>144</v>
      </c>
      <c r="X277" s="61"/>
      <c r="Y277" s="61"/>
      <c r="AC277" s="8" t="e">
        <f>VLOOKUP(B277,#REF!,19,0)</f>
        <v>#REF!</v>
      </c>
      <c r="AP277" s="8" t="str">
        <f t="shared" si="10"/>
        <v>Not yet endorsed</v>
      </c>
      <c r="AQ277" s="10" t="b" cm="1">
        <f t="array" aca="1" ref="AQ277" ca="1">IF(AM277&gt;0,(TODAY()-AM277),IF(AL277&gt;0,(TODAY()-AL277),IF(AK277&gt;0,(TODAY()-AK277,IF(AI277&gt;0,(TODAY()-AI277),IF(AG277&gt;0,(TODAY()-AG277),IF(AF277&gt;0,(TODAY()-AF277),IF(X277&gt;0,(TODAY()-X277)," "))))))))</f>
        <v>0</v>
      </c>
      <c r="BD277" s="2" t="str">
        <f t="shared" si="11"/>
        <v>TSSR Approved</v>
      </c>
      <c r="BE277" s="2" t="e">
        <v>#VALUE!</v>
      </c>
      <c r="BG277" s="2" t="e">
        <v>#N/A</v>
      </c>
    </row>
    <row r="278" spans="2:59" hidden="1" x14ac:dyDescent="0.25">
      <c r="B278" s="2" t="s">
        <v>1424</v>
      </c>
      <c r="C278" s="2" t="s">
        <v>1425</v>
      </c>
      <c r="D278" s="44" t="s">
        <v>1426</v>
      </c>
      <c r="E278" s="2" t="s">
        <v>11</v>
      </c>
      <c r="F278" s="2" t="s">
        <v>850</v>
      </c>
      <c r="G278" s="2" t="s">
        <v>1</v>
      </c>
      <c r="H278" s="2" t="s">
        <v>165</v>
      </c>
      <c r="I278" s="2" t="s">
        <v>68</v>
      </c>
      <c r="J278" s="2" t="s">
        <v>173</v>
      </c>
      <c r="K278" s="2" t="s">
        <v>592</v>
      </c>
      <c r="L278" s="2" t="s">
        <v>888</v>
      </c>
      <c r="M278" s="2">
        <v>0</v>
      </c>
      <c r="N278" s="2">
        <v>0</v>
      </c>
      <c r="O278" s="2">
        <v>0</v>
      </c>
      <c r="P278" s="2" t="s">
        <v>133</v>
      </c>
      <c r="Q278" s="2" t="s">
        <v>73</v>
      </c>
      <c r="R278" s="29" t="e">
        <f>IF(INDEX(#REF!,MATCH('data '!$B278,#REF!,0),MATCH('data '!R$3,#REF!,0))=0,"",INDEX(#REF!,MATCH('data '!$B278,#REF!,0),MATCH('data '!R$3,#REF!,0)))</f>
        <v>#REF!</v>
      </c>
      <c r="S278" s="29" t="e">
        <f>IF(INDEX(#REF!,MATCH('data '!$B278,#REF!,0),MATCH('data '!S$3,#REF!,0))=0,"",INDEX(#REF!,MATCH('data '!$B278,#REF!,0),MATCH('data '!S$3,#REF!,0)))</f>
        <v>#REF!</v>
      </c>
      <c r="T278" s="29" t="e">
        <f>IF(INDEX(#REF!,MATCH('data '!$B278,#REF!,0),MATCH('data '!T$3,#REF!,0))=0,"",INDEX(#REF!,MATCH('data '!$B278,#REF!,0),MATCH('data '!T$3,#REF!,0)))</f>
        <v>#REF!</v>
      </c>
      <c r="U278" s="8" t="s">
        <v>25</v>
      </c>
      <c r="V278" s="25" t="s">
        <v>160</v>
      </c>
      <c r="W278" s="25" t="s">
        <v>144</v>
      </c>
      <c r="X278" s="61"/>
      <c r="Y278" s="61"/>
      <c r="AC278" s="8" t="e">
        <f>VLOOKUP(B278,#REF!,19,0)</f>
        <v>#REF!</v>
      </c>
      <c r="AP278" s="8" t="str">
        <f t="shared" si="10"/>
        <v>Not yet endorsed</v>
      </c>
      <c r="AQ278" s="10" t="b" cm="1">
        <f t="array" aca="1" ref="AQ278" ca="1">IF(AM278&gt;0,(TODAY()-AM278),IF(AL278&gt;0,(TODAY()-AL278),IF(AK278&gt;0,(TODAY()-AK278,IF(AI278&gt;0,(TODAY()-AI278),IF(AG278&gt;0,(TODAY()-AG278),IF(AF278&gt;0,(TODAY()-AF278),IF(X278&gt;0,(TODAY()-X278)," "))))))))</f>
        <v>0</v>
      </c>
      <c r="BD278" s="2" t="str">
        <f t="shared" si="11"/>
        <v>TSSR Approved</v>
      </c>
      <c r="BE278" s="2" t="e">
        <v>#VALUE!</v>
      </c>
      <c r="BG278" s="2" t="e">
        <v>#N/A</v>
      </c>
    </row>
    <row r="279" spans="2:59" hidden="1" x14ac:dyDescent="0.25">
      <c r="B279" s="2" t="s">
        <v>1427</v>
      </c>
      <c r="C279" s="2" t="s">
        <v>1428</v>
      </c>
      <c r="D279" s="44" t="s">
        <v>1429</v>
      </c>
      <c r="E279" s="2" t="s">
        <v>11</v>
      </c>
      <c r="F279" s="2" t="s">
        <v>591</v>
      </c>
      <c r="G279" s="2" t="s">
        <v>1</v>
      </c>
      <c r="H279" s="2" t="s">
        <v>165</v>
      </c>
      <c r="I279" s="2" t="s">
        <v>68</v>
      </c>
      <c r="J279" s="2" t="s">
        <v>173</v>
      </c>
      <c r="K279" s="2" t="s">
        <v>592</v>
      </c>
      <c r="L279" s="2" t="s">
        <v>1430</v>
      </c>
      <c r="M279" s="2" t="s">
        <v>1166</v>
      </c>
      <c r="N279" s="2">
        <v>8.3885140000000007</v>
      </c>
      <c r="O279" s="2">
        <v>124.29871</v>
      </c>
      <c r="P279" s="2" t="s">
        <v>87</v>
      </c>
      <c r="Q279" s="2" t="s">
        <v>265</v>
      </c>
      <c r="R279" s="29" t="e">
        <f>IF(INDEX(#REF!,MATCH('data '!$B279,#REF!,0),MATCH('data '!R$3,#REF!,0))=0,"",INDEX(#REF!,MATCH('data '!$B279,#REF!,0),MATCH('data '!R$3,#REF!,0)))</f>
        <v>#REF!</v>
      </c>
      <c r="S279" s="29" t="e">
        <f>IF(INDEX(#REF!,MATCH('data '!$B279,#REF!,0),MATCH('data '!S$3,#REF!,0))=0,"",INDEX(#REF!,MATCH('data '!$B279,#REF!,0),MATCH('data '!S$3,#REF!,0)))</f>
        <v>#REF!</v>
      </c>
      <c r="T279" s="29" t="e">
        <f>IF(INDEX(#REF!,MATCH('data '!$B279,#REF!,0),MATCH('data '!T$3,#REF!,0))=0,"",INDEX(#REF!,MATCH('data '!$B279,#REF!,0),MATCH('data '!T$3,#REF!,0)))</f>
        <v>#REF!</v>
      </c>
      <c r="U279" s="8" t="s">
        <v>25</v>
      </c>
      <c r="V279" s="25" t="s">
        <v>266</v>
      </c>
      <c r="W279" s="25" t="s">
        <v>144</v>
      </c>
      <c r="X279" s="9" t="s">
        <v>25</v>
      </c>
      <c r="Y279" s="9">
        <v>45798</v>
      </c>
      <c r="AA279" s="8" t="s">
        <v>1431</v>
      </c>
      <c r="AC279" s="8" t="e">
        <f>VLOOKUP(B279,#REF!,19,0)</f>
        <v>#REF!</v>
      </c>
      <c r="AE279" s="8" t="s">
        <v>472</v>
      </c>
      <c r="AP279" s="8" t="str">
        <f t="shared" si="10"/>
        <v>BP Secured</v>
      </c>
      <c r="AQ279" s="10" t="b" cm="1">
        <f t="array" aca="1" ref="AQ279" ca="1">IF(AM279&gt;0,(TODAY()-AM279),IF(AL279&gt;0,(TODAY()-AL279),IF(AK279&gt;0,(TODAY()-AK279,IF(AI279&gt;0,(TODAY()-AI279),IF(AG279&gt;0,(TODAY()-AG279),IF(AF279&gt;0,(TODAY()-AF279),IF(X279&gt;0,(TODAY()-X279)," "))))))))</f>
        <v>0</v>
      </c>
      <c r="AT279" s="8" t="s">
        <v>155</v>
      </c>
      <c r="AU279" s="8">
        <v>45868</v>
      </c>
      <c r="AV279" s="8">
        <v>45867</v>
      </c>
      <c r="AX279" s="8">
        <v>45870</v>
      </c>
      <c r="BD279" s="2" t="str">
        <f t="shared" si="11"/>
        <v>PO Issued</v>
      </c>
      <c r="BE279" s="2">
        <v>70</v>
      </c>
      <c r="BG279" s="2" t="e">
        <v>#N/A</v>
      </c>
    </row>
    <row r="280" spans="2:59" hidden="1" x14ac:dyDescent="0.25">
      <c r="B280" s="2" t="s">
        <v>1432</v>
      </c>
      <c r="C280" s="2" t="s">
        <v>1433</v>
      </c>
      <c r="D280" s="44" t="s">
        <v>1434</v>
      </c>
      <c r="E280" s="2" t="s">
        <v>11</v>
      </c>
      <c r="F280" s="2">
        <v>0</v>
      </c>
      <c r="G280" s="2" t="s">
        <v>1</v>
      </c>
      <c r="H280" s="2" t="s">
        <v>67</v>
      </c>
      <c r="I280" s="2" t="s">
        <v>68</v>
      </c>
      <c r="J280" s="2" t="s">
        <v>80</v>
      </c>
      <c r="K280" s="2" t="s">
        <v>81</v>
      </c>
      <c r="L280" s="2">
        <v>0</v>
      </c>
      <c r="M280" s="2">
        <v>0</v>
      </c>
      <c r="N280" s="2">
        <v>0</v>
      </c>
      <c r="O280" s="2">
        <v>0</v>
      </c>
      <c r="P280" s="2" t="s">
        <v>133</v>
      </c>
      <c r="Q280" s="2">
        <v>0</v>
      </c>
      <c r="R280" s="29" t="e">
        <f>IF(INDEX(#REF!,MATCH('data '!$B280,#REF!,0),MATCH('data '!R$3,#REF!,0))=0,"",INDEX(#REF!,MATCH('data '!$B280,#REF!,0),MATCH('data '!R$3,#REF!,0)))</f>
        <v>#REF!</v>
      </c>
      <c r="S280" s="29" t="e">
        <f>IF(INDEX(#REF!,MATCH('data '!$B280,#REF!,0),MATCH('data '!S$3,#REF!,0))=0,"",INDEX(#REF!,MATCH('data '!$B280,#REF!,0),MATCH('data '!S$3,#REF!,0)))</f>
        <v>#REF!</v>
      </c>
      <c r="T280" s="29" t="e">
        <f>IF(INDEX(#REF!,MATCH('data '!$B280,#REF!,0),MATCH('data '!T$3,#REF!,0))=0,"",INDEX(#REF!,MATCH('data '!$B280,#REF!,0),MATCH('data '!T$3,#REF!,0)))</f>
        <v>#REF!</v>
      </c>
      <c r="V280" s="25" t="s">
        <v>102</v>
      </c>
      <c r="W280" s="25" t="s">
        <v>103</v>
      </c>
      <c r="X280" s="61"/>
      <c r="Y280" s="61"/>
      <c r="AC280" s="8" t="e">
        <f>VLOOKUP(B280,#REF!,19,0)</f>
        <v>#REF!</v>
      </c>
      <c r="AP280" s="8" t="str">
        <f t="shared" si="10"/>
        <v>Not yet endorsed</v>
      </c>
      <c r="AQ280" s="10" t="b" cm="1">
        <f t="array" aca="1" ref="AQ280" ca="1">IF(AM280&gt;0,(TODAY()-AM280),IF(AL280&gt;0,(TODAY()-AL280),IF(AK280&gt;0,(TODAY()-AK280,IF(AI280&gt;0,(TODAY()-AI280),IF(AG280&gt;0,(TODAY()-AG280),IF(AF280&gt;0,(TODAY()-AF280),IF(X280&gt;0,(TODAY()-X280)," "))))))))</f>
        <v>0</v>
      </c>
      <c r="BD280" s="2" t="str">
        <f t="shared" si="11"/>
        <v>Not yet endorsed</v>
      </c>
      <c r="BE280" s="2" t="s">
        <v>75</v>
      </c>
      <c r="BG280" s="2" t="e">
        <v>#N/A</v>
      </c>
    </row>
    <row r="281" spans="2:59" hidden="1" x14ac:dyDescent="0.25">
      <c r="B281" s="2" t="s">
        <v>1435</v>
      </c>
      <c r="C281" s="2" t="s">
        <v>1436</v>
      </c>
      <c r="D281" s="44" t="s">
        <v>1437</v>
      </c>
      <c r="E281" s="2" t="s">
        <v>11</v>
      </c>
      <c r="F281" s="2" t="s">
        <v>591</v>
      </c>
      <c r="G281" s="2" t="s">
        <v>1</v>
      </c>
      <c r="H281" s="2" t="s">
        <v>165</v>
      </c>
      <c r="I281" s="2" t="s">
        <v>68</v>
      </c>
      <c r="J281" s="2" t="s">
        <v>173</v>
      </c>
      <c r="K281" s="2" t="s">
        <v>592</v>
      </c>
      <c r="L281" s="2" t="s">
        <v>1438</v>
      </c>
      <c r="M281" s="2" t="s">
        <v>1439</v>
      </c>
      <c r="N281" s="2">
        <v>8.5764739999999993</v>
      </c>
      <c r="O281" s="2">
        <v>124.372187</v>
      </c>
      <c r="P281" s="2" t="s">
        <v>87</v>
      </c>
      <c r="Q281" s="2" t="s">
        <v>314</v>
      </c>
      <c r="R281" s="29" t="e">
        <f>IF(INDEX(#REF!,MATCH('data '!$B281,#REF!,0),MATCH('data '!R$3,#REF!,0))=0,"",INDEX(#REF!,MATCH('data '!$B281,#REF!,0),MATCH('data '!R$3,#REF!,0)))</f>
        <v>#REF!</v>
      </c>
      <c r="S281" s="29" t="e">
        <f>IF(INDEX(#REF!,MATCH('data '!$B281,#REF!,0),MATCH('data '!S$3,#REF!,0))=0,"",INDEX(#REF!,MATCH('data '!$B281,#REF!,0),MATCH('data '!S$3,#REF!,0)))</f>
        <v>#REF!</v>
      </c>
      <c r="T281" s="29" t="e">
        <f>IF(INDEX(#REF!,MATCH('data '!$B281,#REF!,0),MATCH('data '!T$3,#REF!,0))=0,"",INDEX(#REF!,MATCH('data '!$B281,#REF!,0),MATCH('data '!T$3,#REF!,0)))</f>
        <v>#REF!</v>
      </c>
      <c r="U281" s="8" t="s">
        <v>25</v>
      </c>
      <c r="V281" s="25" t="s">
        <v>160</v>
      </c>
      <c r="W281" s="25" t="s">
        <v>144</v>
      </c>
      <c r="X281" s="43" t="s">
        <v>25</v>
      </c>
      <c r="Y281" s="43">
        <v>45923</v>
      </c>
      <c r="AC281" s="8" t="e">
        <f>VLOOKUP(B281,#REF!,19,0)</f>
        <v>#REF!</v>
      </c>
      <c r="AP281" s="8" t="str">
        <f t="shared" si="10"/>
        <v>BP Secured</v>
      </c>
      <c r="AQ281" s="10" t="b" cm="1">
        <f t="array" aca="1" ref="AQ281" ca="1">IF(AM281&gt;0,(TODAY()-AM281),IF(AL281&gt;0,(TODAY()-AL281),IF(AK281&gt;0,(TODAY()-AK281,IF(AI281&gt;0,(TODAY()-AI281),IF(AG281&gt;0,(TODAY()-AG281),IF(AF281&gt;0,(TODAY()-AF281),IF(X281&gt;0,(TODAY()-X281)," "))))))))</f>
        <v>0</v>
      </c>
      <c r="BD281" s="2" t="str">
        <f t="shared" si="11"/>
        <v>BP Secured</v>
      </c>
      <c r="BE281" s="2" t="e">
        <v>#VALUE!</v>
      </c>
      <c r="BG281" s="2" t="e">
        <v>#N/A</v>
      </c>
    </row>
    <row r="282" spans="2:59" hidden="1" x14ac:dyDescent="0.25">
      <c r="B282" s="2" t="s">
        <v>1440</v>
      </c>
      <c r="C282" s="2" t="s">
        <v>1441</v>
      </c>
      <c r="D282" s="44" t="s">
        <v>1442</v>
      </c>
      <c r="E282" s="2" t="s">
        <v>11</v>
      </c>
      <c r="F282" s="2" t="s">
        <v>850</v>
      </c>
      <c r="G282" s="2" t="s">
        <v>1</v>
      </c>
      <c r="H282" s="2" t="s">
        <v>165</v>
      </c>
      <c r="I282" s="2" t="s">
        <v>68</v>
      </c>
      <c r="J282" s="2" t="s">
        <v>173</v>
      </c>
      <c r="K282" s="2" t="s">
        <v>592</v>
      </c>
      <c r="L282" s="2" t="s">
        <v>1443</v>
      </c>
      <c r="M282" s="2">
        <v>0</v>
      </c>
      <c r="N282" s="2">
        <v>8.907394</v>
      </c>
      <c r="O282" s="2">
        <v>125.012687</v>
      </c>
      <c r="P282" s="2" t="s">
        <v>87</v>
      </c>
      <c r="Q282" s="2" t="s">
        <v>184</v>
      </c>
      <c r="R282" s="29" t="e">
        <f>IF(INDEX(#REF!,MATCH('data '!$B282,#REF!,0),MATCH('data '!R$3,#REF!,0))=0,"",INDEX(#REF!,MATCH('data '!$B282,#REF!,0),MATCH('data '!R$3,#REF!,0)))</f>
        <v>#REF!</v>
      </c>
      <c r="S282" s="29" t="e">
        <f>IF(INDEX(#REF!,MATCH('data '!$B282,#REF!,0),MATCH('data '!S$3,#REF!,0))=0,"",INDEX(#REF!,MATCH('data '!$B282,#REF!,0),MATCH('data '!S$3,#REF!,0)))</f>
        <v>#REF!</v>
      </c>
      <c r="T282" s="29" t="e">
        <f>IF(INDEX(#REF!,MATCH('data '!$B282,#REF!,0),MATCH('data '!T$3,#REF!,0))=0,"",INDEX(#REF!,MATCH('data '!$B282,#REF!,0),MATCH('data '!T$3,#REF!,0)))</f>
        <v>#REF!</v>
      </c>
      <c r="U282" s="8" t="s">
        <v>25</v>
      </c>
      <c r="V282" s="25" t="s">
        <v>266</v>
      </c>
      <c r="W282" s="25" t="s">
        <v>144</v>
      </c>
      <c r="X282" s="9" t="s">
        <v>25</v>
      </c>
      <c r="Y282" s="9">
        <v>45777</v>
      </c>
      <c r="AA282" s="8">
        <v>45664</v>
      </c>
      <c r="AC282" s="8" t="e">
        <f>VLOOKUP(B282,#REF!,19,0)</f>
        <v>#REF!</v>
      </c>
      <c r="AE282" s="8" t="s">
        <v>1444</v>
      </c>
      <c r="AP282" s="8" t="str">
        <f t="shared" si="10"/>
        <v>BP Secured</v>
      </c>
      <c r="AQ282" s="10" t="b" cm="1">
        <f t="array" aca="1" ref="AQ282" ca="1">IF(AM282&gt;0,(TODAY()-AM282),IF(AL282&gt;0,(TODAY()-AL282),IF(AK282&gt;0,(TODAY()-AK282,IF(AI282&gt;0,(TODAY()-AI282),IF(AG282&gt;0,(TODAY()-AG282),IF(AF282&gt;0,(TODAY()-AF282),IF(X282&gt;0,(TODAY()-X282)," "))))))))</f>
        <v>0</v>
      </c>
      <c r="AT282" s="8" t="s">
        <v>155</v>
      </c>
      <c r="AU282" s="8">
        <v>45842</v>
      </c>
      <c r="AV282" s="8">
        <v>45842</v>
      </c>
      <c r="AX282" s="8">
        <v>45845</v>
      </c>
      <c r="BD282" s="2" t="str">
        <f t="shared" si="11"/>
        <v>PO Issued</v>
      </c>
      <c r="BE282" s="2">
        <v>95</v>
      </c>
      <c r="BG282" s="2" t="e">
        <v>#N/A</v>
      </c>
    </row>
    <row r="283" spans="2:59" hidden="1" x14ac:dyDescent="0.25">
      <c r="B283" s="2" t="s">
        <v>1445</v>
      </c>
      <c r="C283" s="2" t="s">
        <v>1446</v>
      </c>
      <c r="D283" s="44" t="s">
        <v>1447</v>
      </c>
      <c r="E283" s="2" t="s">
        <v>11</v>
      </c>
      <c r="F283" s="2" t="s">
        <v>591</v>
      </c>
      <c r="G283" s="2" t="s">
        <v>1</v>
      </c>
      <c r="H283" s="2" t="s">
        <v>165</v>
      </c>
      <c r="I283" s="2" t="s">
        <v>68</v>
      </c>
      <c r="J283" s="2" t="s">
        <v>173</v>
      </c>
      <c r="K283" s="2" t="s">
        <v>592</v>
      </c>
      <c r="L283" s="2" t="s">
        <v>1448</v>
      </c>
      <c r="M283" s="2" t="s">
        <v>639</v>
      </c>
      <c r="N283" s="2">
        <v>8.5873100000000004</v>
      </c>
      <c r="O283" s="2">
        <v>124.47659</v>
      </c>
      <c r="P283" s="2" t="s">
        <v>87</v>
      </c>
      <c r="Q283" s="2" t="s">
        <v>184</v>
      </c>
      <c r="R283" s="29" t="e">
        <f>IF(INDEX(#REF!,MATCH('data '!$B283,#REF!,0),MATCH('data '!R$3,#REF!,0))=0,"",INDEX(#REF!,MATCH('data '!$B283,#REF!,0),MATCH('data '!R$3,#REF!,0)))</f>
        <v>#REF!</v>
      </c>
      <c r="S283" s="29" t="e">
        <f>IF(INDEX(#REF!,MATCH('data '!$B283,#REF!,0),MATCH('data '!S$3,#REF!,0))=0,"",INDEX(#REF!,MATCH('data '!$B283,#REF!,0),MATCH('data '!S$3,#REF!,0)))</f>
        <v>#REF!</v>
      </c>
      <c r="T283" s="29" t="e">
        <f>IF(INDEX(#REF!,MATCH('data '!$B283,#REF!,0),MATCH('data '!T$3,#REF!,0))=0,"",INDEX(#REF!,MATCH('data '!$B283,#REF!,0),MATCH('data '!T$3,#REF!,0)))</f>
        <v>#REF!</v>
      </c>
      <c r="U283" s="8" t="s">
        <v>25</v>
      </c>
      <c r="V283" s="25" t="s">
        <v>266</v>
      </c>
      <c r="W283" s="25" t="s">
        <v>144</v>
      </c>
      <c r="X283" s="43" t="s">
        <v>25</v>
      </c>
      <c r="Y283" s="43">
        <v>45852</v>
      </c>
      <c r="AA283" s="8">
        <v>46000</v>
      </c>
      <c r="AC283" s="8" t="e">
        <f>VLOOKUP(B283,#REF!,19,0)</f>
        <v>#REF!</v>
      </c>
      <c r="AE283" s="8" t="s">
        <v>472</v>
      </c>
      <c r="AP283" s="8" t="str">
        <f t="shared" si="10"/>
        <v>BP Secured</v>
      </c>
      <c r="AQ283" s="10" t="b" cm="1">
        <f t="array" aca="1" ref="AQ283" ca="1">IF(AM283&gt;0,(TODAY()-AM283),IF(AL283&gt;0,(TODAY()-AL283),IF(AK283&gt;0,(TODAY()-AK283,IF(AI283&gt;0,(TODAY()-AI283),IF(AG283&gt;0,(TODAY()-AG283),IF(AF283&gt;0,(TODAY()-AF283),IF(X283&gt;0,(TODAY()-X283)," "))))))))</f>
        <v>0</v>
      </c>
      <c r="AT283" s="8">
        <v>45926</v>
      </c>
      <c r="AU283" s="8">
        <v>45931</v>
      </c>
      <c r="BD283" s="2" t="str">
        <f t="shared" si="11"/>
        <v>BoQ Approved</v>
      </c>
      <c r="BE283" s="2">
        <v>9</v>
      </c>
      <c r="BG283" s="2" t="e">
        <v>#N/A</v>
      </c>
    </row>
    <row r="284" spans="2:59" hidden="1" x14ac:dyDescent="0.25">
      <c r="B284" s="2" t="s">
        <v>1449</v>
      </c>
      <c r="C284" s="2" t="s">
        <v>1450</v>
      </c>
      <c r="D284" s="44" t="s">
        <v>1451</v>
      </c>
      <c r="E284" s="2" t="s">
        <v>11</v>
      </c>
      <c r="F284" s="2">
        <v>0</v>
      </c>
      <c r="G284" s="2" t="s">
        <v>1</v>
      </c>
      <c r="H284" s="2" t="s">
        <v>165</v>
      </c>
      <c r="I284" s="2" t="s">
        <v>68</v>
      </c>
      <c r="J284" s="2" t="s">
        <v>173</v>
      </c>
      <c r="K284" s="2" t="s">
        <v>592</v>
      </c>
      <c r="L284" s="2">
        <v>0</v>
      </c>
      <c r="M284" s="2">
        <v>0</v>
      </c>
      <c r="N284" s="2">
        <v>0</v>
      </c>
      <c r="O284" s="2">
        <v>0</v>
      </c>
      <c r="P284" s="2" t="s">
        <v>133</v>
      </c>
      <c r="Q284" s="2">
        <v>0</v>
      </c>
      <c r="R284" s="29" t="e">
        <f>IF(INDEX(#REF!,MATCH('data '!$B284,#REF!,0),MATCH('data '!R$3,#REF!,0))=0,"",INDEX(#REF!,MATCH('data '!$B284,#REF!,0),MATCH('data '!R$3,#REF!,0)))</f>
        <v>#REF!</v>
      </c>
      <c r="S284" s="29" t="e">
        <f>IF(INDEX(#REF!,MATCH('data '!$B284,#REF!,0),MATCH('data '!S$3,#REF!,0))=0,"",INDEX(#REF!,MATCH('data '!$B284,#REF!,0),MATCH('data '!S$3,#REF!,0)))</f>
        <v>#REF!</v>
      </c>
      <c r="T284" s="29" t="e">
        <f>IF(INDEX(#REF!,MATCH('data '!$B284,#REF!,0),MATCH('data '!T$3,#REF!,0))=0,"",INDEX(#REF!,MATCH('data '!$B284,#REF!,0),MATCH('data '!T$3,#REF!,0)))</f>
        <v>#REF!</v>
      </c>
      <c r="V284" s="25" t="s">
        <v>160</v>
      </c>
      <c r="W284" s="25" t="s">
        <v>144</v>
      </c>
      <c r="X284" s="61"/>
      <c r="Y284" s="61"/>
      <c r="AC284" s="8" t="e">
        <f>VLOOKUP(B284,#REF!,19,0)</f>
        <v>#REF!</v>
      </c>
      <c r="AP284" s="8" t="str">
        <f t="shared" si="10"/>
        <v>Not yet endorsed</v>
      </c>
      <c r="AQ284" s="10" t="b" cm="1">
        <f t="array" aca="1" ref="AQ284" ca="1">IF(AM284&gt;0,(TODAY()-AM284),IF(AL284&gt;0,(TODAY()-AL284),IF(AK284&gt;0,(TODAY()-AK284,IF(AI284&gt;0,(TODAY()-AI284),IF(AG284&gt;0,(TODAY()-AG284),IF(AF284&gt;0,(TODAY()-AF284),IF(X284&gt;0,(TODAY()-X284)," "))))))))</f>
        <v>0</v>
      </c>
      <c r="BD284" s="2" t="str">
        <f t="shared" si="11"/>
        <v>Not yet endorsed</v>
      </c>
      <c r="BE284" s="2" t="s">
        <v>75</v>
      </c>
      <c r="BG284" s="2" t="e">
        <v>#N/A</v>
      </c>
    </row>
    <row r="285" spans="2:59" hidden="1" x14ac:dyDescent="0.25">
      <c r="B285" s="2" t="s">
        <v>1452</v>
      </c>
      <c r="C285" s="2" t="s">
        <v>1453</v>
      </c>
      <c r="D285" s="44" t="s">
        <v>1454</v>
      </c>
      <c r="E285" s="2" t="s">
        <v>11</v>
      </c>
      <c r="F285" s="2" t="s">
        <v>591</v>
      </c>
      <c r="G285" s="2" t="s">
        <v>1</v>
      </c>
      <c r="H285" s="2" t="s">
        <v>165</v>
      </c>
      <c r="I285" s="2" t="s">
        <v>68</v>
      </c>
      <c r="J285" s="2" t="s">
        <v>173</v>
      </c>
      <c r="K285" s="2" t="s">
        <v>592</v>
      </c>
      <c r="L285" s="2" t="s">
        <v>1455</v>
      </c>
      <c r="M285" s="2" t="s">
        <v>333</v>
      </c>
      <c r="N285" s="2">
        <v>8.54983</v>
      </c>
      <c r="O285" s="2">
        <v>124.33969999999999</v>
      </c>
      <c r="P285" s="2" t="s">
        <v>87</v>
      </c>
      <c r="Q285" s="2" t="s">
        <v>314</v>
      </c>
      <c r="R285" s="29" t="e">
        <f>IF(INDEX(#REF!,MATCH('data '!$B285,#REF!,0),MATCH('data '!R$3,#REF!,0))=0,"",INDEX(#REF!,MATCH('data '!$B285,#REF!,0),MATCH('data '!R$3,#REF!,0)))</f>
        <v>#REF!</v>
      </c>
      <c r="S285" s="29" t="e">
        <f>IF(INDEX(#REF!,MATCH('data '!$B285,#REF!,0),MATCH('data '!S$3,#REF!,0))=0,"",INDEX(#REF!,MATCH('data '!$B285,#REF!,0),MATCH('data '!S$3,#REF!,0)))</f>
        <v>#REF!</v>
      </c>
      <c r="T285" s="29" t="e">
        <f>IF(INDEX(#REF!,MATCH('data '!$B285,#REF!,0),MATCH('data '!T$3,#REF!,0))=0,"",INDEX(#REF!,MATCH('data '!$B285,#REF!,0),MATCH('data '!T$3,#REF!,0)))</f>
        <v>#REF!</v>
      </c>
      <c r="U285" s="8" t="s">
        <v>25</v>
      </c>
      <c r="V285" s="25" t="s">
        <v>160</v>
      </c>
      <c r="W285" s="25" t="s">
        <v>144</v>
      </c>
      <c r="X285" s="43" t="s">
        <v>25</v>
      </c>
      <c r="Y285" s="43">
        <v>45826</v>
      </c>
      <c r="Z285" s="8">
        <v>45907</v>
      </c>
      <c r="AC285" s="8" t="e">
        <f>VLOOKUP(B285,#REF!,19,0)</f>
        <v>#REF!</v>
      </c>
      <c r="AE285" s="8" t="s">
        <v>472</v>
      </c>
      <c r="AP285" s="8" t="str">
        <f t="shared" si="10"/>
        <v>BP Secured</v>
      </c>
      <c r="AQ285" s="10" t="b" cm="1">
        <f t="array" aca="1" ref="AQ285" ca="1">IF(AM285&gt;0,(TODAY()-AM285),IF(AL285&gt;0,(TODAY()-AL285),IF(AK285&gt;0,(TODAY()-AK285,IF(AI285&gt;0,(TODAY()-AI285),IF(AG285&gt;0,(TODAY()-AG285),IF(AF285&gt;0,(TODAY()-AF285),IF(X285&gt;0,(TODAY()-X285)," "))))))))</f>
        <v>0</v>
      </c>
      <c r="AT285" s="8" t="s">
        <v>155</v>
      </c>
      <c r="AU285" s="8">
        <v>45898</v>
      </c>
      <c r="AV285" s="8">
        <v>45899</v>
      </c>
      <c r="AX285" s="8">
        <v>45902</v>
      </c>
      <c r="BD285" s="2" t="str">
        <f t="shared" si="11"/>
        <v>PO Issued</v>
      </c>
      <c r="BE285" s="2">
        <v>38</v>
      </c>
      <c r="BG285" s="2" t="e">
        <v>#N/A</v>
      </c>
    </row>
    <row r="286" spans="2:59" hidden="1" x14ac:dyDescent="0.25">
      <c r="B286" s="2" t="s">
        <v>1456</v>
      </c>
      <c r="C286" s="2" t="s">
        <v>1457</v>
      </c>
      <c r="D286" s="44" t="s">
        <v>1458</v>
      </c>
      <c r="E286" s="2" t="s">
        <v>11</v>
      </c>
      <c r="F286" s="2" t="s">
        <v>850</v>
      </c>
      <c r="G286" s="2" t="s">
        <v>1</v>
      </c>
      <c r="H286" s="2" t="s">
        <v>165</v>
      </c>
      <c r="I286" s="2" t="s">
        <v>68</v>
      </c>
      <c r="J286" s="2" t="s">
        <v>173</v>
      </c>
      <c r="K286" s="2" t="s">
        <v>592</v>
      </c>
      <c r="L286" s="2" t="s">
        <v>1459</v>
      </c>
      <c r="M286" s="2">
        <v>0</v>
      </c>
      <c r="N286" s="2">
        <v>8.6447900000000004</v>
      </c>
      <c r="O286" s="2">
        <v>124.84103</v>
      </c>
      <c r="P286" s="2" t="s">
        <v>87</v>
      </c>
      <c r="Q286" s="2" t="s">
        <v>219</v>
      </c>
      <c r="R286" s="29" t="e">
        <f>IF(INDEX(#REF!,MATCH('data '!$B286,#REF!,0),MATCH('data '!R$3,#REF!,0))=0,"",INDEX(#REF!,MATCH('data '!$B286,#REF!,0),MATCH('data '!R$3,#REF!,0)))</f>
        <v>#REF!</v>
      </c>
      <c r="S286" s="29" t="e">
        <f>IF(INDEX(#REF!,MATCH('data '!$B286,#REF!,0),MATCH('data '!S$3,#REF!,0))=0,"",INDEX(#REF!,MATCH('data '!$B286,#REF!,0),MATCH('data '!S$3,#REF!,0)))</f>
        <v>#REF!</v>
      </c>
      <c r="T286" s="29" t="e">
        <f>IF(INDEX(#REF!,MATCH('data '!$B286,#REF!,0),MATCH('data '!T$3,#REF!,0))=0,"",INDEX(#REF!,MATCH('data '!$B286,#REF!,0),MATCH('data '!T$3,#REF!,0)))</f>
        <v>#REF!</v>
      </c>
      <c r="U286" s="8" t="s">
        <v>25</v>
      </c>
      <c r="V286" s="25" t="s">
        <v>160</v>
      </c>
      <c r="W286" s="25" t="s">
        <v>144</v>
      </c>
      <c r="X286" s="43" t="s">
        <v>25</v>
      </c>
      <c r="Y286" s="43">
        <v>45878</v>
      </c>
      <c r="AC286" s="8" t="e">
        <f>VLOOKUP(B286,#REF!,19,0)</f>
        <v>#REF!</v>
      </c>
      <c r="AP286" s="8" t="str">
        <f t="shared" si="10"/>
        <v>BP Secured</v>
      </c>
      <c r="AQ286" s="10" t="b" cm="1">
        <f t="array" aca="1" ref="AQ286" ca="1">IF(AM286&gt;0,(TODAY()-AM286),IF(AL286&gt;0,(TODAY()-AL286),IF(AK286&gt;0,(TODAY()-AK286,IF(AI286&gt;0,(TODAY()-AI286),IF(AG286&gt;0,(TODAY()-AG286),IF(AF286&gt;0,(TODAY()-AF286),IF(X286&gt;0,(TODAY()-X286)," "))))))))</f>
        <v>0</v>
      </c>
      <c r="BD286" s="2" t="str">
        <f t="shared" si="11"/>
        <v>BP Secured</v>
      </c>
      <c r="BE286" s="2" t="e">
        <v>#VALUE!</v>
      </c>
      <c r="BG286" s="2" t="e">
        <v>#N/A</v>
      </c>
    </row>
    <row r="287" spans="2:59" hidden="1" x14ac:dyDescent="0.25">
      <c r="B287" s="2" t="s">
        <v>1460</v>
      </c>
      <c r="C287" s="2" t="s">
        <v>1461</v>
      </c>
      <c r="D287" s="44" t="s">
        <v>1462</v>
      </c>
      <c r="E287" s="2" t="s">
        <v>11</v>
      </c>
      <c r="F287" s="2" t="s">
        <v>591</v>
      </c>
      <c r="G287" s="2" t="s">
        <v>1</v>
      </c>
      <c r="H287" s="2" t="s">
        <v>165</v>
      </c>
      <c r="I287" s="2" t="s">
        <v>68</v>
      </c>
      <c r="J287" s="2" t="s">
        <v>173</v>
      </c>
      <c r="K287" s="2" t="s">
        <v>592</v>
      </c>
      <c r="L287" s="2" t="s">
        <v>1438</v>
      </c>
      <c r="M287" s="2">
        <v>0</v>
      </c>
      <c r="N287" s="2">
        <v>8.5883559999999992</v>
      </c>
      <c r="O287" s="2">
        <v>124.419122</v>
      </c>
      <c r="P287" s="2" t="s">
        <v>82</v>
      </c>
      <c r="Q287" s="2" t="s">
        <v>73</v>
      </c>
      <c r="R287" s="29" t="e">
        <f>IF(INDEX(#REF!,MATCH('data '!$B287,#REF!,0),MATCH('data '!R$3,#REF!,0))=0,"",INDEX(#REF!,MATCH('data '!$B287,#REF!,0),MATCH('data '!R$3,#REF!,0)))</f>
        <v>#REF!</v>
      </c>
      <c r="S287" s="29" t="e">
        <f>IF(INDEX(#REF!,MATCH('data '!$B287,#REF!,0),MATCH('data '!S$3,#REF!,0))=0,"",INDEX(#REF!,MATCH('data '!$B287,#REF!,0),MATCH('data '!S$3,#REF!,0)))</f>
        <v>#REF!</v>
      </c>
      <c r="T287" s="29" t="e">
        <f>IF(INDEX(#REF!,MATCH('data '!$B287,#REF!,0),MATCH('data '!T$3,#REF!,0))=0,"",INDEX(#REF!,MATCH('data '!$B287,#REF!,0),MATCH('data '!T$3,#REF!,0)))</f>
        <v>#REF!</v>
      </c>
      <c r="U287" s="8" t="s">
        <v>25</v>
      </c>
      <c r="V287" s="25" t="s">
        <v>82</v>
      </c>
      <c r="W287" s="25" t="s">
        <v>83</v>
      </c>
      <c r="AC287" s="8" t="e">
        <f>VLOOKUP(B287,#REF!,19,0)</f>
        <v>#REF!</v>
      </c>
      <c r="AP287" s="8" t="str">
        <f t="shared" si="10"/>
        <v>Not yet endorsed</v>
      </c>
      <c r="AQ287" s="10" t="b" cm="1">
        <f t="array" aca="1" ref="AQ287" ca="1">IF(AM287&gt;0,(TODAY()-AM287),IF(AL287&gt;0,(TODAY()-AL287),IF(AK287&gt;0,(TODAY()-AK287,IF(AI287&gt;0,(TODAY()-AI287),IF(AG287&gt;0,(TODAY()-AG287),IF(AF287&gt;0,(TODAY()-AF287),IF(X287&gt;0,(TODAY()-X287)," "))))))))</f>
        <v>0</v>
      </c>
      <c r="BD287" s="2" t="str">
        <f t="shared" si="11"/>
        <v>TSSR Approved</v>
      </c>
      <c r="BE287" s="2" t="e">
        <v>#VALUE!</v>
      </c>
      <c r="BG287" s="2" t="e">
        <v>#N/A</v>
      </c>
    </row>
    <row r="288" spans="2:59" hidden="1" x14ac:dyDescent="0.25">
      <c r="B288" s="2" t="s">
        <v>1463</v>
      </c>
      <c r="C288" s="2" t="s">
        <v>1464</v>
      </c>
      <c r="D288" s="44" t="s">
        <v>1465</v>
      </c>
      <c r="E288" s="2" t="s">
        <v>11</v>
      </c>
      <c r="F288" s="2" t="s">
        <v>591</v>
      </c>
      <c r="G288" s="2" t="s">
        <v>1</v>
      </c>
      <c r="H288" s="2" t="s">
        <v>165</v>
      </c>
      <c r="I288" s="2" t="s">
        <v>68</v>
      </c>
      <c r="J288" s="2" t="s">
        <v>173</v>
      </c>
      <c r="K288" s="2" t="s">
        <v>592</v>
      </c>
      <c r="L288" s="2" t="s">
        <v>593</v>
      </c>
      <c r="M288" s="2">
        <v>0</v>
      </c>
      <c r="N288" s="2">
        <v>8.3961020000000008</v>
      </c>
      <c r="O288" s="2">
        <v>124.604461</v>
      </c>
      <c r="P288" s="2" t="s">
        <v>87</v>
      </c>
      <c r="Q288" s="2" t="s">
        <v>265</v>
      </c>
      <c r="R288" s="29" t="e">
        <f>IF(INDEX(#REF!,MATCH('data '!$B288,#REF!,0),MATCH('data '!R$3,#REF!,0))=0,"",INDEX(#REF!,MATCH('data '!$B288,#REF!,0),MATCH('data '!R$3,#REF!,0)))</f>
        <v>#REF!</v>
      </c>
      <c r="S288" s="29" t="e">
        <f>IF(INDEX(#REF!,MATCH('data '!$B288,#REF!,0),MATCH('data '!S$3,#REF!,0))=0,"",INDEX(#REF!,MATCH('data '!$B288,#REF!,0),MATCH('data '!S$3,#REF!,0)))</f>
        <v>#REF!</v>
      </c>
      <c r="T288" s="29" t="e">
        <f>IF(INDEX(#REF!,MATCH('data '!$B288,#REF!,0),MATCH('data '!T$3,#REF!,0))=0,"",INDEX(#REF!,MATCH('data '!$B288,#REF!,0),MATCH('data '!T$3,#REF!,0)))</f>
        <v>#REF!</v>
      </c>
      <c r="U288" s="8" t="s">
        <v>25</v>
      </c>
      <c r="V288" s="25" t="s">
        <v>185</v>
      </c>
      <c r="W288" s="25" t="s">
        <v>144</v>
      </c>
      <c r="X288" s="43" t="s">
        <v>25</v>
      </c>
      <c r="Y288" s="43">
        <v>45856</v>
      </c>
      <c r="Z288" s="8">
        <v>45755</v>
      </c>
      <c r="AA288" s="8" t="s">
        <v>1466</v>
      </c>
      <c r="AC288" s="8" t="e">
        <f>VLOOKUP(B288,#REF!,19,0)</f>
        <v>#REF!</v>
      </c>
      <c r="AE288" s="8" t="s">
        <v>497</v>
      </c>
      <c r="AP288" s="8" t="str">
        <f t="shared" si="10"/>
        <v>BP Secured</v>
      </c>
      <c r="AQ288" s="10" t="b" cm="1">
        <f t="array" aca="1" ref="AQ288" ca="1">IF(AM288&gt;0,(TODAY()-AM288),IF(AL288&gt;0,(TODAY()-AL288),IF(AK288&gt;0,(TODAY()-AK288,IF(AI288&gt;0,(TODAY()-AI288),IF(AG288&gt;0,(TODAY()-AG288),IF(AF288&gt;0,(TODAY()-AF288),IF(X288&gt;0,(TODAY()-X288)," "))))))))</f>
        <v>0</v>
      </c>
      <c r="AT288" s="8">
        <v>45915</v>
      </c>
      <c r="AU288" s="8">
        <v>45930</v>
      </c>
      <c r="AV288" s="8">
        <v>45929</v>
      </c>
      <c r="AX288" s="8">
        <v>45932</v>
      </c>
      <c r="BD288" s="2" t="str">
        <f t="shared" si="11"/>
        <v>PO Issued</v>
      </c>
      <c r="BE288" s="2">
        <v>8</v>
      </c>
      <c r="BG288" s="2" t="e">
        <v>#N/A</v>
      </c>
    </row>
    <row r="289" spans="2:59" hidden="1" x14ac:dyDescent="0.25">
      <c r="B289" s="2" t="s">
        <v>1467</v>
      </c>
      <c r="C289" s="2" t="s">
        <v>1468</v>
      </c>
      <c r="D289" s="44" t="s">
        <v>1469</v>
      </c>
      <c r="E289" s="2" t="s">
        <v>11</v>
      </c>
      <c r="F289" s="2" t="s">
        <v>850</v>
      </c>
      <c r="G289" s="2" t="s">
        <v>1</v>
      </c>
      <c r="H289" s="2" t="s">
        <v>165</v>
      </c>
      <c r="I289" s="2" t="s">
        <v>68</v>
      </c>
      <c r="J289" s="2" t="s">
        <v>173</v>
      </c>
      <c r="K289" s="2" t="s">
        <v>592</v>
      </c>
      <c r="L289" s="2" t="s">
        <v>1459</v>
      </c>
      <c r="M289" s="2">
        <v>0</v>
      </c>
      <c r="N289" s="2">
        <v>8.6224900000000009</v>
      </c>
      <c r="O289" s="2">
        <v>124.90810999999999</v>
      </c>
      <c r="P289" s="2" t="s">
        <v>87</v>
      </c>
      <c r="Q289" s="2" t="s">
        <v>265</v>
      </c>
      <c r="R289" s="29" t="e">
        <f>IF(INDEX(#REF!,MATCH('data '!$B289,#REF!,0),MATCH('data '!R$3,#REF!,0))=0,"",INDEX(#REF!,MATCH('data '!$B289,#REF!,0),MATCH('data '!R$3,#REF!,0)))</f>
        <v>#REF!</v>
      </c>
      <c r="S289" s="29" t="e">
        <f>IF(INDEX(#REF!,MATCH('data '!$B289,#REF!,0),MATCH('data '!S$3,#REF!,0))=0,"",INDEX(#REF!,MATCH('data '!$B289,#REF!,0),MATCH('data '!S$3,#REF!,0)))</f>
        <v>#REF!</v>
      </c>
      <c r="T289" s="29" t="e">
        <f>IF(INDEX(#REF!,MATCH('data '!$B289,#REF!,0),MATCH('data '!T$3,#REF!,0))=0,"",INDEX(#REF!,MATCH('data '!$B289,#REF!,0),MATCH('data '!T$3,#REF!,0)))</f>
        <v>#REF!</v>
      </c>
      <c r="U289" s="8" t="s">
        <v>25</v>
      </c>
      <c r="V289" s="25" t="s">
        <v>185</v>
      </c>
      <c r="W289" s="25" t="s">
        <v>144</v>
      </c>
      <c r="X289" s="43" t="s">
        <v>25</v>
      </c>
      <c r="Y289" s="43">
        <v>45859</v>
      </c>
      <c r="AA289" s="8" t="s">
        <v>1470</v>
      </c>
      <c r="AC289" s="8" t="e">
        <f>VLOOKUP(B289,#REF!,19,0)</f>
        <v>#REF!</v>
      </c>
      <c r="AE289" s="8" t="s">
        <v>472</v>
      </c>
      <c r="AP289" s="8" t="str">
        <f t="shared" si="10"/>
        <v>BP Secured</v>
      </c>
      <c r="AQ289" s="10" t="b" cm="1">
        <f t="array" aca="1" ref="AQ289" ca="1">IF(AM289&gt;0,(TODAY()-AM289),IF(AL289&gt;0,(TODAY()-AL289),IF(AK289&gt;0,(TODAY()-AK289,IF(AI289&gt;0,(TODAY()-AI289),IF(AG289&gt;0,(TODAY()-AG289),IF(AF289&gt;0,(TODAY()-AF289),IF(X289&gt;0,(TODAY()-X289)," "))))))))</f>
        <v>0</v>
      </c>
      <c r="AT289" s="8" t="s">
        <v>155</v>
      </c>
      <c r="AU289" s="8">
        <v>45912</v>
      </c>
      <c r="AV289" s="8">
        <v>45912</v>
      </c>
      <c r="AX289" s="8">
        <v>45915</v>
      </c>
      <c r="BD289" s="2" t="str">
        <f t="shared" si="11"/>
        <v>PO Issued</v>
      </c>
      <c r="BE289" s="2">
        <v>25</v>
      </c>
      <c r="BG289" s="2" t="e">
        <v>#N/A</v>
      </c>
    </row>
    <row r="290" spans="2:59" hidden="1" x14ac:dyDescent="0.25">
      <c r="B290" s="2" t="s">
        <v>1471</v>
      </c>
      <c r="C290" s="2" t="s">
        <v>1472</v>
      </c>
      <c r="D290" s="44" t="s">
        <v>1473</v>
      </c>
      <c r="E290" s="2" t="s">
        <v>11</v>
      </c>
      <c r="F290" s="2" t="s">
        <v>591</v>
      </c>
      <c r="G290" s="2" t="s">
        <v>1</v>
      </c>
      <c r="H290" s="2" t="s">
        <v>165</v>
      </c>
      <c r="I290" s="2" t="s">
        <v>68</v>
      </c>
      <c r="J290" s="2" t="s">
        <v>173</v>
      </c>
      <c r="K290" s="2" t="s">
        <v>592</v>
      </c>
      <c r="L290" s="2" t="s">
        <v>1430</v>
      </c>
      <c r="M290" s="2" t="s">
        <v>1474</v>
      </c>
      <c r="N290" s="2">
        <v>8.3686380000000007</v>
      </c>
      <c r="O290" s="2">
        <v>124.32892200000001</v>
      </c>
      <c r="P290" s="2" t="s">
        <v>87</v>
      </c>
      <c r="Q290" s="2" t="s">
        <v>184</v>
      </c>
      <c r="R290" s="29" t="e">
        <f>IF(INDEX(#REF!,MATCH('data '!$B290,#REF!,0),MATCH('data '!R$3,#REF!,0))=0,"",INDEX(#REF!,MATCH('data '!$B290,#REF!,0),MATCH('data '!R$3,#REF!,0)))</f>
        <v>#REF!</v>
      </c>
      <c r="S290" s="29" t="e">
        <f>IF(INDEX(#REF!,MATCH('data '!$B290,#REF!,0),MATCH('data '!S$3,#REF!,0))=0,"",INDEX(#REF!,MATCH('data '!$B290,#REF!,0),MATCH('data '!S$3,#REF!,0)))</f>
        <v>#REF!</v>
      </c>
      <c r="T290" s="29" t="e">
        <f>IF(INDEX(#REF!,MATCH('data '!$B290,#REF!,0),MATCH('data '!T$3,#REF!,0))=0,"",INDEX(#REF!,MATCH('data '!$B290,#REF!,0),MATCH('data '!T$3,#REF!,0)))</f>
        <v>#REF!</v>
      </c>
      <c r="U290" s="8" t="s">
        <v>25</v>
      </c>
      <c r="V290" s="25" t="s">
        <v>266</v>
      </c>
      <c r="W290" s="25" t="s">
        <v>144</v>
      </c>
      <c r="X290" s="43" t="s">
        <v>25</v>
      </c>
      <c r="Y290" s="43">
        <v>45806</v>
      </c>
      <c r="Z290" s="8">
        <v>45783</v>
      </c>
      <c r="AA290" s="8" t="s">
        <v>1475</v>
      </c>
      <c r="AC290" s="8" t="e">
        <f>VLOOKUP(B290,#REF!,19,0)</f>
        <v>#REF!</v>
      </c>
      <c r="AE290" s="8" t="s">
        <v>472</v>
      </c>
      <c r="AP290" s="8" t="str">
        <f t="shared" si="10"/>
        <v>BP Secured</v>
      </c>
      <c r="AQ290" s="10" t="b" cm="1">
        <f t="array" aca="1" ref="AQ290" ca="1">IF(AM290&gt;0,(TODAY()-AM290),IF(AL290&gt;0,(TODAY()-AL290),IF(AK290&gt;0,(TODAY()-AK290,IF(AI290&gt;0,(TODAY()-AI290),IF(AG290&gt;0,(TODAY()-AG290),IF(AF290&gt;0,(TODAY()-AF290),IF(X290&gt;0,(TODAY()-X290)," "))))))))</f>
        <v>0</v>
      </c>
      <c r="AT290" s="8" t="s">
        <v>155</v>
      </c>
      <c r="AU290" s="8">
        <v>45868</v>
      </c>
      <c r="AV290" s="8">
        <v>45867</v>
      </c>
      <c r="AX290" s="8">
        <v>45870</v>
      </c>
      <c r="BD290" s="2" t="str">
        <f t="shared" si="11"/>
        <v>PO Issued</v>
      </c>
      <c r="BE290" s="2">
        <v>70</v>
      </c>
      <c r="BG290" s="2" t="e">
        <v>#N/A</v>
      </c>
    </row>
    <row r="291" spans="2:59" hidden="1" x14ac:dyDescent="0.25">
      <c r="B291" s="2" t="s">
        <v>1476</v>
      </c>
      <c r="C291" s="2" t="s">
        <v>1477</v>
      </c>
      <c r="D291" s="44" t="s">
        <v>1478</v>
      </c>
      <c r="E291" s="2" t="s">
        <v>11</v>
      </c>
      <c r="F291" s="2">
        <v>0</v>
      </c>
      <c r="G291" s="2" t="s">
        <v>1</v>
      </c>
      <c r="H291" s="2" t="s">
        <v>67</v>
      </c>
      <c r="I291" s="2" t="s">
        <v>68</v>
      </c>
      <c r="J291" s="2" t="s">
        <v>80</v>
      </c>
      <c r="K291" s="2" t="s">
        <v>81</v>
      </c>
      <c r="L291" s="2">
        <v>0</v>
      </c>
      <c r="M291" s="2">
        <v>0</v>
      </c>
      <c r="N291" s="2">
        <v>0</v>
      </c>
      <c r="O291" s="2">
        <v>0</v>
      </c>
      <c r="P291" s="2" t="s">
        <v>133</v>
      </c>
      <c r="Q291" s="2">
        <v>0</v>
      </c>
      <c r="R291" s="29" t="e">
        <f>IF(INDEX(#REF!,MATCH('data '!$B291,#REF!,0),MATCH('data '!R$3,#REF!,0))=0,"",INDEX(#REF!,MATCH('data '!$B291,#REF!,0),MATCH('data '!R$3,#REF!,0)))</f>
        <v>#REF!</v>
      </c>
      <c r="S291" s="29" t="e">
        <f>IF(INDEX(#REF!,MATCH('data '!$B291,#REF!,0),MATCH('data '!S$3,#REF!,0))=0,"",INDEX(#REF!,MATCH('data '!$B291,#REF!,0),MATCH('data '!S$3,#REF!,0)))</f>
        <v>#REF!</v>
      </c>
      <c r="T291" s="29" t="e">
        <f>IF(INDEX(#REF!,MATCH('data '!$B291,#REF!,0),MATCH('data '!T$3,#REF!,0))=0,"",INDEX(#REF!,MATCH('data '!$B291,#REF!,0),MATCH('data '!T$3,#REF!,0)))</f>
        <v>#REF!</v>
      </c>
      <c r="V291" s="25" t="s">
        <v>102</v>
      </c>
      <c r="W291" s="25" t="s">
        <v>103</v>
      </c>
      <c r="X291" s="61"/>
      <c r="Y291" s="61"/>
      <c r="AC291" s="8" t="e">
        <f>VLOOKUP(B291,#REF!,19,0)</f>
        <v>#REF!</v>
      </c>
      <c r="AP291" s="8" t="str">
        <f t="shared" si="10"/>
        <v>Not yet endorsed</v>
      </c>
      <c r="AQ291" s="10" t="b" cm="1">
        <f t="array" aca="1" ref="AQ291" ca="1">IF(AM291&gt;0,(TODAY()-AM291),IF(AL291&gt;0,(TODAY()-AL291),IF(AK291&gt;0,(TODAY()-AK291,IF(AI291&gt;0,(TODAY()-AI291),IF(AG291&gt;0,(TODAY()-AG291),IF(AF291&gt;0,(TODAY()-AF291),IF(X291&gt;0,(TODAY()-X291)," "))))))))</f>
        <v>0</v>
      </c>
      <c r="BD291" s="2" t="str">
        <f t="shared" si="11"/>
        <v>Not yet endorsed</v>
      </c>
      <c r="BE291" s="2" t="s">
        <v>75</v>
      </c>
      <c r="BG291" s="2" t="e">
        <v>#N/A</v>
      </c>
    </row>
    <row r="292" spans="2:59" hidden="1" x14ac:dyDescent="0.25">
      <c r="B292" s="2" t="s">
        <v>1479</v>
      </c>
      <c r="C292" s="2" t="s">
        <v>1480</v>
      </c>
      <c r="D292" s="44" t="s">
        <v>1481</v>
      </c>
      <c r="E292" s="2" t="s">
        <v>11</v>
      </c>
      <c r="F292" s="2" t="s">
        <v>591</v>
      </c>
      <c r="G292" s="2" t="s">
        <v>1</v>
      </c>
      <c r="H292" s="2" t="s">
        <v>165</v>
      </c>
      <c r="I292" s="2" t="s">
        <v>68</v>
      </c>
      <c r="J292" s="2" t="s">
        <v>173</v>
      </c>
      <c r="K292" s="2" t="s">
        <v>592</v>
      </c>
      <c r="L292" s="2" t="s">
        <v>593</v>
      </c>
      <c r="M292" s="2">
        <v>0</v>
      </c>
      <c r="N292" s="2">
        <v>8.4579599999999999</v>
      </c>
      <c r="O292" s="2">
        <v>124.78456</v>
      </c>
      <c r="P292" s="2" t="s">
        <v>87</v>
      </c>
      <c r="Q292" s="2" t="s">
        <v>314</v>
      </c>
      <c r="R292" s="29" t="e">
        <f>IF(INDEX(#REF!,MATCH('data '!$B292,#REF!,0),MATCH('data '!R$3,#REF!,0))=0,"",INDEX(#REF!,MATCH('data '!$B292,#REF!,0),MATCH('data '!R$3,#REF!,0)))</f>
        <v>#REF!</v>
      </c>
      <c r="S292" s="29" t="e">
        <f>IF(INDEX(#REF!,MATCH('data '!$B292,#REF!,0),MATCH('data '!S$3,#REF!,0))=0,"",INDEX(#REF!,MATCH('data '!$B292,#REF!,0),MATCH('data '!S$3,#REF!,0)))</f>
        <v>#REF!</v>
      </c>
      <c r="T292" s="29" t="e">
        <f>IF(INDEX(#REF!,MATCH('data '!$B292,#REF!,0),MATCH('data '!T$3,#REF!,0))=0,"",INDEX(#REF!,MATCH('data '!$B292,#REF!,0),MATCH('data '!T$3,#REF!,0)))</f>
        <v>#REF!</v>
      </c>
      <c r="U292" s="8" t="s">
        <v>25</v>
      </c>
      <c r="V292" s="25" t="s">
        <v>160</v>
      </c>
      <c r="W292" s="25" t="s">
        <v>144</v>
      </c>
      <c r="X292" s="43" t="s">
        <v>25</v>
      </c>
      <c r="Y292" s="43">
        <v>45891</v>
      </c>
      <c r="Z292" s="8">
        <v>45970</v>
      </c>
      <c r="AC292" s="8" t="e">
        <f>VLOOKUP(B292,#REF!,19,0)</f>
        <v>#REF!</v>
      </c>
      <c r="AP292" s="8" t="str">
        <f t="shared" si="10"/>
        <v>BP Secured</v>
      </c>
      <c r="AQ292" s="10" t="b" cm="1">
        <f t="array" aca="1" ref="AQ292" ca="1">IF(AM292&gt;0,(TODAY()-AM292),IF(AL292&gt;0,(TODAY()-AL292),IF(AK292&gt;0,(TODAY()-AK292,IF(AI292&gt;0,(TODAY()-AI292),IF(AG292&gt;0,(TODAY()-AG292),IF(AF292&gt;0,(TODAY()-AF292),IF(X292&gt;0,(TODAY()-X292)," "))))))))</f>
        <v>0</v>
      </c>
      <c r="BD292" s="2" t="str">
        <f t="shared" si="11"/>
        <v>BP Secured</v>
      </c>
      <c r="BE292" s="2" t="e">
        <v>#VALUE!</v>
      </c>
      <c r="BG292" s="2" t="e">
        <v>#N/A</v>
      </c>
    </row>
    <row r="293" spans="2:59" hidden="1" x14ac:dyDescent="0.25">
      <c r="B293" s="2" t="s">
        <v>1482</v>
      </c>
      <c r="C293" s="2" t="s">
        <v>1483</v>
      </c>
      <c r="D293" s="44" t="s">
        <v>1484</v>
      </c>
      <c r="E293" s="2" t="s">
        <v>11</v>
      </c>
      <c r="F293" s="2">
        <v>0</v>
      </c>
      <c r="G293" s="2" t="s">
        <v>1</v>
      </c>
      <c r="H293" s="2" t="s">
        <v>67</v>
      </c>
      <c r="I293" s="2" t="s">
        <v>68</v>
      </c>
      <c r="J293" s="2" t="s">
        <v>80</v>
      </c>
      <c r="K293" s="2" t="s">
        <v>81</v>
      </c>
      <c r="L293" s="2">
        <v>0</v>
      </c>
      <c r="M293" s="2">
        <v>0</v>
      </c>
      <c r="N293" s="2">
        <v>0</v>
      </c>
      <c r="O293" s="2">
        <v>0</v>
      </c>
      <c r="P293" s="2" t="s">
        <v>168</v>
      </c>
      <c r="Q293" s="2">
        <v>0</v>
      </c>
      <c r="R293" s="29" t="e">
        <f>IF(INDEX(#REF!,MATCH('data '!$B293,#REF!,0),MATCH('data '!R$3,#REF!,0))=0,"",INDEX(#REF!,MATCH('data '!$B293,#REF!,0),MATCH('data '!R$3,#REF!,0)))</f>
        <v>#REF!</v>
      </c>
      <c r="S293" s="29" t="e">
        <f>IF(INDEX(#REF!,MATCH('data '!$B293,#REF!,0),MATCH('data '!S$3,#REF!,0))=0,"",INDEX(#REF!,MATCH('data '!$B293,#REF!,0),MATCH('data '!S$3,#REF!,0)))</f>
        <v>#REF!</v>
      </c>
      <c r="T293" s="29" t="e">
        <f>IF(INDEX(#REF!,MATCH('data '!$B293,#REF!,0),MATCH('data '!T$3,#REF!,0))=0,"",INDEX(#REF!,MATCH('data '!$B293,#REF!,0),MATCH('data '!T$3,#REF!,0)))</f>
        <v>#REF!</v>
      </c>
      <c r="V293" s="25" t="s">
        <v>88</v>
      </c>
      <c r="W293" s="25" t="s">
        <v>89</v>
      </c>
      <c r="AC293" s="8" t="e">
        <f>VLOOKUP(B293,#REF!,19,0)</f>
        <v>#REF!</v>
      </c>
      <c r="AP293" s="8" t="str">
        <f t="shared" si="10"/>
        <v>Not yet endorsed</v>
      </c>
      <c r="AQ293" s="10" t="b" cm="1">
        <f t="array" aca="1" ref="AQ293" ca="1">IF(AM293&gt;0,(TODAY()-AM293),IF(AL293&gt;0,(TODAY()-AL293),IF(AK293&gt;0,(TODAY()-AK293,IF(AI293&gt;0,(TODAY()-AI293),IF(AG293&gt;0,(TODAY()-AG293),IF(AF293&gt;0,(TODAY()-AF293),IF(X293&gt;0,(TODAY()-X293)," "))))))))</f>
        <v>0</v>
      </c>
      <c r="BD293" s="2" t="str">
        <f t="shared" si="11"/>
        <v>Not yet endorsed</v>
      </c>
      <c r="BE293" s="2" t="s">
        <v>75</v>
      </c>
      <c r="BG293" s="2" t="e">
        <v>#N/A</v>
      </c>
    </row>
    <row r="294" spans="2:59" hidden="1" x14ac:dyDescent="0.25">
      <c r="B294" s="2" t="s">
        <v>1485</v>
      </c>
      <c r="C294" s="2" t="s">
        <v>1486</v>
      </c>
      <c r="D294" s="44" t="s">
        <v>1487</v>
      </c>
      <c r="E294" s="2" t="s">
        <v>11</v>
      </c>
      <c r="F294" s="2">
        <v>0</v>
      </c>
      <c r="G294" s="2" t="s">
        <v>1</v>
      </c>
      <c r="H294" s="2" t="s">
        <v>67</v>
      </c>
      <c r="I294" s="2" t="s">
        <v>68</v>
      </c>
      <c r="J294" s="2" t="s">
        <v>80</v>
      </c>
      <c r="K294" s="2" t="s">
        <v>81</v>
      </c>
      <c r="L294" s="2" t="s">
        <v>1488</v>
      </c>
      <c r="M294" s="2" t="s">
        <v>639</v>
      </c>
      <c r="N294" s="2">
        <v>6.5891890000000002</v>
      </c>
      <c r="O294" s="2">
        <v>125.23984</v>
      </c>
      <c r="P294" s="2" t="s">
        <v>87</v>
      </c>
      <c r="Q294" s="2" t="s">
        <v>265</v>
      </c>
      <c r="R294" s="29" t="e">
        <f>IF(INDEX(#REF!,MATCH('data '!$B294,#REF!,0),MATCH('data '!R$3,#REF!,0))=0,"",INDEX(#REF!,MATCH('data '!$B294,#REF!,0),MATCH('data '!R$3,#REF!,0)))</f>
        <v>#REF!</v>
      </c>
      <c r="S294" s="29" t="e">
        <f>IF(INDEX(#REF!,MATCH('data '!$B294,#REF!,0),MATCH('data '!S$3,#REF!,0))=0,"",INDEX(#REF!,MATCH('data '!$B294,#REF!,0),MATCH('data '!S$3,#REF!,0)))</f>
        <v>#REF!</v>
      </c>
      <c r="T294" s="29" t="e">
        <f>IF(INDEX(#REF!,MATCH('data '!$B294,#REF!,0),MATCH('data '!T$3,#REF!,0))=0,"",INDEX(#REF!,MATCH('data '!$B294,#REF!,0),MATCH('data '!T$3,#REF!,0)))</f>
        <v>#REF!</v>
      </c>
      <c r="V294" s="25" t="s">
        <v>185</v>
      </c>
      <c r="W294" s="25" t="s">
        <v>144</v>
      </c>
      <c r="X294" s="43" t="s">
        <v>25</v>
      </c>
      <c r="Y294" s="43">
        <v>45866</v>
      </c>
      <c r="Z294" s="8">
        <v>45846</v>
      </c>
      <c r="AC294" s="8" t="e">
        <f>VLOOKUP(B294,#REF!,19,0)</f>
        <v>#REF!</v>
      </c>
      <c r="AP294" s="8" t="str">
        <f t="shared" si="10"/>
        <v>BP Secured</v>
      </c>
      <c r="AQ294" s="10" t="b" cm="1">
        <f t="array" aca="1" ref="AQ294" ca="1">IF(AM294&gt;0,(TODAY()-AM294),IF(AL294&gt;0,(TODAY()-AL294),IF(AK294&gt;0,(TODAY()-AK294,IF(AI294&gt;0,(TODAY()-AI294),IF(AG294&gt;0,(TODAY()-AG294),IF(AF294&gt;0,(TODAY()-AF294),IF(X294&gt;0,(TODAY()-X294)," "))))))))</f>
        <v>0</v>
      </c>
      <c r="BD294" s="2" t="str">
        <f t="shared" si="11"/>
        <v>BP Secured</v>
      </c>
      <c r="BE294" s="2" t="e">
        <v>#VALUE!</v>
      </c>
      <c r="BG294" s="2" t="e">
        <v>#N/A</v>
      </c>
    </row>
    <row r="295" spans="2:59" hidden="1" x14ac:dyDescent="0.25">
      <c r="B295" s="2" t="s">
        <v>1489</v>
      </c>
      <c r="C295" s="2" t="s">
        <v>1490</v>
      </c>
      <c r="D295" s="44" t="s">
        <v>1491</v>
      </c>
      <c r="E295" s="2" t="s">
        <v>11</v>
      </c>
      <c r="F295" s="2" t="s">
        <v>180</v>
      </c>
      <c r="G295" s="2" t="s">
        <v>1</v>
      </c>
      <c r="H295" s="2" t="s">
        <v>165</v>
      </c>
      <c r="I295" s="2" t="s">
        <v>68</v>
      </c>
      <c r="J295" s="2" t="s">
        <v>181</v>
      </c>
      <c r="K295" s="2" t="s">
        <v>182</v>
      </c>
      <c r="L295" s="2" t="s">
        <v>183</v>
      </c>
      <c r="M295" s="2">
        <v>0</v>
      </c>
      <c r="N295" s="2">
        <v>6.9812424000000002</v>
      </c>
      <c r="O295" s="2">
        <v>121.9999552</v>
      </c>
      <c r="P295" s="2" t="s">
        <v>87</v>
      </c>
      <c r="Q295" s="2" t="s">
        <v>314</v>
      </c>
      <c r="R295" s="29" t="e">
        <f>IF(INDEX(#REF!,MATCH('data '!$B295,#REF!,0),MATCH('data '!R$3,#REF!,0))=0,"",INDEX(#REF!,MATCH('data '!$B295,#REF!,0),MATCH('data '!R$3,#REF!,0)))</f>
        <v>#REF!</v>
      </c>
      <c r="S295" s="29" t="e">
        <f>IF(INDEX(#REF!,MATCH('data '!$B295,#REF!,0),MATCH('data '!S$3,#REF!,0))=0,"",INDEX(#REF!,MATCH('data '!$B295,#REF!,0),MATCH('data '!S$3,#REF!,0)))</f>
        <v>#REF!</v>
      </c>
      <c r="T295" s="29" t="e">
        <f>IF(INDEX(#REF!,MATCH('data '!$B295,#REF!,0),MATCH('data '!T$3,#REF!,0))=0,"",INDEX(#REF!,MATCH('data '!$B295,#REF!,0),MATCH('data '!T$3,#REF!,0)))</f>
        <v>#REF!</v>
      </c>
      <c r="U295" s="8" t="s">
        <v>25</v>
      </c>
      <c r="V295" s="25" t="s">
        <v>560</v>
      </c>
      <c r="W295" s="25" t="s">
        <v>103</v>
      </c>
      <c r="X295" s="43" t="s">
        <v>25</v>
      </c>
      <c r="Y295" s="43">
        <v>45932</v>
      </c>
      <c r="AC295" s="8" t="e">
        <f>VLOOKUP(B295,#REF!,19,0)</f>
        <v>#REF!</v>
      </c>
      <c r="AP295" s="8" t="str">
        <f t="shared" si="10"/>
        <v>BP Secured</v>
      </c>
      <c r="AQ295" s="10" t="b" cm="1">
        <f t="array" aca="1" ref="AQ295" ca="1">IF(AM295&gt;0,(TODAY()-AM295),IF(AL295&gt;0,(TODAY()-AL295),IF(AK295&gt;0,(TODAY()-AK295,IF(AI295&gt;0,(TODAY()-AI295),IF(AG295&gt;0,(TODAY()-AG295),IF(AF295&gt;0,(TODAY()-AF295),IF(X295&gt;0,(TODAY()-X295)," "))))))))</f>
        <v>0</v>
      </c>
      <c r="BD295" s="2" t="str">
        <f t="shared" si="11"/>
        <v>BP Secured</v>
      </c>
      <c r="BE295" s="2" t="e">
        <v>#VALUE!</v>
      </c>
      <c r="BG295" s="2" t="e">
        <v>#N/A</v>
      </c>
    </row>
    <row r="296" spans="2:59" hidden="1" x14ac:dyDescent="0.25">
      <c r="B296" s="2" t="s">
        <v>1492</v>
      </c>
      <c r="C296" s="2" t="s">
        <v>1493</v>
      </c>
      <c r="D296" s="44" t="s">
        <v>1494</v>
      </c>
      <c r="E296" s="2" t="s">
        <v>11</v>
      </c>
      <c r="F296" s="2">
        <v>0</v>
      </c>
      <c r="G296" s="2" t="s">
        <v>1</v>
      </c>
      <c r="H296" s="2" t="s">
        <v>67</v>
      </c>
      <c r="I296" s="2" t="s">
        <v>68</v>
      </c>
      <c r="J296" s="2" t="s">
        <v>80</v>
      </c>
      <c r="K296" s="2" t="s">
        <v>81</v>
      </c>
      <c r="L296" s="2">
        <v>0</v>
      </c>
      <c r="M296" s="2">
        <v>0</v>
      </c>
      <c r="N296" s="2">
        <v>6.5169220000000001</v>
      </c>
      <c r="O296" s="2">
        <v>125.24445</v>
      </c>
      <c r="P296" s="2" t="s">
        <v>87</v>
      </c>
      <c r="Q296" s="2" t="s">
        <v>314</v>
      </c>
      <c r="R296" s="29" t="e">
        <f>IF(INDEX(#REF!,MATCH('data '!$B296,#REF!,0),MATCH('data '!R$3,#REF!,0))=0,"",INDEX(#REF!,MATCH('data '!$B296,#REF!,0),MATCH('data '!R$3,#REF!,0)))</f>
        <v>#REF!</v>
      </c>
      <c r="S296" s="29" t="e">
        <f>IF(INDEX(#REF!,MATCH('data '!$B296,#REF!,0),MATCH('data '!S$3,#REF!,0))=0,"",INDEX(#REF!,MATCH('data '!$B296,#REF!,0),MATCH('data '!S$3,#REF!,0)))</f>
        <v>#REF!</v>
      </c>
      <c r="T296" s="29" t="e">
        <f>IF(INDEX(#REF!,MATCH('data '!$B296,#REF!,0),MATCH('data '!T$3,#REF!,0))=0,"",INDEX(#REF!,MATCH('data '!$B296,#REF!,0),MATCH('data '!T$3,#REF!,0)))</f>
        <v>#REF!</v>
      </c>
      <c r="V296" s="25" t="s">
        <v>185</v>
      </c>
      <c r="W296" s="25" t="s">
        <v>144</v>
      </c>
      <c r="X296" s="43" t="s">
        <v>25</v>
      </c>
      <c r="Y296" s="43">
        <v>45884</v>
      </c>
      <c r="AC296" s="8" t="e">
        <f>VLOOKUP(B296,#REF!,19,0)</f>
        <v>#REF!</v>
      </c>
      <c r="AP296" s="8" t="str">
        <f t="shared" si="10"/>
        <v>BP Secured</v>
      </c>
      <c r="AQ296" s="10" t="b" cm="1">
        <f t="array" aca="1" ref="AQ296" ca="1">IF(AM296&gt;0,(TODAY()-AM296),IF(AL296&gt;0,(TODAY()-AL296),IF(AK296&gt;0,(TODAY()-AK296,IF(AI296&gt;0,(TODAY()-AI296),IF(AG296&gt;0,(TODAY()-AG296),IF(AF296&gt;0,(TODAY()-AF296),IF(X296&gt;0,(TODAY()-X296)," "))))))))</f>
        <v>0</v>
      </c>
      <c r="BD296" s="2" t="str">
        <f t="shared" si="11"/>
        <v>BP Secured</v>
      </c>
      <c r="BE296" s="2" t="e">
        <v>#VALUE!</v>
      </c>
      <c r="BG296" s="2" t="e">
        <v>#N/A</v>
      </c>
    </row>
    <row r="297" spans="2:59" hidden="1" x14ac:dyDescent="0.25">
      <c r="B297" s="2" t="s">
        <v>1495</v>
      </c>
      <c r="C297" s="2" t="s">
        <v>1496</v>
      </c>
      <c r="D297" s="44" t="s">
        <v>1497</v>
      </c>
      <c r="E297" s="2" t="s">
        <v>11</v>
      </c>
      <c r="F297" s="2" t="s">
        <v>591</v>
      </c>
      <c r="G297" s="2" t="s">
        <v>1</v>
      </c>
      <c r="H297" s="2" t="s">
        <v>165</v>
      </c>
      <c r="I297" s="2" t="s">
        <v>68</v>
      </c>
      <c r="J297" s="2" t="s">
        <v>173</v>
      </c>
      <c r="K297" s="2" t="s">
        <v>592</v>
      </c>
      <c r="L297" s="2" t="s">
        <v>1498</v>
      </c>
      <c r="M297" s="2">
        <v>0</v>
      </c>
      <c r="N297" s="2">
        <v>8.6216000000000008</v>
      </c>
      <c r="O297" s="2">
        <v>124.45910000000001</v>
      </c>
      <c r="P297" s="2" t="s">
        <v>168</v>
      </c>
      <c r="Q297" s="2" t="s">
        <v>73</v>
      </c>
      <c r="R297" s="29" t="e">
        <f>IF(INDEX(#REF!,MATCH('data '!$B297,#REF!,0),MATCH('data '!R$3,#REF!,0))=0,"",INDEX(#REF!,MATCH('data '!$B297,#REF!,0),MATCH('data '!R$3,#REF!,0)))</f>
        <v>#REF!</v>
      </c>
      <c r="S297" s="29" t="e">
        <f>IF(INDEX(#REF!,MATCH('data '!$B297,#REF!,0),MATCH('data '!S$3,#REF!,0))=0,"",INDEX(#REF!,MATCH('data '!$B297,#REF!,0),MATCH('data '!S$3,#REF!,0)))</f>
        <v>#REF!</v>
      </c>
      <c r="T297" s="29" t="e">
        <f>IF(INDEX(#REF!,MATCH('data '!$B297,#REF!,0),MATCH('data '!T$3,#REF!,0))=0,"",INDEX(#REF!,MATCH('data '!$B297,#REF!,0),MATCH('data '!T$3,#REF!,0)))</f>
        <v>#REF!</v>
      </c>
      <c r="U297" s="8" t="s">
        <v>25</v>
      </c>
      <c r="V297" s="25" t="s">
        <v>160</v>
      </c>
      <c r="W297" s="25" t="s">
        <v>144</v>
      </c>
      <c r="X297" s="61"/>
      <c r="Y297" s="61"/>
      <c r="AC297" s="8" t="e">
        <f>VLOOKUP(B297,#REF!,19,0)</f>
        <v>#REF!</v>
      </c>
      <c r="AE297" s="8" t="s">
        <v>472</v>
      </c>
      <c r="AG297" s="8">
        <v>45960</v>
      </c>
      <c r="AH297" s="8" t="s">
        <v>1499</v>
      </c>
      <c r="AI297" s="8">
        <v>45964</v>
      </c>
      <c r="AJ297" s="8" t="s">
        <v>1500</v>
      </c>
      <c r="AP297" s="8" t="str">
        <f t="shared" si="10"/>
        <v>PO Issued</v>
      </c>
      <c r="AQ297" s="10" t="b" cm="1">
        <f t="array" aca="1" ref="AQ297" ca="1">IF(AM297&gt;0,(TODAY()-AM297),IF(AL297&gt;0,(TODAY()-AL297),IF(AK297&gt;0,(TODAY()-AK297,IF(AI297&gt;0,(TODAY()-AI297),IF(AG297&gt;0,(TODAY()-AG297),IF(AF297&gt;0,(TODAY()-AF297),IF(X297&gt;0,(TODAY()-X297)," "))))))))</f>
        <v>0</v>
      </c>
      <c r="BD297" s="2" t="str">
        <f t="shared" si="11"/>
        <v>TSSR Approved</v>
      </c>
      <c r="BE297" s="2" t="e">
        <v>#VALUE!</v>
      </c>
      <c r="BG297" s="2" t="e">
        <v>#N/A</v>
      </c>
    </row>
    <row r="298" spans="2:59" hidden="1" x14ac:dyDescent="0.25">
      <c r="B298" s="2" t="s">
        <v>1501</v>
      </c>
      <c r="C298" s="2" t="s">
        <v>1502</v>
      </c>
      <c r="D298" s="44" t="s">
        <v>1503</v>
      </c>
      <c r="E298" s="2" t="s">
        <v>11</v>
      </c>
      <c r="F298" s="2" t="s">
        <v>591</v>
      </c>
      <c r="G298" s="2" t="s">
        <v>1</v>
      </c>
      <c r="H298" s="2" t="s">
        <v>165</v>
      </c>
      <c r="I298" s="2" t="s">
        <v>68</v>
      </c>
      <c r="J298" s="2" t="s">
        <v>173</v>
      </c>
      <c r="K298" s="2" t="s">
        <v>592</v>
      </c>
      <c r="L298" s="2" t="s">
        <v>593</v>
      </c>
      <c r="M298" s="2">
        <v>0</v>
      </c>
      <c r="N298" s="2">
        <v>8.4445999999999994</v>
      </c>
      <c r="O298" s="2">
        <v>124.5973</v>
      </c>
      <c r="P298" s="2" t="s">
        <v>88</v>
      </c>
      <c r="Q298" s="2" t="s">
        <v>73</v>
      </c>
      <c r="R298" s="29" t="e">
        <f>IF(INDEX(#REF!,MATCH('data '!$B298,#REF!,0),MATCH('data '!R$3,#REF!,0))=0,"",INDEX(#REF!,MATCH('data '!$B298,#REF!,0),MATCH('data '!R$3,#REF!,0)))</f>
        <v>#REF!</v>
      </c>
      <c r="S298" s="29" t="e">
        <f>IF(INDEX(#REF!,MATCH('data '!$B298,#REF!,0),MATCH('data '!S$3,#REF!,0))=0,"",INDEX(#REF!,MATCH('data '!$B298,#REF!,0),MATCH('data '!S$3,#REF!,0)))</f>
        <v>#REF!</v>
      </c>
      <c r="T298" s="29" t="e">
        <f>IF(INDEX(#REF!,MATCH('data '!$B298,#REF!,0),MATCH('data '!T$3,#REF!,0))=0,"",INDEX(#REF!,MATCH('data '!$B298,#REF!,0),MATCH('data '!T$3,#REF!,0)))</f>
        <v>#REF!</v>
      </c>
      <c r="V298" s="25" t="s">
        <v>160</v>
      </c>
      <c r="W298" s="25" t="s">
        <v>144</v>
      </c>
      <c r="X298" s="61"/>
      <c r="Y298" s="61"/>
      <c r="AC298" s="8" t="e">
        <f>VLOOKUP(B298,#REF!,19,0)</f>
        <v>#REF!</v>
      </c>
      <c r="AP298" s="8" t="str">
        <f t="shared" si="10"/>
        <v>Not yet endorsed</v>
      </c>
      <c r="AQ298" s="10" t="b" cm="1">
        <f t="array" aca="1" ref="AQ298" ca="1">IF(AM298&gt;0,(TODAY()-AM298),IF(AL298&gt;0,(TODAY()-AL298),IF(AK298&gt;0,(TODAY()-AK298,IF(AI298&gt;0,(TODAY()-AI298),IF(AG298&gt;0,(TODAY()-AG298),IF(AF298&gt;0,(TODAY()-AF298),IF(X298&gt;0,(TODAY()-X298)," "))))))))</f>
        <v>0</v>
      </c>
      <c r="BD298" s="2" t="str">
        <f t="shared" si="11"/>
        <v>Not yet endorsed</v>
      </c>
      <c r="BE298" s="2" t="s">
        <v>75</v>
      </c>
      <c r="BG298" s="2" t="e">
        <v>#N/A</v>
      </c>
    </row>
    <row r="299" spans="2:59" hidden="1" x14ac:dyDescent="0.25">
      <c r="B299" s="2" t="s">
        <v>1504</v>
      </c>
      <c r="C299" s="2" t="s">
        <v>1505</v>
      </c>
      <c r="D299" s="44" t="s">
        <v>1506</v>
      </c>
      <c r="E299" s="2" t="s">
        <v>11</v>
      </c>
      <c r="F299" s="2" t="s">
        <v>591</v>
      </c>
      <c r="G299" s="2" t="s">
        <v>1</v>
      </c>
      <c r="H299" s="2" t="s">
        <v>165</v>
      </c>
      <c r="I299" s="2" t="s">
        <v>68</v>
      </c>
      <c r="J299" s="2" t="s">
        <v>173</v>
      </c>
      <c r="K299" s="2" t="s">
        <v>592</v>
      </c>
      <c r="L299" s="2" t="s">
        <v>1430</v>
      </c>
      <c r="M299" s="2">
        <v>0</v>
      </c>
      <c r="N299" s="2">
        <v>8.3889084999999994</v>
      </c>
      <c r="O299" s="2">
        <v>124.2826359</v>
      </c>
      <c r="P299" s="2" t="s">
        <v>87</v>
      </c>
      <c r="Q299" s="2" t="s">
        <v>73</v>
      </c>
      <c r="R299" s="29" t="e">
        <f>IF(INDEX(#REF!,MATCH('data '!$B299,#REF!,0),MATCH('data '!R$3,#REF!,0))=0,"",INDEX(#REF!,MATCH('data '!$B299,#REF!,0),MATCH('data '!R$3,#REF!,0)))</f>
        <v>#REF!</v>
      </c>
      <c r="S299" s="29" t="e">
        <f>IF(INDEX(#REF!,MATCH('data '!$B299,#REF!,0),MATCH('data '!S$3,#REF!,0))=0,"",INDEX(#REF!,MATCH('data '!$B299,#REF!,0),MATCH('data '!S$3,#REF!,0)))</f>
        <v>#REF!</v>
      </c>
      <c r="T299" s="29" t="e">
        <f>IF(INDEX(#REF!,MATCH('data '!$B299,#REF!,0),MATCH('data '!T$3,#REF!,0))=0,"",INDEX(#REF!,MATCH('data '!$B299,#REF!,0),MATCH('data '!T$3,#REF!,0)))</f>
        <v>#REF!</v>
      </c>
      <c r="U299" s="8" t="s">
        <v>25</v>
      </c>
      <c r="V299" s="25" t="s">
        <v>160</v>
      </c>
      <c r="W299" s="25" t="s">
        <v>144</v>
      </c>
      <c r="X299" s="43" t="s">
        <v>25</v>
      </c>
      <c r="Y299" s="43">
        <v>45909</v>
      </c>
      <c r="AC299" s="8" t="e">
        <f>VLOOKUP(B299,#REF!,19,0)</f>
        <v>#REF!</v>
      </c>
      <c r="AP299" s="8" t="str">
        <f t="shared" si="10"/>
        <v>BP Secured</v>
      </c>
      <c r="AQ299" s="10" t="b" cm="1">
        <f t="array" aca="1" ref="AQ299" ca="1">IF(AM299&gt;0,(TODAY()-AM299),IF(AL299&gt;0,(TODAY()-AL299),IF(AK299&gt;0,(TODAY()-AK299,IF(AI299&gt;0,(TODAY()-AI299),IF(AG299&gt;0,(TODAY()-AG299),IF(AF299&gt;0,(TODAY()-AF299),IF(X299&gt;0,(TODAY()-X299)," "))))))))</f>
        <v>0</v>
      </c>
      <c r="BD299" s="2" t="str">
        <f t="shared" si="11"/>
        <v>BP Secured</v>
      </c>
      <c r="BE299" s="2" t="e">
        <v>#VALUE!</v>
      </c>
      <c r="BG299" s="2" t="e">
        <v>#N/A</v>
      </c>
    </row>
    <row r="300" spans="2:59" hidden="1" x14ac:dyDescent="0.25">
      <c r="B300" s="2" t="s">
        <v>1507</v>
      </c>
      <c r="C300" s="2" t="s">
        <v>1508</v>
      </c>
      <c r="D300" s="44" t="s">
        <v>1509</v>
      </c>
      <c r="E300" s="2" t="s">
        <v>11</v>
      </c>
      <c r="F300" s="2" t="s">
        <v>591</v>
      </c>
      <c r="G300" s="2" t="s">
        <v>1</v>
      </c>
      <c r="H300" s="2" t="s">
        <v>165</v>
      </c>
      <c r="I300" s="2" t="s">
        <v>68</v>
      </c>
      <c r="J300" s="2" t="s">
        <v>173</v>
      </c>
      <c r="K300" s="2" t="s">
        <v>592</v>
      </c>
      <c r="L300" s="2" t="s">
        <v>1455</v>
      </c>
      <c r="M300" s="2" t="s">
        <v>1166</v>
      </c>
      <c r="N300" s="2">
        <v>8.5669400000000007</v>
      </c>
      <c r="O300" s="2">
        <v>124.36087000000001</v>
      </c>
      <c r="P300" s="2" t="s">
        <v>87</v>
      </c>
      <c r="Q300" s="2" t="s">
        <v>184</v>
      </c>
      <c r="R300" s="29" t="e">
        <f>IF(INDEX(#REF!,MATCH('data '!$B300,#REF!,0),MATCH('data '!R$3,#REF!,0))=0,"",INDEX(#REF!,MATCH('data '!$B300,#REF!,0),MATCH('data '!R$3,#REF!,0)))</f>
        <v>#REF!</v>
      </c>
      <c r="S300" s="29" t="e">
        <f>IF(INDEX(#REF!,MATCH('data '!$B300,#REF!,0),MATCH('data '!S$3,#REF!,0))=0,"",INDEX(#REF!,MATCH('data '!$B300,#REF!,0),MATCH('data '!S$3,#REF!,0)))</f>
        <v>#REF!</v>
      </c>
      <c r="T300" s="29" t="e">
        <f>IF(INDEX(#REF!,MATCH('data '!$B300,#REF!,0),MATCH('data '!T$3,#REF!,0))=0,"",INDEX(#REF!,MATCH('data '!$B300,#REF!,0),MATCH('data '!T$3,#REF!,0)))</f>
        <v>#REF!</v>
      </c>
      <c r="U300" s="8" t="s">
        <v>25</v>
      </c>
      <c r="V300" s="25" t="s">
        <v>266</v>
      </c>
      <c r="W300" s="25" t="s">
        <v>144</v>
      </c>
      <c r="X300" s="43" t="s">
        <v>25</v>
      </c>
      <c r="Y300" s="43">
        <v>45826</v>
      </c>
      <c r="AA300" s="8">
        <v>45786</v>
      </c>
      <c r="AC300" s="8" t="e">
        <f>VLOOKUP(B300,#REF!,19,0)</f>
        <v>#REF!</v>
      </c>
      <c r="AE300" s="8" t="s">
        <v>472</v>
      </c>
      <c r="AP300" s="8" t="str">
        <f t="shared" si="10"/>
        <v>BP Secured</v>
      </c>
      <c r="AQ300" s="10" t="b" cm="1">
        <f t="array" aca="1" ref="AQ300" ca="1">IF(AM300&gt;0,(TODAY()-AM300),IF(AL300&gt;0,(TODAY()-AL300),IF(AK300&gt;0,(TODAY()-AK300,IF(AI300&gt;0,(TODAY()-AI300),IF(AG300&gt;0,(TODAY()-AG300),IF(AF300&gt;0,(TODAY()-AF300),IF(X300&gt;0,(TODAY()-X300)," "))))))))</f>
        <v>0</v>
      </c>
      <c r="AT300" s="8" t="s">
        <v>155</v>
      </c>
      <c r="AU300" s="8">
        <v>45898</v>
      </c>
      <c r="AV300" s="8">
        <v>45899</v>
      </c>
      <c r="AX300" s="8">
        <v>45902</v>
      </c>
      <c r="BD300" s="2" t="str">
        <f t="shared" si="11"/>
        <v>PO Issued</v>
      </c>
      <c r="BE300" s="2">
        <v>38</v>
      </c>
      <c r="BG300" s="2" t="e">
        <v>#N/A</v>
      </c>
    </row>
    <row r="301" spans="2:59" hidden="1" x14ac:dyDescent="0.25">
      <c r="B301" s="2" t="s">
        <v>1510</v>
      </c>
      <c r="C301" s="2" t="s">
        <v>1511</v>
      </c>
      <c r="D301" s="44" t="s">
        <v>1512</v>
      </c>
      <c r="E301" s="2" t="s">
        <v>11</v>
      </c>
      <c r="F301" s="2" t="s">
        <v>850</v>
      </c>
      <c r="G301" s="2" t="s">
        <v>1</v>
      </c>
      <c r="H301" s="2" t="s">
        <v>165</v>
      </c>
      <c r="I301" s="2" t="s">
        <v>68</v>
      </c>
      <c r="J301" s="2" t="s">
        <v>173</v>
      </c>
      <c r="K301" s="2" t="s">
        <v>592</v>
      </c>
      <c r="L301" s="2" t="s">
        <v>1513</v>
      </c>
      <c r="M301" s="2">
        <v>0</v>
      </c>
      <c r="N301" s="2">
        <v>8.8624120000000008</v>
      </c>
      <c r="O301" s="2">
        <v>124.793269</v>
      </c>
      <c r="P301" s="2" t="s">
        <v>87</v>
      </c>
      <c r="Q301" s="2" t="s">
        <v>265</v>
      </c>
      <c r="R301" s="29" t="e">
        <f>IF(INDEX(#REF!,MATCH('data '!$B301,#REF!,0),MATCH('data '!R$3,#REF!,0))=0,"",INDEX(#REF!,MATCH('data '!$B301,#REF!,0),MATCH('data '!R$3,#REF!,0)))</f>
        <v>#REF!</v>
      </c>
      <c r="S301" s="29" t="e">
        <f>IF(INDEX(#REF!,MATCH('data '!$B301,#REF!,0),MATCH('data '!S$3,#REF!,0))=0,"",INDEX(#REF!,MATCH('data '!$B301,#REF!,0),MATCH('data '!S$3,#REF!,0)))</f>
        <v>#REF!</v>
      </c>
      <c r="T301" s="29" t="e">
        <f>IF(INDEX(#REF!,MATCH('data '!$B301,#REF!,0),MATCH('data '!T$3,#REF!,0))=0,"",INDEX(#REF!,MATCH('data '!$B301,#REF!,0),MATCH('data '!T$3,#REF!,0)))</f>
        <v>#REF!</v>
      </c>
      <c r="U301" s="8" t="s">
        <v>25</v>
      </c>
      <c r="V301" s="25" t="s">
        <v>266</v>
      </c>
      <c r="W301" s="25" t="s">
        <v>144</v>
      </c>
      <c r="X301" s="43" t="s">
        <v>25</v>
      </c>
      <c r="Y301" s="43">
        <v>45798</v>
      </c>
      <c r="Z301" s="8">
        <v>45967</v>
      </c>
      <c r="AA301" s="8">
        <v>45696</v>
      </c>
      <c r="AC301" s="8" t="e">
        <f>VLOOKUP(B301,#REF!,19,0)</f>
        <v>#REF!</v>
      </c>
      <c r="AE301" s="8" t="s">
        <v>472</v>
      </c>
      <c r="AP301" s="8" t="str">
        <f t="shared" si="10"/>
        <v>BP Secured</v>
      </c>
      <c r="AQ301" s="10" t="b" cm="1">
        <f t="array" aca="1" ref="AQ301" ca="1">IF(AM301&gt;0,(TODAY()-AM301),IF(AL301&gt;0,(TODAY()-AL301),IF(AK301&gt;0,(TODAY()-AK301,IF(AI301&gt;0,(TODAY()-AI301),IF(AG301&gt;0,(TODAY()-AG301),IF(AF301&gt;0,(TODAY()-AF301),IF(X301&gt;0,(TODAY()-X301)," "))))))))</f>
        <v>0</v>
      </c>
      <c r="AT301" s="8" t="s">
        <v>155</v>
      </c>
      <c r="AU301" s="8">
        <v>45852</v>
      </c>
      <c r="AV301" s="8">
        <v>45852</v>
      </c>
      <c r="AX301" s="8">
        <v>45855</v>
      </c>
      <c r="BD301" s="2" t="str">
        <f t="shared" si="11"/>
        <v>PO Issued</v>
      </c>
      <c r="BE301" s="2">
        <v>85</v>
      </c>
      <c r="BG301" s="2" t="e">
        <v>#N/A</v>
      </c>
    </row>
    <row r="302" spans="2:59" hidden="1" x14ac:dyDescent="0.25">
      <c r="B302" s="2" t="s">
        <v>1514</v>
      </c>
      <c r="C302" s="2" t="s">
        <v>1515</v>
      </c>
      <c r="D302" s="44" t="s">
        <v>1516</v>
      </c>
      <c r="E302" s="2" t="s">
        <v>11</v>
      </c>
      <c r="F302" s="2" t="s">
        <v>850</v>
      </c>
      <c r="G302" s="2" t="s">
        <v>1</v>
      </c>
      <c r="H302" s="2" t="s">
        <v>165</v>
      </c>
      <c r="I302" s="2" t="s">
        <v>68</v>
      </c>
      <c r="J302" s="2" t="s">
        <v>173</v>
      </c>
      <c r="K302" s="2" t="s">
        <v>592</v>
      </c>
      <c r="L302" s="2" t="s">
        <v>1459</v>
      </c>
      <c r="M302" s="2">
        <v>0</v>
      </c>
      <c r="N302" s="2">
        <v>0</v>
      </c>
      <c r="O302" s="2">
        <v>0</v>
      </c>
      <c r="P302" s="2" t="s">
        <v>82</v>
      </c>
      <c r="Q302" s="2" t="s">
        <v>73</v>
      </c>
      <c r="R302" s="29" t="e">
        <f>IF(INDEX(#REF!,MATCH('data '!$B302,#REF!,0),MATCH('data '!R$3,#REF!,0))=0,"",INDEX(#REF!,MATCH('data '!$B302,#REF!,0),MATCH('data '!R$3,#REF!,0)))</f>
        <v>#REF!</v>
      </c>
      <c r="S302" s="29" t="e">
        <f>IF(INDEX(#REF!,MATCH('data '!$B302,#REF!,0),MATCH('data '!S$3,#REF!,0))=0,"",INDEX(#REF!,MATCH('data '!$B302,#REF!,0),MATCH('data '!S$3,#REF!,0)))</f>
        <v>#REF!</v>
      </c>
      <c r="T302" s="29" t="e">
        <f>IF(INDEX(#REF!,MATCH('data '!$B302,#REF!,0),MATCH('data '!T$3,#REF!,0))=0,"",INDEX(#REF!,MATCH('data '!$B302,#REF!,0),MATCH('data '!T$3,#REF!,0)))</f>
        <v>#REF!</v>
      </c>
      <c r="V302" s="25" t="s">
        <v>82</v>
      </c>
      <c r="W302" s="25" t="s">
        <v>83</v>
      </c>
      <c r="AC302" s="8" t="e">
        <f>VLOOKUP(B302,#REF!,19,0)</f>
        <v>#REF!</v>
      </c>
      <c r="AP302" s="8" t="str">
        <f t="shared" si="10"/>
        <v>Not yet endorsed</v>
      </c>
      <c r="AQ302" s="10" t="b" cm="1">
        <f t="array" aca="1" ref="AQ302" ca="1">IF(AM302&gt;0,(TODAY()-AM302),IF(AL302&gt;0,(TODAY()-AL302),IF(AK302&gt;0,(TODAY()-AK302,IF(AI302&gt;0,(TODAY()-AI302),IF(AG302&gt;0,(TODAY()-AG302),IF(AF302&gt;0,(TODAY()-AF302),IF(X302&gt;0,(TODAY()-X302)," "))))))))</f>
        <v>0</v>
      </c>
      <c r="BD302" s="2" t="str">
        <f t="shared" si="11"/>
        <v>Not yet endorsed</v>
      </c>
      <c r="BE302" s="2" t="s">
        <v>75</v>
      </c>
      <c r="BG302" s="2" t="e">
        <v>#N/A</v>
      </c>
    </row>
    <row r="303" spans="2:59" hidden="1" x14ac:dyDescent="0.25">
      <c r="B303" s="2" t="s">
        <v>1517</v>
      </c>
      <c r="C303" s="2" t="s">
        <v>1518</v>
      </c>
      <c r="D303" s="44" t="s">
        <v>1519</v>
      </c>
      <c r="E303" s="2" t="s">
        <v>11</v>
      </c>
      <c r="F303" s="2" t="s">
        <v>850</v>
      </c>
      <c r="G303" s="2" t="s">
        <v>1</v>
      </c>
      <c r="H303" s="2" t="s">
        <v>165</v>
      </c>
      <c r="I303" s="2" t="s">
        <v>68</v>
      </c>
      <c r="J303" s="2" t="s">
        <v>173</v>
      </c>
      <c r="K303" s="2" t="s">
        <v>592</v>
      </c>
      <c r="L303" s="2" t="s">
        <v>888</v>
      </c>
      <c r="M303" s="2">
        <v>0</v>
      </c>
      <c r="N303" s="2">
        <v>0</v>
      </c>
      <c r="O303" s="2">
        <v>0</v>
      </c>
      <c r="P303" s="2" t="s">
        <v>133</v>
      </c>
      <c r="Q303" s="2" t="s">
        <v>73</v>
      </c>
      <c r="R303" s="29" t="e">
        <f>IF(INDEX(#REF!,MATCH('data '!$B303,#REF!,0),MATCH('data '!R$3,#REF!,0))=0,"",INDEX(#REF!,MATCH('data '!$B303,#REF!,0),MATCH('data '!R$3,#REF!,0)))</f>
        <v>#REF!</v>
      </c>
      <c r="S303" s="29" t="e">
        <f>IF(INDEX(#REF!,MATCH('data '!$B303,#REF!,0),MATCH('data '!S$3,#REF!,0))=0,"",INDEX(#REF!,MATCH('data '!$B303,#REF!,0),MATCH('data '!S$3,#REF!,0)))</f>
        <v>#REF!</v>
      </c>
      <c r="T303" s="29" t="e">
        <f>IF(INDEX(#REF!,MATCH('data '!$B303,#REF!,0),MATCH('data '!T$3,#REF!,0))=0,"",INDEX(#REF!,MATCH('data '!$B303,#REF!,0),MATCH('data '!T$3,#REF!,0)))</f>
        <v>#REF!</v>
      </c>
      <c r="U303" s="8" t="s">
        <v>25</v>
      </c>
      <c r="V303" s="25" t="s">
        <v>160</v>
      </c>
      <c r="W303" s="25" t="s">
        <v>144</v>
      </c>
      <c r="X303" s="61"/>
      <c r="Y303" s="61"/>
      <c r="AC303" s="8" t="e">
        <f>VLOOKUP(B303,#REF!,19,0)</f>
        <v>#REF!</v>
      </c>
      <c r="AP303" s="8" t="str">
        <f t="shared" si="10"/>
        <v>Not yet endorsed</v>
      </c>
      <c r="AQ303" s="10" t="b" cm="1">
        <f t="array" aca="1" ref="AQ303" ca="1">IF(AM303&gt;0,(TODAY()-AM303),IF(AL303&gt;0,(TODAY()-AL303),IF(AK303&gt;0,(TODAY()-AK303,IF(AI303&gt;0,(TODAY()-AI303),IF(AG303&gt;0,(TODAY()-AG303),IF(AF303&gt;0,(TODAY()-AF303),IF(X303&gt;0,(TODAY()-X303)," "))))))))</f>
        <v>0</v>
      </c>
      <c r="BD303" s="2" t="str">
        <f t="shared" si="11"/>
        <v>TSSR Approved</v>
      </c>
      <c r="BE303" s="2" t="e">
        <v>#VALUE!</v>
      </c>
      <c r="BG303" s="2" t="e">
        <v>#N/A</v>
      </c>
    </row>
    <row r="304" spans="2:59" hidden="1" x14ac:dyDescent="0.25">
      <c r="B304" s="2" t="s">
        <v>1520</v>
      </c>
      <c r="C304" s="2" t="s">
        <v>1521</v>
      </c>
      <c r="D304" s="44" t="s">
        <v>1522</v>
      </c>
      <c r="E304" s="2" t="s">
        <v>11</v>
      </c>
      <c r="F304" s="2" t="s">
        <v>591</v>
      </c>
      <c r="G304" s="2" t="s">
        <v>1</v>
      </c>
      <c r="H304" s="2" t="s">
        <v>165</v>
      </c>
      <c r="I304" s="2" t="s">
        <v>68</v>
      </c>
      <c r="J304" s="2" t="s">
        <v>173</v>
      </c>
      <c r="K304" s="2" t="s">
        <v>592</v>
      </c>
      <c r="L304" s="2" t="s">
        <v>1523</v>
      </c>
      <c r="M304" s="2">
        <v>0</v>
      </c>
      <c r="N304" s="2">
        <v>8.5032270000000008</v>
      </c>
      <c r="O304" s="2">
        <v>124.58470699999999</v>
      </c>
      <c r="P304" s="2" t="s">
        <v>87</v>
      </c>
      <c r="Q304" s="2" t="s">
        <v>73</v>
      </c>
      <c r="R304" s="29" t="e">
        <f>IF(INDEX(#REF!,MATCH('data '!$B304,#REF!,0),MATCH('data '!R$3,#REF!,0))=0,"",INDEX(#REF!,MATCH('data '!$B304,#REF!,0),MATCH('data '!R$3,#REF!,0)))</f>
        <v>#REF!</v>
      </c>
      <c r="S304" s="29" t="e">
        <f>IF(INDEX(#REF!,MATCH('data '!$B304,#REF!,0),MATCH('data '!S$3,#REF!,0))=0,"",INDEX(#REF!,MATCH('data '!$B304,#REF!,0),MATCH('data '!S$3,#REF!,0)))</f>
        <v>#REF!</v>
      </c>
      <c r="T304" s="29" t="e">
        <f>IF(INDEX(#REF!,MATCH('data '!$B304,#REF!,0),MATCH('data '!T$3,#REF!,0))=0,"",INDEX(#REF!,MATCH('data '!$B304,#REF!,0),MATCH('data '!T$3,#REF!,0)))</f>
        <v>#REF!</v>
      </c>
      <c r="U304" s="8" t="s">
        <v>25</v>
      </c>
      <c r="V304" s="25" t="s">
        <v>560</v>
      </c>
      <c r="W304" s="25" t="s">
        <v>103</v>
      </c>
      <c r="X304" s="43" t="s">
        <v>25</v>
      </c>
      <c r="Y304" s="43">
        <v>45905</v>
      </c>
      <c r="AC304" s="8" t="e">
        <f>VLOOKUP(B304,#REF!,19,0)</f>
        <v>#REF!</v>
      </c>
      <c r="AP304" s="8" t="str">
        <f t="shared" si="10"/>
        <v>BP Secured</v>
      </c>
      <c r="AQ304" s="10" t="b" cm="1">
        <f t="array" aca="1" ref="AQ304" ca="1">IF(AM304&gt;0,(TODAY()-AM304),IF(AL304&gt;0,(TODAY()-AL304),IF(AK304&gt;0,(TODAY()-AK304,IF(AI304&gt;0,(TODAY()-AI304),IF(AG304&gt;0,(TODAY()-AG304),IF(AF304&gt;0,(TODAY()-AF304),IF(X304&gt;0,(TODAY()-X304)," "))))))))</f>
        <v>0</v>
      </c>
      <c r="BD304" s="2" t="str">
        <f t="shared" si="11"/>
        <v>BP Secured</v>
      </c>
      <c r="BE304" s="2" t="e">
        <v>#VALUE!</v>
      </c>
      <c r="BG304" s="2" t="e">
        <v>#N/A</v>
      </c>
    </row>
    <row r="305" spans="2:59" hidden="1" x14ac:dyDescent="0.25">
      <c r="B305" s="2" t="s">
        <v>1524</v>
      </c>
      <c r="C305" s="2" t="s">
        <v>1525</v>
      </c>
      <c r="D305" s="44" t="s">
        <v>1526</v>
      </c>
      <c r="E305" s="2" t="s">
        <v>11</v>
      </c>
      <c r="F305" s="2" t="s">
        <v>591</v>
      </c>
      <c r="G305" s="2" t="s">
        <v>1</v>
      </c>
      <c r="H305" s="2" t="s">
        <v>165</v>
      </c>
      <c r="I305" s="2" t="s">
        <v>68</v>
      </c>
      <c r="J305" s="2" t="s">
        <v>173</v>
      </c>
      <c r="K305" s="2" t="s">
        <v>592</v>
      </c>
      <c r="L305" s="2" t="s">
        <v>593</v>
      </c>
      <c r="M305" s="2">
        <v>0</v>
      </c>
      <c r="N305" s="2">
        <v>8.4751980000000007</v>
      </c>
      <c r="O305" s="2">
        <v>124.768732</v>
      </c>
      <c r="P305" s="2" t="s">
        <v>87</v>
      </c>
      <c r="Q305" s="2" t="s">
        <v>198</v>
      </c>
      <c r="R305" s="29" t="e">
        <f>IF(INDEX(#REF!,MATCH('data '!$B305,#REF!,0),MATCH('data '!R$3,#REF!,0))=0,"",INDEX(#REF!,MATCH('data '!$B305,#REF!,0),MATCH('data '!R$3,#REF!,0)))</f>
        <v>#REF!</v>
      </c>
      <c r="S305" s="29" t="e">
        <f>IF(INDEX(#REF!,MATCH('data '!$B305,#REF!,0),MATCH('data '!S$3,#REF!,0))=0,"",INDEX(#REF!,MATCH('data '!$B305,#REF!,0),MATCH('data '!S$3,#REF!,0)))</f>
        <v>#REF!</v>
      </c>
      <c r="T305" s="29" t="e">
        <f>IF(INDEX(#REF!,MATCH('data '!$B305,#REF!,0),MATCH('data '!T$3,#REF!,0))=0,"",INDEX(#REF!,MATCH('data '!$B305,#REF!,0),MATCH('data '!T$3,#REF!,0)))</f>
        <v>#REF!</v>
      </c>
      <c r="U305" s="8" t="s">
        <v>25</v>
      </c>
      <c r="V305" s="25" t="s">
        <v>185</v>
      </c>
      <c r="W305" s="25" t="s">
        <v>144</v>
      </c>
      <c r="X305" s="43" t="s">
        <v>25</v>
      </c>
      <c r="Y305" s="43">
        <v>45833</v>
      </c>
      <c r="AC305" s="8" t="e">
        <f>VLOOKUP(B305,#REF!,19,0)</f>
        <v>#REF!</v>
      </c>
      <c r="AE305" s="8" t="s">
        <v>472</v>
      </c>
      <c r="AP305" s="8" t="str">
        <f t="shared" si="10"/>
        <v>BP Secured</v>
      </c>
      <c r="AQ305" s="10" t="b" cm="1">
        <f t="array" aca="1" ref="AQ305" ca="1">IF(AM305&gt;0,(TODAY()-AM305),IF(AL305&gt;0,(TODAY()-AL305),IF(AK305&gt;0,(TODAY()-AK305,IF(AI305&gt;0,(TODAY()-AI305),IF(AG305&gt;0,(TODAY()-AG305),IF(AF305&gt;0,(TODAY()-AF305),IF(X305&gt;0,(TODAY()-X305)," "))))))))</f>
        <v>0</v>
      </c>
      <c r="AT305" s="8" t="s">
        <v>155</v>
      </c>
      <c r="AU305" s="8">
        <v>45883</v>
      </c>
      <c r="AV305" s="8">
        <v>45884</v>
      </c>
      <c r="AX305" s="8">
        <v>45887</v>
      </c>
      <c r="BD305" s="2" t="str">
        <f t="shared" si="11"/>
        <v>PO Issued</v>
      </c>
      <c r="BE305" s="2">
        <v>53</v>
      </c>
      <c r="BG305" s="2" t="e">
        <v>#N/A</v>
      </c>
    </row>
    <row r="306" spans="2:59" hidden="1" x14ac:dyDescent="0.25">
      <c r="B306" s="2" t="s">
        <v>1527</v>
      </c>
      <c r="C306" s="2" t="s">
        <v>1528</v>
      </c>
      <c r="D306" s="44" t="s">
        <v>1529</v>
      </c>
      <c r="E306" s="2" t="s">
        <v>11</v>
      </c>
      <c r="F306" s="2" t="s">
        <v>79</v>
      </c>
      <c r="G306" s="2" t="s">
        <v>1</v>
      </c>
      <c r="H306" s="2" t="s">
        <v>67</v>
      </c>
      <c r="I306" s="2" t="s">
        <v>68</v>
      </c>
      <c r="J306" s="2" t="s">
        <v>80</v>
      </c>
      <c r="K306" s="2" t="s">
        <v>81</v>
      </c>
      <c r="L306" s="2">
        <v>0</v>
      </c>
      <c r="M306" s="2">
        <v>0</v>
      </c>
      <c r="N306" s="2">
        <v>7.129175</v>
      </c>
      <c r="O306" s="2">
        <v>125.559166</v>
      </c>
      <c r="P306" s="2" t="s">
        <v>87</v>
      </c>
      <c r="Q306" s="2" t="s">
        <v>314</v>
      </c>
      <c r="R306" s="29" t="e">
        <f>IF(INDEX(#REF!,MATCH('data '!$B306,#REF!,0),MATCH('data '!R$3,#REF!,0))=0,"",INDEX(#REF!,MATCH('data '!$B306,#REF!,0),MATCH('data '!R$3,#REF!,0)))</f>
        <v>#REF!</v>
      </c>
      <c r="S306" s="29" t="e">
        <f>IF(INDEX(#REF!,MATCH('data '!$B306,#REF!,0),MATCH('data '!S$3,#REF!,0))=0,"",INDEX(#REF!,MATCH('data '!$B306,#REF!,0),MATCH('data '!S$3,#REF!,0)))</f>
        <v>#REF!</v>
      </c>
      <c r="T306" s="29" t="e">
        <f>IF(INDEX(#REF!,MATCH('data '!$B306,#REF!,0),MATCH('data '!T$3,#REF!,0))=0,"",INDEX(#REF!,MATCH('data '!$B306,#REF!,0),MATCH('data '!T$3,#REF!,0)))</f>
        <v>#REF!</v>
      </c>
      <c r="U306" s="8" t="s">
        <v>25</v>
      </c>
      <c r="V306" s="25" t="s">
        <v>560</v>
      </c>
      <c r="W306" s="25" t="s">
        <v>103</v>
      </c>
      <c r="X306" s="43" t="s">
        <v>25</v>
      </c>
      <c r="Y306" s="43">
        <v>45932</v>
      </c>
      <c r="AC306" s="8" t="e">
        <f>VLOOKUP(B306,#REF!,19,0)</f>
        <v>#REF!</v>
      </c>
      <c r="AP306" s="8" t="str">
        <f t="shared" si="10"/>
        <v>BP Secured</v>
      </c>
      <c r="AQ306" s="10" t="b" cm="1">
        <f t="array" aca="1" ref="AQ306" ca="1">IF(AM306&gt;0,(TODAY()-AM306),IF(AL306&gt;0,(TODAY()-AL306),IF(AK306&gt;0,(TODAY()-AK306,IF(AI306&gt;0,(TODAY()-AI306),IF(AG306&gt;0,(TODAY()-AG306),IF(AF306&gt;0,(TODAY()-AF306),IF(X306&gt;0,(TODAY()-X306)," "))))))))</f>
        <v>0</v>
      </c>
      <c r="BD306" s="2" t="str">
        <f t="shared" si="11"/>
        <v>BP Secured</v>
      </c>
      <c r="BE306" s="2" t="e">
        <v>#VALUE!</v>
      </c>
      <c r="BG306" s="2" t="e">
        <v>#N/A</v>
      </c>
    </row>
    <row r="307" spans="2:59" hidden="1" x14ac:dyDescent="0.25">
      <c r="B307" s="2" t="s">
        <v>1530</v>
      </c>
      <c r="C307" s="2" t="s">
        <v>1531</v>
      </c>
      <c r="D307" s="44" t="s">
        <v>1532</v>
      </c>
      <c r="E307" s="2" t="s">
        <v>11</v>
      </c>
      <c r="F307" s="2" t="s">
        <v>591</v>
      </c>
      <c r="G307" s="2" t="s">
        <v>1</v>
      </c>
      <c r="H307" s="2" t="s">
        <v>165</v>
      </c>
      <c r="I307" s="2" t="s">
        <v>68</v>
      </c>
      <c r="J307" s="2" t="s">
        <v>173</v>
      </c>
      <c r="K307" s="2" t="s">
        <v>592</v>
      </c>
      <c r="L307" s="2" t="s">
        <v>593</v>
      </c>
      <c r="M307" s="2">
        <v>0</v>
      </c>
      <c r="N307" s="2">
        <v>8.4866399999999995</v>
      </c>
      <c r="O307" s="2">
        <v>124.75021</v>
      </c>
      <c r="P307" s="2" t="s">
        <v>87</v>
      </c>
      <c r="Q307" s="2" t="s">
        <v>73</v>
      </c>
      <c r="R307" s="29" t="e">
        <f>IF(INDEX(#REF!,MATCH('data '!$B307,#REF!,0),MATCH('data '!R$3,#REF!,0))=0,"",INDEX(#REF!,MATCH('data '!$B307,#REF!,0),MATCH('data '!R$3,#REF!,0)))</f>
        <v>#REF!</v>
      </c>
      <c r="S307" s="29" t="e">
        <f>IF(INDEX(#REF!,MATCH('data '!$B307,#REF!,0),MATCH('data '!S$3,#REF!,0))=0,"",INDEX(#REF!,MATCH('data '!$B307,#REF!,0),MATCH('data '!S$3,#REF!,0)))</f>
        <v>#REF!</v>
      </c>
      <c r="T307" s="29" t="e">
        <f>IF(INDEX(#REF!,MATCH('data '!$B307,#REF!,0),MATCH('data '!T$3,#REF!,0))=0,"",INDEX(#REF!,MATCH('data '!$B307,#REF!,0),MATCH('data '!T$3,#REF!,0)))</f>
        <v>#REF!</v>
      </c>
      <c r="U307" s="8" t="s">
        <v>25</v>
      </c>
      <c r="V307" s="25" t="s">
        <v>160</v>
      </c>
      <c r="W307" s="25" t="s">
        <v>144</v>
      </c>
      <c r="X307" s="43" t="s">
        <v>25</v>
      </c>
      <c r="Y307" s="43">
        <v>0</v>
      </c>
      <c r="AC307" s="8" t="e">
        <f>VLOOKUP(B307,#REF!,19,0)</f>
        <v>#REF!</v>
      </c>
      <c r="AP307" s="8" t="str">
        <f t="shared" si="10"/>
        <v>BP Secured</v>
      </c>
      <c r="AQ307" s="10" t="b" cm="1">
        <f t="array" aca="1" ref="AQ307" ca="1">IF(AM307&gt;0,(TODAY()-AM307),IF(AL307&gt;0,(TODAY()-AL307),IF(AK307&gt;0,(TODAY()-AK307,IF(AI307&gt;0,(TODAY()-AI307),IF(AG307&gt;0,(TODAY()-AG307),IF(AF307&gt;0,(TODAY()-AF307),IF(X307&gt;0,(TODAY()-X307)," "))))))))</f>
        <v>0</v>
      </c>
      <c r="BD307" s="2" t="str">
        <f t="shared" si="11"/>
        <v>BP Secured</v>
      </c>
      <c r="BE307" s="2" t="e">
        <v>#VALUE!</v>
      </c>
      <c r="BG307" s="2" t="e">
        <v>#N/A</v>
      </c>
    </row>
    <row r="308" spans="2:59" hidden="1" x14ac:dyDescent="0.25">
      <c r="B308" s="2" t="s">
        <v>1533</v>
      </c>
      <c r="C308" s="2" t="s">
        <v>1534</v>
      </c>
      <c r="D308" s="44" t="s">
        <v>1535</v>
      </c>
      <c r="E308" s="2" t="s">
        <v>11</v>
      </c>
      <c r="F308" s="2" t="s">
        <v>850</v>
      </c>
      <c r="G308" s="2" t="s">
        <v>1</v>
      </c>
      <c r="H308" s="2" t="s">
        <v>165</v>
      </c>
      <c r="I308" s="2" t="s">
        <v>68</v>
      </c>
      <c r="J308" s="2" t="s">
        <v>173</v>
      </c>
      <c r="K308" s="2" t="s">
        <v>592</v>
      </c>
      <c r="L308" s="2" t="s">
        <v>1459</v>
      </c>
      <c r="M308" s="2" t="s">
        <v>1536</v>
      </c>
      <c r="N308" s="2">
        <v>0</v>
      </c>
      <c r="O308" s="2">
        <v>0</v>
      </c>
      <c r="P308" s="2" t="s">
        <v>82</v>
      </c>
      <c r="Q308" s="2" t="s">
        <v>73</v>
      </c>
      <c r="R308" s="29" t="e">
        <f>IF(INDEX(#REF!,MATCH('data '!$B308,#REF!,0),MATCH('data '!R$3,#REF!,0))=0,"",INDEX(#REF!,MATCH('data '!$B308,#REF!,0),MATCH('data '!R$3,#REF!,0)))</f>
        <v>#REF!</v>
      </c>
      <c r="S308" s="29" t="e">
        <f>IF(INDEX(#REF!,MATCH('data '!$B308,#REF!,0),MATCH('data '!S$3,#REF!,0))=0,"",INDEX(#REF!,MATCH('data '!$B308,#REF!,0),MATCH('data '!S$3,#REF!,0)))</f>
        <v>#REF!</v>
      </c>
      <c r="T308" s="29" t="e">
        <f>IF(INDEX(#REF!,MATCH('data '!$B308,#REF!,0),MATCH('data '!T$3,#REF!,0))=0,"",INDEX(#REF!,MATCH('data '!$B308,#REF!,0),MATCH('data '!T$3,#REF!,0)))</f>
        <v>#REF!</v>
      </c>
      <c r="U308" s="8" t="s">
        <v>25</v>
      </c>
      <c r="V308" s="25" t="s">
        <v>133</v>
      </c>
      <c r="W308" s="25" t="s">
        <v>134</v>
      </c>
      <c r="AC308" s="8" t="e">
        <f>VLOOKUP(B308,#REF!,19,0)</f>
        <v>#REF!</v>
      </c>
      <c r="AP308" s="8" t="str">
        <f t="shared" si="10"/>
        <v>Not yet endorsed</v>
      </c>
      <c r="AQ308" s="10" t="b" cm="1">
        <f t="array" aca="1" ref="AQ308" ca="1">IF(AM308&gt;0,(TODAY()-AM308),IF(AL308&gt;0,(TODAY()-AL308),IF(AK308&gt;0,(TODAY()-AK308,IF(AI308&gt;0,(TODAY()-AI308),IF(AG308&gt;0,(TODAY()-AG308),IF(AF308&gt;0,(TODAY()-AF308),IF(X308&gt;0,(TODAY()-X308)," "))))))))</f>
        <v>0</v>
      </c>
      <c r="BD308" s="2" t="str">
        <f t="shared" si="11"/>
        <v>TSSR Approved</v>
      </c>
      <c r="BE308" s="2" t="e">
        <v>#VALUE!</v>
      </c>
      <c r="BG308" s="2" t="e">
        <v>#N/A</v>
      </c>
    </row>
    <row r="309" spans="2:59" hidden="1" x14ac:dyDescent="0.25">
      <c r="B309" s="2" t="s">
        <v>1537</v>
      </c>
      <c r="C309" s="2" t="s">
        <v>1538</v>
      </c>
      <c r="D309" s="44" t="s">
        <v>1539</v>
      </c>
      <c r="E309" s="2" t="s">
        <v>11</v>
      </c>
      <c r="F309" s="2" t="s">
        <v>591</v>
      </c>
      <c r="G309" s="2" t="s">
        <v>1</v>
      </c>
      <c r="H309" s="2" t="s">
        <v>165</v>
      </c>
      <c r="I309" s="2" t="s">
        <v>68</v>
      </c>
      <c r="J309" s="2" t="s">
        <v>173</v>
      </c>
      <c r="K309" s="2" t="s">
        <v>592</v>
      </c>
      <c r="L309" s="2" t="s">
        <v>823</v>
      </c>
      <c r="M309" s="2" t="s">
        <v>471</v>
      </c>
      <c r="N309" s="2">
        <v>8.5006599999999999</v>
      </c>
      <c r="O309" s="2">
        <v>124.46284</v>
      </c>
      <c r="P309" s="2" t="s">
        <v>87</v>
      </c>
      <c r="Q309" s="2" t="s">
        <v>227</v>
      </c>
      <c r="R309" s="29" t="e">
        <f>IF(INDEX(#REF!,MATCH('data '!$B309,#REF!,0),MATCH('data '!R$3,#REF!,0))=0,"",INDEX(#REF!,MATCH('data '!$B309,#REF!,0),MATCH('data '!R$3,#REF!,0)))</f>
        <v>#REF!</v>
      </c>
      <c r="S309" s="29" t="e">
        <f>IF(INDEX(#REF!,MATCH('data '!$B309,#REF!,0),MATCH('data '!S$3,#REF!,0))=0,"",INDEX(#REF!,MATCH('data '!$B309,#REF!,0),MATCH('data '!S$3,#REF!,0)))</f>
        <v>#REF!</v>
      </c>
      <c r="T309" s="29" t="e">
        <f>IF(INDEX(#REF!,MATCH('data '!$B309,#REF!,0),MATCH('data '!T$3,#REF!,0))=0,"",INDEX(#REF!,MATCH('data '!$B309,#REF!,0),MATCH('data '!T$3,#REF!,0)))</f>
        <v>#REF!</v>
      </c>
      <c r="U309" s="8" t="s">
        <v>25</v>
      </c>
      <c r="V309" s="25" t="s">
        <v>160</v>
      </c>
      <c r="W309" s="25" t="s">
        <v>144</v>
      </c>
      <c r="X309" s="43" t="s">
        <v>25</v>
      </c>
      <c r="Y309" s="43">
        <v>45845</v>
      </c>
      <c r="Z309" s="8">
        <v>45846</v>
      </c>
      <c r="AC309" s="8" t="e">
        <f>VLOOKUP(B309,#REF!,19,0)</f>
        <v>#REF!</v>
      </c>
      <c r="AP309" s="8" t="str">
        <f t="shared" si="10"/>
        <v>BP Secured</v>
      </c>
      <c r="AQ309" s="10" t="b" cm="1">
        <f t="array" aca="1" ref="AQ309" ca="1">IF(AM309&gt;0,(TODAY()-AM309),IF(AL309&gt;0,(TODAY()-AL309),IF(AK309&gt;0,(TODAY()-AK309,IF(AI309&gt;0,(TODAY()-AI309),IF(AG309&gt;0,(TODAY()-AG309),IF(AF309&gt;0,(TODAY()-AF309),IF(X309&gt;0,(TODAY()-X309)," "))))))))</f>
        <v>0</v>
      </c>
      <c r="BD309" s="2" t="str">
        <f t="shared" si="11"/>
        <v>BP Secured</v>
      </c>
      <c r="BE309" s="2" t="e">
        <v>#VALUE!</v>
      </c>
      <c r="BG309" s="2" t="e">
        <v>#N/A</v>
      </c>
    </row>
    <row r="310" spans="2:59" hidden="1" x14ac:dyDescent="0.25">
      <c r="B310" s="2" t="s">
        <v>1540</v>
      </c>
      <c r="C310" s="2" t="s">
        <v>1541</v>
      </c>
      <c r="D310" s="44" t="s">
        <v>1542</v>
      </c>
      <c r="E310" s="2" t="s">
        <v>11</v>
      </c>
      <c r="F310" s="2">
        <v>0</v>
      </c>
      <c r="G310" s="2" t="s">
        <v>1</v>
      </c>
      <c r="H310" s="2" t="s">
        <v>67</v>
      </c>
      <c r="I310" s="2" t="s">
        <v>68</v>
      </c>
      <c r="J310" s="2" t="s">
        <v>80</v>
      </c>
      <c r="K310" s="2" t="s">
        <v>81</v>
      </c>
      <c r="L310" s="2">
        <v>0</v>
      </c>
      <c r="M310" s="2">
        <v>0</v>
      </c>
      <c r="N310" s="2">
        <v>0</v>
      </c>
      <c r="O310" s="2">
        <v>0</v>
      </c>
      <c r="P310" s="2" t="s">
        <v>568</v>
      </c>
      <c r="Q310" s="2">
        <v>0</v>
      </c>
      <c r="R310" s="29" t="e">
        <f>IF(INDEX(#REF!,MATCH('data '!$B310,#REF!,0),MATCH('data '!R$3,#REF!,0))=0,"",INDEX(#REF!,MATCH('data '!$B310,#REF!,0),MATCH('data '!R$3,#REF!,0)))</f>
        <v>#REF!</v>
      </c>
      <c r="S310" s="29" t="e">
        <f>IF(INDEX(#REF!,MATCH('data '!$B310,#REF!,0),MATCH('data '!S$3,#REF!,0))=0,"",INDEX(#REF!,MATCH('data '!$B310,#REF!,0),MATCH('data '!S$3,#REF!,0)))</f>
        <v>#REF!</v>
      </c>
      <c r="T310" s="29" t="e">
        <f>IF(INDEX(#REF!,MATCH('data '!$B310,#REF!,0),MATCH('data '!T$3,#REF!,0))=0,"",INDEX(#REF!,MATCH('data '!$B310,#REF!,0),MATCH('data '!T$3,#REF!,0)))</f>
        <v>#REF!</v>
      </c>
      <c r="V310" s="25" t="s">
        <v>789</v>
      </c>
      <c r="W310" s="25">
        <v>0</v>
      </c>
      <c r="AC310" s="8" t="e">
        <f>VLOOKUP(B310,#REF!,19,0)</f>
        <v>#REF!</v>
      </c>
      <c r="AP310" s="8" t="str">
        <f t="shared" si="10"/>
        <v>Not yet endorsed</v>
      </c>
      <c r="AQ310" s="10" t="b" cm="1">
        <f t="array" aca="1" ref="AQ310" ca="1">IF(AM310&gt;0,(TODAY()-AM310),IF(AL310&gt;0,(TODAY()-AL310),IF(AK310&gt;0,(TODAY()-AK310,IF(AI310&gt;0,(TODAY()-AI310),IF(AG310&gt;0,(TODAY()-AG310),IF(AF310&gt;0,(TODAY()-AF310),IF(X310&gt;0,(TODAY()-X310)," "))))))))</f>
        <v>0</v>
      </c>
      <c r="BD310" s="2" t="str">
        <f t="shared" si="11"/>
        <v>Not yet endorsed</v>
      </c>
      <c r="BE310" s="2" t="s">
        <v>75</v>
      </c>
      <c r="BG310" s="2" t="e">
        <v>#N/A</v>
      </c>
    </row>
    <row r="311" spans="2:59" hidden="1" x14ac:dyDescent="0.25">
      <c r="B311" s="2" t="s">
        <v>1543</v>
      </c>
      <c r="C311" s="2" t="s">
        <v>1544</v>
      </c>
      <c r="D311" s="44" t="s">
        <v>1545</v>
      </c>
      <c r="E311" s="2" t="s">
        <v>11</v>
      </c>
      <c r="F311" s="2">
        <v>0</v>
      </c>
      <c r="G311" s="2" t="s">
        <v>1</v>
      </c>
      <c r="H311" s="2" t="s">
        <v>67</v>
      </c>
      <c r="I311" s="2" t="s">
        <v>68</v>
      </c>
      <c r="J311" s="2" t="s">
        <v>80</v>
      </c>
      <c r="K311" s="2" t="s">
        <v>81</v>
      </c>
      <c r="L311" s="2">
        <v>0</v>
      </c>
      <c r="M311" s="2">
        <v>0</v>
      </c>
      <c r="N311" s="2">
        <v>0</v>
      </c>
      <c r="O311" s="2">
        <v>0</v>
      </c>
      <c r="P311" s="2" t="s">
        <v>168</v>
      </c>
      <c r="Q311" s="2">
        <v>0</v>
      </c>
      <c r="R311" s="29" t="e">
        <f>IF(INDEX(#REF!,MATCH('data '!$B311,#REF!,0),MATCH('data '!R$3,#REF!,0))=0,"",INDEX(#REF!,MATCH('data '!$B311,#REF!,0),MATCH('data '!R$3,#REF!,0)))</f>
        <v>#REF!</v>
      </c>
      <c r="S311" s="29" t="e">
        <f>IF(INDEX(#REF!,MATCH('data '!$B311,#REF!,0),MATCH('data '!S$3,#REF!,0))=0,"",INDEX(#REF!,MATCH('data '!$B311,#REF!,0),MATCH('data '!S$3,#REF!,0)))</f>
        <v>#REF!</v>
      </c>
      <c r="T311" s="29" t="e">
        <f>IF(INDEX(#REF!,MATCH('data '!$B311,#REF!,0),MATCH('data '!T$3,#REF!,0))=0,"",INDEX(#REF!,MATCH('data '!$B311,#REF!,0),MATCH('data '!T$3,#REF!,0)))</f>
        <v>#REF!</v>
      </c>
      <c r="V311" s="25" t="s">
        <v>168</v>
      </c>
      <c r="W311" s="25" t="s">
        <v>176</v>
      </c>
      <c r="AC311" s="8" t="e">
        <f>VLOOKUP(B311,#REF!,19,0)</f>
        <v>#REF!</v>
      </c>
      <c r="AP311" s="8" t="str">
        <f t="shared" si="10"/>
        <v>Not yet endorsed</v>
      </c>
      <c r="AQ311" s="10" t="b" cm="1">
        <f t="array" aca="1" ref="AQ311" ca="1">IF(AM311&gt;0,(TODAY()-AM311),IF(AL311&gt;0,(TODAY()-AL311),IF(AK311&gt;0,(TODAY()-AK311,IF(AI311&gt;0,(TODAY()-AI311),IF(AG311&gt;0,(TODAY()-AG311),IF(AF311&gt;0,(TODAY()-AF311),IF(X311&gt;0,(TODAY()-X311)," "))))))))</f>
        <v>0</v>
      </c>
      <c r="BD311" s="2" t="str">
        <f t="shared" si="11"/>
        <v>Not yet endorsed</v>
      </c>
      <c r="BE311" s="2" t="s">
        <v>75</v>
      </c>
      <c r="BG311" s="2" t="e">
        <v>#N/A</v>
      </c>
    </row>
    <row r="312" spans="2:59" hidden="1" x14ac:dyDescent="0.25">
      <c r="B312" s="2" t="s">
        <v>1546</v>
      </c>
      <c r="C312" s="2" t="s">
        <v>1547</v>
      </c>
      <c r="D312" s="44" t="s">
        <v>1548</v>
      </c>
      <c r="E312" s="2" t="s">
        <v>11</v>
      </c>
      <c r="F312" s="2">
        <v>0</v>
      </c>
      <c r="G312" s="2" t="s">
        <v>1</v>
      </c>
      <c r="H312" s="2" t="s">
        <v>67</v>
      </c>
      <c r="I312" s="2" t="s">
        <v>68</v>
      </c>
      <c r="J312" s="2" t="s">
        <v>80</v>
      </c>
      <c r="K312" s="2" t="s">
        <v>81</v>
      </c>
      <c r="L312" s="2">
        <v>0</v>
      </c>
      <c r="M312" s="2">
        <v>0</v>
      </c>
      <c r="N312" s="2">
        <v>0</v>
      </c>
      <c r="O312" s="2">
        <v>0</v>
      </c>
      <c r="P312" s="2" t="s">
        <v>72</v>
      </c>
      <c r="Q312" s="2">
        <v>0</v>
      </c>
      <c r="R312" s="29" t="e">
        <f>IF(INDEX(#REF!,MATCH('data '!$B312,#REF!,0),MATCH('data '!R$3,#REF!,0))=0,"",INDEX(#REF!,MATCH('data '!$B312,#REF!,0),MATCH('data '!R$3,#REF!,0)))</f>
        <v>#REF!</v>
      </c>
      <c r="S312" s="29" t="e">
        <f>IF(INDEX(#REF!,MATCH('data '!$B312,#REF!,0),MATCH('data '!S$3,#REF!,0))=0,"",INDEX(#REF!,MATCH('data '!$B312,#REF!,0),MATCH('data '!S$3,#REF!,0)))</f>
        <v>#REF!</v>
      </c>
      <c r="T312" s="29" t="e">
        <f>IF(INDEX(#REF!,MATCH('data '!$B312,#REF!,0),MATCH('data '!T$3,#REF!,0))=0,"",INDEX(#REF!,MATCH('data '!$B312,#REF!,0),MATCH('data '!T$3,#REF!,0)))</f>
        <v>#REF!</v>
      </c>
      <c r="V312" s="25" t="s">
        <v>74</v>
      </c>
      <c r="W312" s="25">
        <v>0</v>
      </c>
      <c r="AC312" s="8" t="e">
        <f>VLOOKUP(B312,#REF!,19,0)</f>
        <v>#REF!</v>
      </c>
      <c r="AP312" s="8" t="str">
        <f t="shared" si="10"/>
        <v>Not yet endorsed</v>
      </c>
      <c r="AQ312" s="10" t="b" cm="1">
        <f t="array" aca="1" ref="AQ312" ca="1">IF(AM312&gt;0,(TODAY()-AM312),IF(AL312&gt;0,(TODAY()-AL312),IF(AK312&gt;0,(TODAY()-AK312,IF(AI312&gt;0,(TODAY()-AI312),IF(AG312&gt;0,(TODAY()-AG312),IF(AF312&gt;0,(TODAY()-AF312),IF(X312&gt;0,(TODAY()-X312)," "))))))))</f>
        <v>0</v>
      </c>
      <c r="BD312" s="2" t="str">
        <f t="shared" si="11"/>
        <v>Not yet endorsed</v>
      </c>
      <c r="BE312" s="2" t="s">
        <v>75</v>
      </c>
      <c r="BG312" s="2" t="e">
        <v>#N/A</v>
      </c>
    </row>
    <row r="313" spans="2:59" hidden="1" x14ac:dyDescent="0.25">
      <c r="B313" s="2" t="s">
        <v>1549</v>
      </c>
      <c r="C313" s="2" t="s">
        <v>1550</v>
      </c>
      <c r="D313" s="44" t="s">
        <v>1551</v>
      </c>
      <c r="E313" s="2" t="s">
        <v>11</v>
      </c>
      <c r="F313" s="2" t="s">
        <v>1260</v>
      </c>
      <c r="G313" s="2" t="s">
        <v>1</v>
      </c>
      <c r="H313" s="2" t="s">
        <v>165</v>
      </c>
      <c r="I313" s="2" t="s">
        <v>68</v>
      </c>
      <c r="J313" s="2" t="s">
        <v>181</v>
      </c>
      <c r="K313" s="2" t="s">
        <v>182</v>
      </c>
      <c r="L313" s="2" t="s">
        <v>1552</v>
      </c>
      <c r="M313" s="2">
        <v>0</v>
      </c>
      <c r="N313" s="2">
        <v>0</v>
      </c>
      <c r="O313" s="2">
        <v>0</v>
      </c>
      <c r="P313" s="2" t="s">
        <v>116</v>
      </c>
      <c r="Q313" s="2" t="s">
        <v>73</v>
      </c>
      <c r="R313" s="29" t="e">
        <f>IF(INDEX(#REF!,MATCH('data '!$B313,#REF!,0),MATCH('data '!R$3,#REF!,0))=0,"",INDEX(#REF!,MATCH('data '!$B313,#REF!,0),MATCH('data '!R$3,#REF!,0)))</f>
        <v>#REF!</v>
      </c>
      <c r="S313" s="29" t="e">
        <f>IF(INDEX(#REF!,MATCH('data '!$B313,#REF!,0),MATCH('data '!S$3,#REF!,0))=0,"",INDEX(#REF!,MATCH('data '!$B313,#REF!,0),MATCH('data '!S$3,#REF!,0)))</f>
        <v>#REF!</v>
      </c>
      <c r="T313" s="29" t="e">
        <f>IF(INDEX(#REF!,MATCH('data '!$B313,#REF!,0),MATCH('data '!T$3,#REF!,0))=0,"",INDEX(#REF!,MATCH('data '!$B313,#REF!,0),MATCH('data '!T$3,#REF!,0)))</f>
        <v>#REF!</v>
      </c>
      <c r="V313" s="25" t="s">
        <v>74</v>
      </c>
      <c r="W313" s="25">
        <v>0</v>
      </c>
      <c r="AC313" s="8" t="e">
        <f>VLOOKUP(B313,#REF!,19,0)</f>
        <v>#REF!</v>
      </c>
      <c r="AP313" s="8" t="str">
        <f t="shared" si="10"/>
        <v>Not yet endorsed</v>
      </c>
      <c r="AQ313" s="10" t="b" cm="1">
        <f t="array" aca="1" ref="AQ313" ca="1">IF(AM313&gt;0,(TODAY()-AM313),IF(AL313&gt;0,(TODAY()-AL313),IF(AK313&gt;0,(TODAY()-AK313,IF(AI313&gt;0,(TODAY()-AI313),IF(AG313&gt;0,(TODAY()-AG313),IF(AF313&gt;0,(TODAY()-AF313),IF(X313&gt;0,(TODAY()-X313)," "))))))))</f>
        <v>0</v>
      </c>
      <c r="BD313" s="2" t="str">
        <f t="shared" si="11"/>
        <v>Not yet endorsed</v>
      </c>
      <c r="BE313" s="2" t="s">
        <v>75</v>
      </c>
      <c r="BG313" s="2" t="e">
        <v>#N/A</v>
      </c>
    </row>
    <row r="314" spans="2:59" hidden="1" x14ac:dyDescent="0.25">
      <c r="B314" s="2" t="s">
        <v>1553</v>
      </c>
      <c r="C314" s="2" t="s">
        <v>1554</v>
      </c>
      <c r="D314" s="44" t="s">
        <v>1555</v>
      </c>
      <c r="E314" s="2" t="s">
        <v>11</v>
      </c>
      <c r="F314" s="2">
        <v>0</v>
      </c>
      <c r="G314" s="2" t="s">
        <v>1</v>
      </c>
      <c r="H314" s="2" t="s">
        <v>67</v>
      </c>
      <c r="I314" s="2" t="s">
        <v>68</v>
      </c>
      <c r="J314" s="2" t="s">
        <v>69</v>
      </c>
      <c r="K314" s="2" t="s">
        <v>70</v>
      </c>
      <c r="L314" s="2">
        <v>0</v>
      </c>
      <c r="M314" s="2">
        <v>0</v>
      </c>
      <c r="N314" s="2">
        <v>0</v>
      </c>
      <c r="O314" s="2">
        <v>0</v>
      </c>
      <c r="P314" s="2" t="s">
        <v>482</v>
      </c>
      <c r="Q314" s="2">
        <v>0</v>
      </c>
      <c r="R314" s="29" t="e">
        <f>IF(INDEX(#REF!,MATCH('data '!$B314,#REF!,0),MATCH('data '!R$3,#REF!,0))=0,"",INDEX(#REF!,MATCH('data '!$B314,#REF!,0),MATCH('data '!R$3,#REF!,0)))</f>
        <v>#REF!</v>
      </c>
      <c r="S314" s="29" t="e">
        <f>IF(INDEX(#REF!,MATCH('data '!$B314,#REF!,0),MATCH('data '!S$3,#REF!,0))=0,"",INDEX(#REF!,MATCH('data '!$B314,#REF!,0),MATCH('data '!S$3,#REF!,0)))</f>
        <v>#REF!</v>
      </c>
      <c r="T314" s="29" t="e">
        <f>IF(INDEX(#REF!,MATCH('data '!$B314,#REF!,0),MATCH('data '!T$3,#REF!,0))=0,"",INDEX(#REF!,MATCH('data '!$B314,#REF!,0),MATCH('data '!T$3,#REF!,0)))</f>
        <v>#REF!</v>
      </c>
      <c r="V314" s="25" t="s">
        <v>74</v>
      </c>
      <c r="W314" s="25">
        <v>0</v>
      </c>
      <c r="AC314" s="8" t="e">
        <f>VLOOKUP(B314,#REF!,19,0)</f>
        <v>#REF!</v>
      </c>
      <c r="AP314" s="8" t="str">
        <f t="shared" si="10"/>
        <v>Not yet endorsed</v>
      </c>
      <c r="AQ314" s="10" t="b" cm="1">
        <f t="array" aca="1" ref="AQ314" ca="1">IF(AM314&gt;0,(TODAY()-AM314),IF(AL314&gt;0,(TODAY()-AL314),IF(AK314&gt;0,(TODAY()-AK314,IF(AI314&gt;0,(TODAY()-AI314),IF(AG314&gt;0,(TODAY()-AG314),IF(AF314&gt;0,(TODAY()-AF314),IF(X314&gt;0,(TODAY()-X314)," "))))))))</f>
        <v>0</v>
      </c>
      <c r="BD314" s="2" t="str">
        <f t="shared" si="11"/>
        <v>Not yet endorsed</v>
      </c>
      <c r="BE314" s="2" t="s">
        <v>75</v>
      </c>
      <c r="BG314" s="2" t="e">
        <v>#N/A</v>
      </c>
    </row>
    <row r="315" spans="2:59" hidden="1" x14ac:dyDescent="0.25">
      <c r="B315" s="2" t="s">
        <v>1556</v>
      </c>
      <c r="C315" s="2" t="s">
        <v>1557</v>
      </c>
      <c r="D315" s="44" t="s">
        <v>1558</v>
      </c>
      <c r="E315" s="2" t="s">
        <v>11</v>
      </c>
      <c r="F315" s="2">
        <v>0</v>
      </c>
      <c r="G315" s="2" t="s">
        <v>1</v>
      </c>
      <c r="H315" s="2" t="s">
        <v>67</v>
      </c>
      <c r="I315" s="2" t="s">
        <v>68</v>
      </c>
      <c r="J315" s="2" t="s">
        <v>80</v>
      </c>
      <c r="K315" s="2" t="s">
        <v>81</v>
      </c>
      <c r="L315" s="2">
        <v>0</v>
      </c>
      <c r="M315" s="2">
        <v>0</v>
      </c>
      <c r="N315" s="2">
        <v>0</v>
      </c>
      <c r="O315" s="2">
        <v>0</v>
      </c>
      <c r="P315" s="2" t="s">
        <v>568</v>
      </c>
      <c r="Q315" s="2">
        <v>0</v>
      </c>
      <c r="R315" s="29" t="e">
        <f>IF(INDEX(#REF!,MATCH('data '!$B315,#REF!,0),MATCH('data '!R$3,#REF!,0))=0,"",INDEX(#REF!,MATCH('data '!$B315,#REF!,0),MATCH('data '!R$3,#REF!,0)))</f>
        <v>#REF!</v>
      </c>
      <c r="S315" s="29" t="e">
        <f>IF(INDEX(#REF!,MATCH('data '!$B315,#REF!,0),MATCH('data '!S$3,#REF!,0))=0,"",INDEX(#REF!,MATCH('data '!$B315,#REF!,0),MATCH('data '!S$3,#REF!,0)))</f>
        <v>#REF!</v>
      </c>
      <c r="T315" s="29" t="e">
        <f>IF(INDEX(#REF!,MATCH('data '!$B315,#REF!,0),MATCH('data '!T$3,#REF!,0))=0,"",INDEX(#REF!,MATCH('data '!$B315,#REF!,0),MATCH('data '!T$3,#REF!,0)))</f>
        <v>#REF!</v>
      </c>
      <c r="V315" s="25" t="s">
        <v>168</v>
      </c>
      <c r="W315" s="25" t="s">
        <v>176</v>
      </c>
      <c r="AC315" s="8" t="e">
        <f>VLOOKUP(B315,#REF!,19,0)</f>
        <v>#REF!</v>
      </c>
      <c r="AP315" s="8" t="str">
        <f t="shared" si="10"/>
        <v>Not yet endorsed</v>
      </c>
      <c r="AQ315" s="10" t="b" cm="1">
        <f t="array" aca="1" ref="AQ315" ca="1">IF(AM315&gt;0,(TODAY()-AM315),IF(AL315&gt;0,(TODAY()-AL315),IF(AK315&gt;0,(TODAY()-AK315,IF(AI315&gt;0,(TODAY()-AI315),IF(AG315&gt;0,(TODAY()-AG315),IF(AF315&gt;0,(TODAY()-AF315),IF(X315&gt;0,(TODAY()-X315)," "))))))))</f>
        <v>0</v>
      </c>
      <c r="BD315" s="2" t="str">
        <f t="shared" si="11"/>
        <v>Not yet endorsed</v>
      </c>
      <c r="BE315" s="2" t="s">
        <v>75</v>
      </c>
      <c r="BG315" s="2" t="e">
        <v>#N/A</v>
      </c>
    </row>
    <row r="316" spans="2:59" hidden="1" x14ac:dyDescent="0.25">
      <c r="B316" s="2" t="s">
        <v>1559</v>
      </c>
      <c r="C316" s="2" t="s">
        <v>1560</v>
      </c>
      <c r="D316" s="44" t="s">
        <v>1561</v>
      </c>
      <c r="E316" s="2" t="s">
        <v>11</v>
      </c>
      <c r="F316" s="2">
        <v>0</v>
      </c>
      <c r="G316" s="2" t="s">
        <v>1</v>
      </c>
      <c r="H316" s="2" t="s">
        <v>67</v>
      </c>
      <c r="I316" s="2" t="s">
        <v>68</v>
      </c>
      <c r="J316" s="2" t="s">
        <v>69</v>
      </c>
      <c r="K316" s="2" t="s">
        <v>70</v>
      </c>
      <c r="L316" s="2">
        <v>0</v>
      </c>
      <c r="M316" s="2">
        <v>0</v>
      </c>
      <c r="N316" s="2">
        <v>0</v>
      </c>
      <c r="O316" s="2">
        <v>0</v>
      </c>
      <c r="P316" s="2" t="s">
        <v>318</v>
      </c>
      <c r="Q316" s="2">
        <v>0</v>
      </c>
      <c r="R316" s="29" t="e">
        <f>IF(INDEX(#REF!,MATCH('data '!$B316,#REF!,0),MATCH('data '!R$3,#REF!,0))=0,"",INDEX(#REF!,MATCH('data '!$B316,#REF!,0),MATCH('data '!R$3,#REF!,0)))</f>
        <v>#REF!</v>
      </c>
      <c r="S316" s="29" t="e">
        <f>IF(INDEX(#REF!,MATCH('data '!$B316,#REF!,0),MATCH('data '!S$3,#REF!,0))=0,"",INDEX(#REF!,MATCH('data '!$B316,#REF!,0),MATCH('data '!S$3,#REF!,0)))</f>
        <v>#REF!</v>
      </c>
      <c r="T316" s="29" t="e">
        <f>IF(INDEX(#REF!,MATCH('data '!$B316,#REF!,0),MATCH('data '!T$3,#REF!,0))=0,"",INDEX(#REF!,MATCH('data '!$B316,#REF!,0),MATCH('data '!T$3,#REF!,0)))</f>
        <v>#REF!</v>
      </c>
      <c r="V316" s="25" t="s">
        <v>74</v>
      </c>
      <c r="W316" s="25">
        <v>0</v>
      </c>
      <c r="AC316" s="8" t="e">
        <f>VLOOKUP(B316,#REF!,19,0)</f>
        <v>#REF!</v>
      </c>
      <c r="AP316" s="8" t="str">
        <f t="shared" si="10"/>
        <v>Not yet endorsed</v>
      </c>
      <c r="AQ316" s="10" t="b" cm="1">
        <f t="array" aca="1" ref="AQ316" ca="1">IF(AM316&gt;0,(TODAY()-AM316),IF(AL316&gt;0,(TODAY()-AL316),IF(AK316&gt;0,(TODAY()-AK316,IF(AI316&gt;0,(TODAY()-AI316),IF(AG316&gt;0,(TODAY()-AG316),IF(AF316&gt;0,(TODAY()-AF316),IF(X316&gt;0,(TODAY()-X316)," "))))))))</f>
        <v>0</v>
      </c>
      <c r="BD316" s="2" t="str">
        <f t="shared" si="11"/>
        <v>Not yet endorsed</v>
      </c>
      <c r="BE316" s="2" t="s">
        <v>75</v>
      </c>
      <c r="BG316" s="2" t="e">
        <v>#N/A</v>
      </c>
    </row>
    <row r="317" spans="2:59" hidden="1" x14ac:dyDescent="0.25">
      <c r="B317" s="2" t="s">
        <v>1562</v>
      </c>
      <c r="C317" s="2" t="s">
        <v>1563</v>
      </c>
      <c r="D317" s="44" t="s">
        <v>1564</v>
      </c>
      <c r="E317" s="2" t="s">
        <v>11</v>
      </c>
      <c r="F317" s="2">
        <v>0</v>
      </c>
      <c r="G317" s="2" t="s">
        <v>1</v>
      </c>
      <c r="H317" s="2" t="s">
        <v>165</v>
      </c>
      <c r="I317" s="2" t="s">
        <v>68</v>
      </c>
      <c r="J317" s="2" t="s">
        <v>181</v>
      </c>
      <c r="K317" s="2" t="s">
        <v>697</v>
      </c>
      <c r="L317" s="2" t="s">
        <v>1565</v>
      </c>
      <c r="M317" s="2">
        <v>0</v>
      </c>
      <c r="N317" s="2">
        <v>8.1663999999999994</v>
      </c>
      <c r="O317" s="2">
        <v>122.9421</v>
      </c>
      <c r="P317" s="2" t="s">
        <v>87</v>
      </c>
      <c r="Q317" s="2" t="s">
        <v>198</v>
      </c>
      <c r="R317" s="29" t="e">
        <f>IF(INDEX(#REF!,MATCH('data '!$B317,#REF!,0),MATCH('data '!R$3,#REF!,0))=0,"",INDEX(#REF!,MATCH('data '!$B317,#REF!,0),MATCH('data '!R$3,#REF!,0)))</f>
        <v>#REF!</v>
      </c>
      <c r="S317" s="29" t="e">
        <f>IF(INDEX(#REF!,MATCH('data '!$B317,#REF!,0),MATCH('data '!S$3,#REF!,0))=0,"",INDEX(#REF!,MATCH('data '!$B317,#REF!,0),MATCH('data '!S$3,#REF!,0)))</f>
        <v>#REF!</v>
      </c>
      <c r="T317" s="29" t="e">
        <f>IF(INDEX(#REF!,MATCH('data '!$B317,#REF!,0),MATCH('data '!T$3,#REF!,0))=0,"",INDEX(#REF!,MATCH('data '!$B317,#REF!,0),MATCH('data '!T$3,#REF!,0)))</f>
        <v>#REF!</v>
      </c>
      <c r="V317" s="25" t="s">
        <v>351</v>
      </c>
      <c r="W317" s="25" t="s">
        <v>144</v>
      </c>
      <c r="X317" s="43" t="s">
        <v>25</v>
      </c>
      <c r="Y317" s="43">
        <v>45827</v>
      </c>
      <c r="Z317" s="8">
        <v>45695</v>
      </c>
      <c r="AC317" s="8" t="e">
        <f>VLOOKUP(B317,#REF!,19,0)</f>
        <v>#REF!</v>
      </c>
      <c r="AE317" s="8" t="s">
        <v>1222</v>
      </c>
      <c r="AP317" s="8" t="str">
        <f t="shared" si="10"/>
        <v>BP Secured</v>
      </c>
      <c r="AQ317" s="10" t="b" cm="1">
        <f t="array" aca="1" ref="AQ317" ca="1">IF(AM317&gt;0,(TODAY()-AM317),IF(AL317&gt;0,(TODAY()-AL317),IF(AK317&gt;0,(TODAY()-AK317,IF(AI317&gt;0,(TODAY()-AI317),IF(AG317&gt;0,(TODAY()-AG317),IF(AF317&gt;0,(TODAY()-AF317),IF(X317&gt;0,(TODAY()-X317)," "))))))))</f>
        <v>0</v>
      </c>
      <c r="AT317" s="8" t="s">
        <v>155</v>
      </c>
      <c r="AU317" s="8">
        <v>45883</v>
      </c>
      <c r="AV317" s="8">
        <v>45884</v>
      </c>
      <c r="AX317" s="8">
        <v>45887</v>
      </c>
      <c r="BD317" s="2" t="str">
        <f t="shared" si="11"/>
        <v>PO Issued</v>
      </c>
      <c r="BE317" s="2">
        <v>53</v>
      </c>
      <c r="BG317" s="2" t="e">
        <v>#N/A</v>
      </c>
    </row>
    <row r="318" spans="2:59" hidden="1" x14ac:dyDescent="0.25">
      <c r="B318" s="2" t="s">
        <v>1566</v>
      </c>
      <c r="C318" s="2" t="s">
        <v>1567</v>
      </c>
      <c r="D318" s="44" t="s">
        <v>1568</v>
      </c>
      <c r="E318" s="2" t="s">
        <v>11</v>
      </c>
      <c r="F318" s="2" t="s">
        <v>591</v>
      </c>
      <c r="G318" s="2" t="s">
        <v>1</v>
      </c>
      <c r="H318" s="2" t="s">
        <v>165</v>
      </c>
      <c r="I318" s="2" t="s">
        <v>68</v>
      </c>
      <c r="J318" s="2" t="s">
        <v>173</v>
      </c>
      <c r="K318" s="2" t="s">
        <v>592</v>
      </c>
      <c r="L318" s="2" t="s">
        <v>823</v>
      </c>
      <c r="M318" s="2">
        <v>0</v>
      </c>
      <c r="N318" s="2">
        <v>0</v>
      </c>
      <c r="O318" s="2">
        <v>0</v>
      </c>
      <c r="P318" s="2" t="s">
        <v>87</v>
      </c>
      <c r="Q318" s="2" t="s">
        <v>73</v>
      </c>
      <c r="R318" s="29" t="e">
        <f>IF(INDEX(#REF!,MATCH('data '!$B318,#REF!,0),MATCH('data '!R$3,#REF!,0))=0,"",INDEX(#REF!,MATCH('data '!$B318,#REF!,0),MATCH('data '!R$3,#REF!,0)))</f>
        <v>#REF!</v>
      </c>
      <c r="S318" s="29" t="e">
        <f>IF(INDEX(#REF!,MATCH('data '!$B318,#REF!,0),MATCH('data '!S$3,#REF!,0))=0,"",INDEX(#REF!,MATCH('data '!$B318,#REF!,0),MATCH('data '!S$3,#REF!,0)))</f>
        <v>#REF!</v>
      </c>
      <c r="T318" s="29" t="e">
        <f>IF(INDEX(#REF!,MATCH('data '!$B318,#REF!,0),MATCH('data '!T$3,#REF!,0))=0,"",INDEX(#REF!,MATCH('data '!$B318,#REF!,0),MATCH('data '!T$3,#REF!,0)))</f>
        <v>#REF!</v>
      </c>
      <c r="U318" s="8" t="s">
        <v>25</v>
      </c>
      <c r="V318" s="25" t="s">
        <v>87</v>
      </c>
      <c r="W318" s="25" t="s">
        <v>144</v>
      </c>
      <c r="X318" s="43" t="s">
        <v>25</v>
      </c>
      <c r="Y318" s="43">
        <v>45932</v>
      </c>
      <c r="AC318" s="8" t="e">
        <f>VLOOKUP(B318,#REF!,19,0)</f>
        <v>#REF!</v>
      </c>
      <c r="AP318" s="8" t="str">
        <f t="shared" si="10"/>
        <v>BP Secured</v>
      </c>
      <c r="AQ318" s="10" t="b" cm="1">
        <f t="array" aca="1" ref="AQ318" ca="1">IF(AM318&gt;0,(TODAY()-AM318),IF(AL318&gt;0,(TODAY()-AL318),IF(AK318&gt;0,(TODAY()-AK318,IF(AI318&gt;0,(TODAY()-AI318),IF(AG318&gt;0,(TODAY()-AG318),IF(AF318&gt;0,(TODAY()-AF318),IF(X318&gt;0,(TODAY()-X318)," "))))))))</f>
        <v>0</v>
      </c>
      <c r="BD318" s="2" t="str">
        <f t="shared" si="11"/>
        <v>BP Secured</v>
      </c>
      <c r="BE318" s="2" t="e">
        <v>#VALUE!</v>
      </c>
      <c r="BG318" s="2" t="e">
        <v>#N/A</v>
      </c>
    </row>
    <row r="319" spans="2:59" hidden="1" x14ac:dyDescent="0.25">
      <c r="B319" s="2" t="s">
        <v>1569</v>
      </c>
      <c r="C319" s="2" t="s">
        <v>1570</v>
      </c>
      <c r="D319" s="44" t="s">
        <v>1571</v>
      </c>
      <c r="E319" s="2" t="s">
        <v>11</v>
      </c>
      <c r="F319" s="2" t="s">
        <v>1268</v>
      </c>
      <c r="G319" s="2" t="s">
        <v>1</v>
      </c>
      <c r="H319" s="2" t="s">
        <v>165</v>
      </c>
      <c r="I319" s="2" t="s">
        <v>68</v>
      </c>
      <c r="J319" s="2" t="s">
        <v>173</v>
      </c>
      <c r="K319" s="2" t="s">
        <v>303</v>
      </c>
      <c r="L319" s="2" t="s">
        <v>1572</v>
      </c>
      <c r="M319" s="2">
        <v>0</v>
      </c>
      <c r="N319" s="2">
        <v>0</v>
      </c>
      <c r="O319" s="2">
        <v>0</v>
      </c>
      <c r="P319" s="2" t="s">
        <v>82</v>
      </c>
      <c r="Q319" s="2" t="s">
        <v>73</v>
      </c>
      <c r="R319" s="29" t="e">
        <f>IF(INDEX(#REF!,MATCH('data '!$B319,#REF!,0),MATCH('data '!R$3,#REF!,0))=0,"",INDEX(#REF!,MATCH('data '!$B319,#REF!,0),MATCH('data '!R$3,#REF!,0)))</f>
        <v>#REF!</v>
      </c>
      <c r="S319" s="29" t="e">
        <f>IF(INDEX(#REF!,MATCH('data '!$B319,#REF!,0),MATCH('data '!S$3,#REF!,0))=0,"",INDEX(#REF!,MATCH('data '!$B319,#REF!,0),MATCH('data '!S$3,#REF!,0)))</f>
        <v>#REF!</v>
      </c>
      <c r="T319" s="29" t="e">
        <f>IF(INDEX(#REF!,MATCH('data '!$B319,#REF!,0),MATCH('data '!T$3,#REF!,0))=0,"",INDEX(#REF!,MATCH('data '!$B319,#REF!,0),MATCH('data '!T$3,#REF!,0)))</f>
        <v>#REF!</v>
      </c>
      <c r="U319" s="8" t="s">
        <v>25</v>
      </c>
      <c r="V319" s="25" t="s">
        <v>87</v>
      </c>
      <c r="W319" s="25" t="s">
        <v>144</v>
      </c>
      <c r="X319" s="61"/>
      <c r="Y319" s="61"/>
      <c r="AC319" s="8" t="e">
        <f>VLOOKUP(B319,#REF!,19,0)</f>
        <v>#REF!</v>
      </c>
      <c r="AP319" s="8" t="str">
        <f t="shared" si="10"/>
        <v>Not yet endorsed</v>
      </c>
      <c r="AQ319" s="10" t="b" cm="1">
        <f t="array" aca="1" ref="AQ319" ca="1">IF(AM319&gt;0,(TODAY()-AM319),IF(AL319&gt;0,(TODAY()-AL319),IF(AK319&gt;0,(TODAY()-AK319,IF(AI319&gt;0,(TODAY()-AI319),IF(AG319&gt;0,(TODAY()-AG319),IF(AF319&gt;0,(TODAY()-AF319),IF(X319&gt;0,(TODAY()-X319)," "))))))))</f>
        <v>0</v>
      </c>
      <c r="BD319" s="2" t="str">
        <f t="shared" si="11"/>
        <v>TSSR Approved</v>
      </c>
      <c r="BE319" s="2" t="e">
        <v>#VALUE!</v>
      </c>
      <c r="BG319" s="2" t="e">
        <v>#N/A</v>
      </c>
    </row>
    <row r="320" spans="2:59" hidden="1" x14ac:dyDescent="0.25">
      <c r="B320" s="2" t="s">
        <v>1573</v>
      </c>
      <c r="C320" s="2" t="s">
        <v>1574</v>
      </c>
      <c r="D320" s="44" t="s">
        <v>1575</v>
      </c>
      <c r="E320" s="2" t="s">
        <v>11</v>
      </c>
      <c r="F320" s="2" t="s">
        <v>709</v>
      </c>
      <c r="G320" s="2" t="s">
        <v>1</v>
      </c>
      <c r="H320" s="2" t="s">
        <v>165</v>
      </c>
      <c r="I320" s="2" t="s">
        <v>68</v>
      </c>
      <c r="J320" s="2" t="s">
        <v>173</v>
      </c>
      <c r="K320" s="2" t="s">
        <v>710</v>
      </c>
      <c r="L320" s="2" t="s">
        <v>711</v>
      </c>
      <c r="M320" s="2">
        <v>0</v>
      </c>
      <c r="N320" s="2">
        <v>0</v>
      </c>
      <c r="O320" s="2">
        <v>0</v>
      </c>
      <c r="P320" s="2" t="s">
        <v>168</v>
      </c>
      <c r="Q320" s="2" t="s">
        <v>73</v>
      </c>
      <c r="R320" s="29" t="e">
        <f>IF(INDEX(#REF!,MATCH('data '!$B320,#REF!,0),MATCH('data '!R$3,#REF!,0))=0,"",INDEX(#REF!,MATCH('data '!$B320,#REF!,0),MATCH('data '!R$3,#REF!,0)))</f>
        <v>#REF!</v>
      </c>
      <c r="S320" s="29" t="e">
        <f>IF(INDEX(#REF!,MATCH('data '!$B320,#REF!,0),MATCH('data '!S$3,#REF!,0))=0,"",INDEX(#REF!,MATCH('data '!$B320,#REF!,0),MATCH('data '!S$3,#REF!,0)))</f>
        <v>#REF!</v>
      </c>
      <c r="T320" s="29" t="e">
        <f>IF(INDEX(#REF!,MATCH('data '!$B320,#REF!,0),MATCH('data '!T$3,#REF!,0))=0,"",INDEX(#REF!,MATCH('data '!$B320,#REF!,0),MATCH('data '!T$3,#REF!,0)))</f>
        <v>#REF!</v>
      </c>
      <c r="U320" s="8" t="s">
        <v>25</v>
      </c>
      <c r="V320" s="25" t="s">
        <v>102</v>
      </c>
      <c r="W320" s="25" t="s">
        <v>103</v>
      </c>
      <c r="X320" s="61"/>
      <c r="Y320" s="61"/>
      <c r="AC320" s="8" t="e">
        <f>VLOOKUP(B320,#REF!,19,0)</f>
        <v>#REF!</v>
      </c>
      <c r="AP320" s="8" t="str">
        <f t="shared" si="10"/>
        <v>Not yet endorsed</v>
      </c>
      <c r="AQ320" s="10" t="b" cm="1">
        <f t="array" aca="1" ref="AQ320" ca="1">IF(AM320&gt;0,(TODAY()-AM320),IF(AL320&gt;0,(TODAY()-AL320),IF(AK320&gt;0,(TODAY()-AK320,IF(AI320&gt;0,(TODAY()-AI320),IF(AG320&gt;0,(TODAY()-AG320),IF(AF320&gt;0,(TODAY()-AF320),IF(X320&gt;0,(TODAY()-X320)," "))))))))</f>
        <v>0</v>
      </c>
      <c r="BD320" s="2" t="str">
        <f t="shared" si="11"/>
        <v>TSSR Approved</v>
      </c>
      <c r="BE320" s="2" t="e">
        <v>#VALUE!</v>
      </c>
      <c r="BG320" s="2" t="e">
        <v>#N/A</v>
      </c>
    </row>
    <row r="321" spans="2:60" hidden="1" x14ac:dyDescent="0.25">
      <c r="B321" s="2" t="s">
        <v>1576</v>
      </c>
      <c r="C321" s="2" t="s">
        <v>1577</v>
      </c>
      <c r="D321" s="44" t="s">
        <v>1578</v>
      </c>
      <c r="E321" s="2" t="s">
        <v>3</v>
      </c>
      <c r="F321" s="2" t="s">
        <v>1579</v>
      </c>
      <c r="G321" s="2" t="s">
        <v>1</v>
      </c>
      <c r="H321" s="2" t="s">
        <v>139</v>
      </c>
      <c r="I321" s="2" t="s">
        <v>140</v>
      </c>
      <c r="J321" s="2" t="s">
        <v>224</v>
      </c>
      <c r="K321" s="2" t="s">
        <v>1580</v>
      </c>
      <c r="L321" s="2" t="s">
        <v>1581</v>
      </c>
      <c r="M321" s="2" t="s">
        <v>1166</v>
      </c>
      <c r="N321" s="2">
        <v>16.640999999999998</v>
      </c>
      <c r="O321" s="2">
        <v>121.2492</v>
      </c>
      <c r="P321" s="2" t="s">
        <v>87</v>
      </c>
      <c r="Q321" s="2" t="s">
        <v>198</v>
      </c>
      <c r="R321" s="29" t="e">
        <f>IF(INDEX(#REF!,MATCH('data '!$B321,#REF!,0),MATCH('data '!R$3,#REF!,0))=0,"",INDEX(#REF!,MATCH('data '!$B321,#REF!,0),MATCH('data '!R$3,#REF!,0)))</f>
        <v>#REF!</v>
      </c>
      <c r="S321" s="29" t="e">
        <f>IF(INDEX(#REF!,MATCH('data '!$B321,#REF!,0),MATCH('data '!S$3,#REF!,0))=0,"",INDEX(#REF!,MATCH('data '!$B321,#REF!,0),MATCH('data '!S$3,#REF!,0)))</f>
        <v>#REF!</v>
      </c>
      <c r="T321" s="29" t="e">
        <f>IF(INDEX(#REF!,MATCH('data '!$B321,#REF!,0),MATCH('data '!T$3,#REF!,0))=0,"",INDEX(#REF!,MATCH('data '!$B321,#REF!,0),MATCH('data '!T$3,#REF!,0)))</f>
        <v>#REF!</v>
      </c>
      <c r="U321" s="8" t="s">
        <v>25</v>
      </c>
      <c r="V321" s="25" t="s">
        <v>266</v>
      </c>
      <c r="W321" s="25" t="s">
        <v>144</v>
      </c>
      <c r="X321" s="9" t="s">
        <v>25</v>
      </c>
      <c r="Y321" s="9">
        <v>45863</v>
      </c>
      <c r="Z321" s="8">
        <v>45877</v>
      </c>
      <c r="AC321" s="8" t="e">
        <f>VLOOKUP(B321,#REF!,19,0)</f>
        <v>#REF!</v>
      </c>
      <c r="AE321" s="8" t="s">
        <v>212</v>
      </c>
      <c r="AF321" s="8">
        <v>45908</v>
      </c>
      <c r="AG321" s="8">
        <v>45908</v>
      </c>
      <c r="AH321" s="8" t="s">
        <v>507</v>
      </c>
      <c r="AI321" s="8">
        <v>45909</v>
      </c>
      <c r="AJ321" s="8" t="s">
        <v>508</v>
      </c>
      <c r="AK321" s="8">
        <v>45916</v>
      </c>
      <c r="AL321" s="8">
        <v>45915</v>
      </c>
      <c r="AM321" s="8">
        <v>45936</v>
      </c>
      <c r="AP321" s="8" t="str">
        <f t="shared" si="10"/>
        <v>Tempo Energized</v>
      </c>
      <c r="AT321" s="8">
        <v>45926</v>
      </c>
      <c r="AU321" s="8">
        <v>45950</v>
      </c>
      <c r="AV321" s="8">
        <v>45950</v>
      </c>
      <c r="AW321" s="8" t="s">
        <v>1582</v>
      </c>
      <c r="AX321" s="8">
        <v>45950</v>
      </c>
      <c r="AY321" s="8" t="s">
        <v>1583</v>
      </c>
      <c r="BD321" s="2" t="str">
        <f t="shared" si="11"/>
        <v>PO Issued</v>
      </c>
      <c r="BE321" s="2">
        <v>14</v>
      </c>
      <c r="BG321" s="2" t="e">
        <v>#N/A</v>
      </c>
      <c r="BH321" s="2" t="e" vm="1">
        <v>#REF!</v>
      </c>
    </row>
    <row r="322" spans="2:60" hidden="1" x14ac:dyDescent="0.25">
      <c r="B322" s="2" t="s">
        <v>1584</v>
      </c>
      <c r="C322" s="2" t="s">
        <v>1585</v>
      </c>
      <c r="D322" s="44" t="s">
        <v>1586</v>
      </c>
      <c r="E322" s="2" t="s">
        <v>5</v>
      </c>
      <c r="F322" s="2" t="s">
        <v>1587</v>
      </c>
      <c r="G322" s="2" t="s">
        <v>1</v>
      </c>
      <c r="H322" s="2" t="s">
        <v>120</v>
      </c>
      <c r="I322" s="2" t="s">
        <v>140</v>
      </c>
      <c r="J322" s="2" t="s">
        <v>209</v>
      </c>
      <c r="K322" s="2" t="s">
        <v>1588</v>
      </c>
      <c r="L322" s="2" t="s">
        <v>1589</v>
      </c>
      <c r="M322" s="2">
        <v>0</v>
      </c>
      <c r="N322" s="2">
        <v>0</v>
      </c>
      <c r="O322" s="2">
        <v>0</v>
      </c>
      <c r="P322" s="2" t="s">
        <v>248</v>
      </c>
      <c r="Q322" s="2" t="s">
        <v>73</v>
      </c>
      <c r="R322" s="29" t="e">
        <f>IF(INDEX(#REF!,MATCH('data '!$B322,#REF!,0),MATCH('data '!R$3,#REF!,0))=0,"",INDEX(#REF!,MATCH('data '!$B322,#REF!,0),MATCH('data '!R$3,#REF!,0)))</f>
        <v>#REF!</v>
      </c>
      <c r="S322" s="29" t="e">
        <f>IF(INDEX(#REF!,MATCH('data '!$B322,#REF!,0),MATCH('data '!S$3,#REF!,0))=0,"",INDEX(#REF!,MATCH('data '!$B322,#REF!,0),MATCH('data '!S$3,#REF!,0)))</f>
        <v>#REF!</v>
      </c>
      <c r="T322" s="29" t="e">
        <f>IF(INDEX(#REF!,MATCH('data '!$B322,#REF!,0),MATCH('data '!T$3,#REF!,0))=0,"",INDEX(#REF!,MATCH('data '!$B322,#REF!,0),MATCH('data '!T$3,#REF!,0)))</f>
        <v>#REF!</v>
      </c>
      <c r="V322" s="25" t="s">
        <v>204</v>
      </c>
      <c r="W322" s="25">
        <v>0</v>
      </c>
      <c r="AC322" s="8" t="e">
        <f>VLOOKUP(B322,#REF!,19,0)</f>
        <v>#REF!</v>
      </c>
      <c r="AE322" s="8" t="s">
        <v>228</v>
      </c>
      <c r="AG322" s="8">
        <v>46021</v>
      </c>
      <c r="AH322" s="8" t="s">
        <v>1590</v>
      </c>
      <c r="AI322" s="8">
        <v>46028</v>
      </c>
      <c r="AJ322" s="8" t="s">
        <v>1591</v>
      </c>
      <c r="AP322" s="8" t="str">
        <f t="shared" si="10"/>
        <v>PO Issued</v>
      </c>
      <c r="AQ322" s="10" t="b" cm="1">
        <f t="array" aca="1" ref="AQ322" ca="1">IF(AM322&gt;0,(TODAY()-AM322),IF(AL322&gt;0,(TODAY()-AL322),IF(AK322&gt;0,(TODAY()-AK322,IF(AI322&gt;0,(TODAY()-AI322),IF(AG322&gt;0,(TODAY()-AG322),IF(AF322&gt;0,(TODAY()-AF322),IF(X322&gt;0,(TODAY()-X322)," "))))))))</f>
        <v>0</v>
      </c>
      <c r="BD322" s="2" t="str">
        <f t="shared" si="11"/>
        <v>Not yet endorsed</v>
      </c>
      <c r="BE322" s="2" t="s">
        <v>75</v>
      </c>
      <c r="BG322" s="2" t="e">
        <v>#N/A</v>
      </c>
      <c r="BH322" s="2" t="e" vm="1">
        <v>#REF!</v>
      </c>
    </row>
    <row r="323" spans="2:60" hidden="1" x14ac:dyDescent="0.25">
      <c r="B323" s="2" t="s">
        <v>1592</v>
      </c>
      <c r="C323" s="2" t="s">
        <v>1593</v>
      </c>
      <c r="D323" s="44" t="s">
        <v>1594</v>
      </c>
      <c r="E323" s="2" t="s">
        <v>3</v>
      </c>
      <c r="F323" s="2" t="s">
        <v>279</v>
      </c>
      <c r="G323" s="2" t="s">
        <v>1</v>
      </c>
      <c r="H323" s="2" t="s">
        <v>139</v>
      </c>
      <c r="I323" s="2" t="s">
        <v>140</v>
      </c>
      <c r="J323" s="2" t="s">
        <v>141</v>
      </c>
      <c r="K323" s="2" t="s">
        <v>280</v>
      </c>
      <c r="L323" s="2" t="s">
        <v>1595</v>
      </c>
      <c r="M323" s="2">
        <v>0</v>
      </c>
      <c r="N323" s="2">
        <v>0</v>
      </c>
      <c r="O323" s="2">
        <v>0</v>
      </c>
      <c r="P323" s="2" t="s">
        <v>87</v>
      </c>
      <c r="Q323" s="2" t="s">
        <v>73</v>
      </c>
      <c r="R323" s="29" t="e">
        <f>IF(INDEX(#REF!,MATCH('data '!$B323,#REF!,0),MATCH('data '!R$3,#REF!,0))=0,"",INDEX(#REF!,MATCH('data '!$B323,#REF!,0),MATCH('data '!R$3,#REF!,0)))</f>
        <v>#REF!</v>
      </c>
      <c r="S323" s="29" t="e">
        <f>IF(INDEX(#REF!,MATCH('data '!$B323,#REF!,0),MATCH('data '!S$3,#REF!,0))=0,"",INDEX(#REF!,MATCH('data '!$B323,#REF!,0),MATCH('data '!S$3,#REF!,0)))</f>
        <v>#REF!</v>
      </c>
      <c r="T323" s="29" t="e">
        <f>IF(INDEX(#REF!,MATCH('data '!$B323,#REF!,0),MATCH('data '!T$3,#REF!,0))=0,"",INDEX(#REF!,MATCH('data '!$B323,#REF!,0),MATCH('data '!T$3,#REF!,0)))</f>
        <v>#REF!</v>
      </c>
      <c r="V323" s="25" t="s">
        <v>102</v>
      </c>
      <c r="W323" s="25" t="s">
        <v>103</v>
      </c>
      <c r="X323" s="43" t="s">
        <v>25</v>
      </c>
      <c r="Y323" s="43">
        <v>45932</v>
      </c>
      <c r="AC323" s="8" t="e">
        <f>VLOOKUP(B323,#REF!,19,0)</f>
        <v>#REF!</v>
      </c>
      <c r="AE323" s="8" t="s">
        <v>145</v>
      </c>
      <c r="AF323" s="8">
        <v>45938</v>
      </c>
      <c r="AG323" s="8">
        <v>45939</v>
      </c>
      <c r="AH323" s="8" t="s">
        <v>146</v>
      </c>
      <c r="AI323" s="8">
        <v>45943</v>
      </c>
      <c r="AJ323" s="8" t="s">
        <v>147</v>
      </c>
      <c r="AO323" s="8" t="s">
        <v>561</v>
      </c>
      <c r="AP323" s="8" t="str">
        <f t="shared" si="10"/>
        <v>PO Issued</v>
      </c>
      <c r="AQ323" s="10" t="b" cm="1">
        <f t="array" aca="1" ref="AQ323" ca="1">IF(AM323&gt;0,(TODAY()-AM323),IF(AL323&gt;0,(TODAY()-AL323),IF(AK323&gt;0,(TODAY()-AK323,IF(AI323&gt;0,(TODAY()-AI323),IF(AG323&gt;0,(TODAY()-AG323),IF(AF323&gt;0,(TODAY()-AF323),IF(X323&gt;0,(TODAY()-X323)," "))))))))</f>
        <v>0</v>
      </c>
      <c r="AT323" s="8">
        <v>45994</v>
      </c>
      <c r="AU323" s="8">
        <v>46048</v>
      </c>
      <c r="AV323" s="8">
        <v>46048</v>
      </c>
      <c r="AW323" s="8" t="s">
        <v>148</v>
      </c>
      <c r="AX323" s="11"/>
      <c r="AY323" s="11"/>
      <c r="BD323" s="2" t="str">
        <f t="shared" si="11"/>
        <v>PQ Raised</v>
      </c>
      <c r="BE323" s="2">
        <v>2</v>
      </c>
      <c r="BG323" s="2" t="s">
        <v>149</v>
      </c>
      <c r="BH323" s="2" t="e" vm="1">
        <v>#REF!</v>
      </c>
    </row>
    <row r="324" spans="2:60" hidden="1" x14ac:dyDescent="0.25">
      <c r="B324" s="2" t="s">
        <v>1596</v>
      </c>
      <c r="C324" s="2" t="s">
        <v>1597</v>
      </c>
      <c r="D324" s="44" t="s">
        <v>1598</v>
      </c>
      <c r="E324" s="2" t="s">
        <v>3</v>
      </c>
      <c r="F324" s="2" t="s">
        <v>1579</v>
      </c>
      <c r="G324" s="2" t="s">
        <v>1</v>
      </c>
      <c r="H324" s="2" t="s">
        <v>139</v>
      </c>
      <c r="I324" s="2" t="s">
        <v>140</v>
      </c>
      <c r="J324" s="2" t="s">
        <v>224</v>
      </c>
      <c r="K324" s="2" t="s">
        <v>1580</v>
      </c>
      <c r="L324" s="2" t="s">
        <v>1599</v>
      </c>
      <c r="M324" s="2">
        <v>0</v>
      </c>
      <c r="N324" s="2">
        <v>16.238099999999999</v>
      </c>
      <c r="O324" s="2">
        <v>120.9898</v>
      </c>
      <c r="P324" s="2" t="s">
        <v>87</v>
      </c>
      <c r="Q324" s="2" t="s">
        <v>227</v>
      </c>
      <c r="R324" s="29" t="e">
        <f>IF(INDEX(#REF!,MATCH('data '!$B324,#REF!,0),MATCH('data '!R$3,#REF!,0))=0,"",INDEX(#REF!,MATCH('data '!$B324,#REF!,0),MATCH('data '!R$3,#REF!,0)))</f>
        <v>#REF!</v>
      </c>
      <c r="S324" s="29" t="e">
        <f>IF(INDEX(#REF!,MATCH('data '!$B324,#REF!,0),MATCH('data '!S$3,#REF!,0))=0,"",INDEX(#REF!,MATCH('data '!$B324,#REF!,0),MATCH('data '!S$3,#REF!,0)))</f>
        <v>#REF!</v>
      </c>
      <c r="T324" s="29" t="e">
        <f>IF(INDEX(#REF!,MATCH('data '!$B324,#REF!,0),MATCH('data '!T$3,#REF!,0))=0,"",INDEX(#REF!,MATCH('data '!$B324,#REF!,0),MATCH('data '!T$3,#REF!,0)))</f>
        <v>#REF!</v>
      </c>
      <c r="U324" s="8" t="s">
        <v>25</v>
      </c>
      <c r="V324" s="25" t="s">
        <v>160</v>
      </c>
      <c r="W324" s="25" t="s">
        <v>144</v>
      </c>
      <c r="X324" s="9" t="s">
        <v>25</v>
      </c>
      <c r="Y324" s="9">
        <v>45884</v>
      </c>
      <c r="Z324" s="8">
        <v>45697</v>
      </c>
      <c r="AC324" s="8" t="e">
        <f>VLOOKUP(B324,#REF!,19,0)</f>
        <v>#REF!</v>
      </c>
      <c r="AE324" s="8" t="s">
        <v>212</v>
      </c>
      <c r="AF324" s="8">
        <v>45908</v>
      </c>
      <c r="AG324" s="8">
        <v>45908</v>
      </c>
      <c r="AH324" s="8" t="s">
        <v>507</v>
      </c>
      <c r="AI324" s="8">
        <v>45909</v>
      </c>
      <c r="AJ324" s="8" t="s">
        <v>508</v>
      </c>
      <c r="AK324" s="8">
        <v>45916</v>
      </c>
      <c r="AL324" s="8">
        <v>45943</v>
      </c>
      <c r="AM324" s="8">
        <v>45946</v>
      </c>
      <c r="AP324" s="8" t="str">
        <f t="shared" ref="AP324:AP351" si="12">IF(AM324&gt;0,"Tempo Energized",IF(AL324&gt;0,"Tempo Permit Released",IF(AK324&gt;0,"COOP Surveyed",IF(AI324&gt;0,"PO Issued",IF(AG324&gt;0,"PQ Raised",IF(AF324&gt;0,"Vendor Allocated",IF(X324&gt;0,"BP Secured","Not yet endorsed")))))))</f>
        <v>Tempo Energized</v>
      </c>
      <c r="AT324" s="8">
        <v>45978</v>
      </c>
      <c r="AU324" s="8">
        <v>45985</v>
      </c>
      <c r="AV324" s="8">
        <v>45985</v>
      </c>
      <c r="AW324" s="8" t="s">
        <v>1600</v>
      </c>
      <c r="AX324" s="8">
        <v>45987</v>
      </c>
      <c r="AY324" s="8" t="s">
        <v>1601</v>
      </c>
      <c r="BD324" s="2" t="str">
        <f t="shared" ref="BD324:BD351" si="13">IF(BC324&gt;0,"Permanent Energized",IF(BB324&gt;0,"Bill deposit Paid",IF(BA324&gt;0,"Line Construction Completed",IF(AZ324&gt;0,"Line Construction Started",IF(AX324&gt;0,"PO Issued",IF(AV324&gt;0,"PQ Raised",IF(AU324&gt;0,"BoQ Approved",IF(AT324&gt;0,"BoQ Submitted",IF(AF324&gt;0,"Vendor Allocated",IF(X324&gt;0,"BP Secured",IF(U324&gt;0,"TSSR Approved","Not yet endorsed")))))))))))</f>
        <v>PO Issued</v>
      </c>
      <c r="BE324" s="2">
        <v>32</v>
      </c>
      <c r="BG324" s="2" t="e">
        <v>#N/A</v>
      </c>
      <c r="BH324" s="2" t="e" vm="1">
        <v>#REF!</v>
      </c>
    </row>
    <row r="325" spans="2:60" hidden="1" x14ac:dyDescent="0.25">
      <c r="B325" s="2" t="s">
        <v>1602</v>
      </c>
      <c r="C325" s="2" t="s">
        <v>1603</v>
      </c>
      <c r="D325" s="44" t="s">
        <v>1604</v>
      </c>
      <c r="E325" s="2" t="s">
        <v>3</v>
      </c>
      <c r="F325" s="2" t="s">
        <v>138</v>
      </c>
      <c r="G325" s="2" t="s">
        <v>1</v>
      </c>
      <c r="H325" s="2" t="s">
        <v>139</v>
      </c>
      <c r="I325" s="2" t="s">
        <v>140</v>
      </c>
      <c r="J325" s="2" t="s">
        <v>141</v>
      </c>
      <c r="K325" s="2" t="s">
        <v>142</v>
      </c>
      <c r="L325" s="2" t="s">
        <v>1605</v>
      </c>
      <c r="M325" s="2">
        <v>0</v>
      </c>
      <c r="N325" s="2">
        <v>0</v>
      </c>
      <c r="O325" s="2">
        <v>0</v>
      </c>
      <c r="P325" s="2" t="s">
        <v>87</v>
      </c>
      <c r="Q325" s="2" t="s">
        <v>73</v>
      </c>
      <c r="R325" s="29" t="e">
        <f>IF(INDEX(#REF!,MATCH('data '!$B325,#REF!,0),MATCH('data '!R$3,#REF!,0))=0,"",INDEX(#REF!,MATCH('data '!$B325,#REF!,0),MATCH('data '!R$3,#REF!,0)))</f>
        <v>#REF!</v>
      </c>
      <c r="S325" s="29" t="e">
        <f>IF(INDEX(#REF!,MATCH('data '!$B325,#REF!,0),MATCH('data '!S$3,#REF!,0))=0,"",INDEX(#REF!,MATCH('data '!$B325,#REF!,0),MATCH('data '!S$3,#REF!,0)))</f>
        <v>#REF!</v>
      </c>
      <c r="T325" s="29" t="e">
        <f>IF(INDEX(#REF!,MATCH('data '!$B325,#REF!,0),MATCH('data '!T$3,#REF!,0))=0,"",INDEX(#REF!,MATCH('data '!$B325,#REF!,0),MATCH('data '!T$3,#REF!,0)))</f>
        <v>#REF!</v>
      </c>
      <c r="U325" s="8" t="s">
        <v>25</v>
      </c>
      <c r="V325" s="25" t="s">
        <v>102</v>
      </c>
      <c r="W325" s="25" t="s">
        <v>103</v>
      </c>
      <c r="X325" s="43" t="s">
        <v>25</v>
      </c>
      <c r="Y325" s="43">
        <v>45932</v>
      </c>
      <c r="AC325" s="8" t="e">
        <f>VLOOKUP(B325,#REF!,19,0)</f>
        <v>#REF!</v>
      </c>
      <c r="AE325" s="8" t="s">
        <v>145</v>
      </c>
      <c r="AF325" s="8">
        <v>45938</v>
      </c>
      <c r="AG325" s="8">
        <v>45939</v>
      </c>
      <c r="AH325" s="8" t="s">
        <v>146</v>
      </c>
      <c r="AI325" s="8">
        <v>45943</v>
      </c>
      <c r="AJ325" s="8" t="s">
        <v>147</v>
      </c>
      <c r="AO325" s="8" t="s">
        <v>561</v>
      </c>
      <c r="AP325" s="8" t="str">
        <f t="shared" si="12"/>
        <v>PO Issued</v>
      </c>
      <c r="AQ325" s="10" t="b" cm="1">
        <f t="array" aca="1" ref="AQ325" ca="1">IF(AM325&gt;0,(TODAY()-AM325),IF(AL325&gt;0,(TODAY()-AL325),IF(AK325&gt;0,(TODAY()-AK325,IF(AI325&gt;0,(TODAY()-AI325),IF(AG325&gt;0,(TODAY()-AG325),IF(AF325&gt;0,(TODAY()-AF325),IF(X325&gt;0,(TODAY()-X325)," "))))))))</f>
        <v>0</v>
      </c>
      <c r="AT325" s="8">
        <v>45994</v>
      </c>
      <c r="AU325" s="8">
        <v>46048</v>
      </c>
      <c r="AV325" s="8">
        <v>46048</v>
      </c>
      <c r="AW325" s="8" t="s">
        <v>148</v>
      </c>
      <c r="AX325" s="11"/>
      <c r="AY325" s="11"/>
      <c r="BD325" s="2" t="str">
        <f t="shared" si="13"/>
        <v>PQ Raised</v>
      </c>
      <c r="BE325" s="2">
        <v>2</v>
      </c>
      <c r="BG325" s="2" t="s">
        <v>149</v>
      </c>
      <c r="BH325" s="2" t="e" vm="1">
        <v>#REF!</v>
      </c>
    </row>
    <row r="326" spans="2:60" hidden="1" x14ac:dyDescent="0.25">
      <c r="B326" s="2" t="s">
        <v>1606</v>
      </c>
      <c r="C326" s="2" t="s">
        <v>1607</v>
      </c>
      <c r="D326" s="44" t="s">
        <v>1608</v>
      </c>
      <c r="E326" s="2" t="s">
        <v>3</v>
      </c>
      <c r="F326" s="2">
        <v>0</v>
      </c>
      <c r="G326" s="2" t="s">
        <v>1</v>
      </c>
      <c r="H326" s="2" t="s">
        <v>120</v>
      </c>
      <c r="I326" s="2" t="s">
        <v>121</v>
      </c>
      <c r="J326" s="2" t="s">
        <v>209</v>
      </c>
      <c r="K326" s="2" t="s">
        <v>566</v>
      </c>
      <c r="L326" s="2" t="s">
        <v>1609</v>
      </c>
      <c r="M326" s="2">
        <v>0</v>
      </c>
      <c r="N326" s="2">
        <v>0</v>
      </c>
      <c r="O326" s="2">
        <v>0</v>
      </c>
      <c r="P326" s="2" t="s">
        <v>1157</v>
      </c>
      <c r="Q326" s="2">
        <v>0</v>
      </c>
      <c r="R326" s="29" t="e">
        <f>IF(INDEX(#REF!,MATCH('data '!$B326,#REF!,0),MATCH('data '!R$3,#REF!,0))=0,"",INDEX(#REF!,MATCH('data '!$B326,#REF!,0),MATCH('data '!R$3,#REF!,0)))</f>
        <v>#REF!</v>
      </c>
      <c r="S326" s="29" t="e">
        <f>IF(INDEX(#REF!,MATCH('data '!$B326,#REF!,0),MATCH('data '!S$3,#REF!,0))=0,"",INDEX(#REF!,MATCH('data '!$B326,#REF!,0),MATCH('data '!S$3,#REF!,0)))</f>
        <v>#REF!</v>
      </c>
      <c r="T326" s="29" t="e">
        <f>IF(INDEX(#REF!,MATCH('data '!$B326,#REF!,0),MATCH('data '!T$3,#REF!,0))=0,"",INDEX(#REF!,MATCH('data '!$B326,#REF!,0),MATCH('data '!T$3,#REF!,0)))</f>
        <v>#REF!</v>
      </c>
      <c r="V326" s="25" t="s">
        <v>204</v>
      </c>
      <c r="W326" s="25">
        <v>0</v>
      </c>
      <c r="AC326" s="8" t="e">
        <f>VLOOKUP(B326,#REF!,19,0)</f>
        <v>#REF!</v>
      </c>
      <c r="AP326" s="8" t="str">
        <f t="shared" si="12"/>
        <v>Not yet endorsed</v>
      </c>
      <c r="AQ326" s="10" t="b" cm="1">
        <f t="array" aca="1" ref="AQ326" ca="1">IF(AM326&gt;0,(TODAY()-AM326),IF(AL326&gt;0,(TODAY()-AL326),IF(AK326&gt;0,(TODAY()-AK326,IF(AI326&gt;0,(TODAY()-AI326),IF(AG326&gt;0,(TODAY()-AG326),IF(AF326&gt;0,(TODAY()-AF326),IF(X326&gt;0,(TODAY()-X326)," "))))))))</f>
        <v>0</v>
      </c>
      <c r="BD326" s="2" t="str">
        <f t="shared" si="13"/>
        <v>Not yet endorsed</v>
      </c>
      <c r="BE326" s="2" t="s">
        <v>75</v>
      </c>
      <c r="BG326" s="2" t="e">
        <v>#N/A</v>
      </c>
      <c r="BH326" s="2" t="e" vm="1">
        <v>#REF!</v>
      </c>
    </row>
    <row r="327" spans="2:60" hidden="1" x14ac:dyDescent="0.25">
      <c r="B327" s="26" t="s">
        <v>1610</v>
      </c>
      <c r="C327" s="26" t="s">
        <v>1611</v>
      </c>
      <c r="D327" s="46" t="s">
        <v>1612</v>
      </c>
      <c r="E327" s="2" t="s">
        <v>5</v>
      </c>
      <c r="F327" s="2" t="s">
        <v>1613</v>
      </c>
      <c r="G327" s="2" t="s">
        <v>1</v>
      </c>
      <c r="H327" s="2" t="s">
        <v>120</v>
      </c>
      <c r="I327" s="2" t="s">
        <v>140</v>
      </c>
      <c r="J327" s="2" t="s">
        <v>141</v>
      </c>
      <c r="K327" s="2" t="s">
        <v>370</v>
      </c>
      <c r="L327" s="2" t="s">
        <v>1614</v>
      </c>
      <c r="M327" s="2">
        <v>0</v>
      </c>
      <c r="N327" s="2">
        <v>15.862458</v>
      </c>
      <c r="O327" s="2">
        <v>119.908259</v>
      </c>
      <c r="P327" s="2" t="s">
        <v>87</v>
      </c>
      <c r="Q327" s="2" t="s">
        <v>219</v>
      </c>
      <c r="R327" s="29" t="e">
        <f>IF(INDEX(#REF!,MATCH('data '!$B327,#REF!,0),MATCH('data '!R$3,#REF!,0))=0,"",INDEX(#REF!,MATCH('data '!$B327,#REF!,0),MATCH('data '!R$3,#REF!,0)))</f>
        <v>#REF!</v>
      </c>
      <c r="S327" s="29" t="e">
        <f>IF(INDEX(#REF!,MATCH('data '!$B327,#REF!,0),MATCH('data '!S$3,#REF!,0))=0,"",INDEX(#REF!,MATCH('data '!$B327,#REF!,0),MATCH('data '!S$3,#REF!,0)))</f>
        <v>#REF!</v>
      </c>
      <c r="T327" s="29" t="e">
        <f>IF(INDEX(#REF!,MATCH('data '!$B327,#REF!,0),MATCH('data '!T$3,#REF!,0))=0,"",INDEX(#REF!,MATCH('data '!$B327,#REF!,0),MATCH('data '!T$3,#REF!,0)))</f>
        <v>#REF!</v>
      </c>
      <c r="V327" s="25" t="s">
        <v>383</v>
      </c>
      <c r="W327" s="25" t="s">
        <v>144</v>
      </c>
      <c r="X327" s="9" t="s">
        <v>25</v>
      </c>
      <c r="Y327" s="9">
        <v>45878</v>
      </c>
      <c r="Z327" s="8">
        <v>45878</v>
      </c>
      <c r="AC327" s="8" t="e">
        <f>VLOOKUP(B327,#REF!,19,0)</f>
        <v>#REF!</v>
      </c>
      <c r="AE327" s="8" t="s">
        <v>295</v>
      </c>
      <c r="AF327" s="8">
        <v>45908</v>
      </c>
      <c r="AG327" s="8">
        <v>45908</v>
      </c>
      <c r="AH327" s="8" t="s">
        <v>373</v>
      </c>
      <c r="AI327" s="8">
        <v>45909</v>
      </c>
      <c r="AJ327" s="8" t="s">
        <v>374</v>
      </c>
      <c r="AK327" s="8">
        <v>45916</v>
      </c>
      <c r="AL327" s="8">
        <v>45932</v>
      </c>
      <c r="AP327" s="8" t="str">
        <f t="shared" si="12"/>
        <v>Tempo Permit Released</v>
      </c>
      <c r="AS327" s="8" t="s">
        <v>1615</v>
      </c>
      <c r="AT327" s="8">
        <v>45994</v>
      </c>
      <c r="AU327" s="8">
        <v>45994</v>
      </c>
      <c r="AV327" s="8">
        <v>45994</v>
      </c>
      <c r="AW327" s="8" t="s">
        <v>957</v>
      </c>
      <c r="AX327" s="8">
        <v>45995</v>
      </c>
      <c r="AY327" s="8" t="s">
        <v>958</v>
      </c>
      <c r="AZ327" s="8">
        <v>45976</v>
      </c>
      <c r="BA327" s="8">
        <v>45986</v>
      </c>
      <c r="BD327" s="2" t="str">
        <f t="shared" si="13"/>
        <v>Line Construction Completed</v>
      </c>
      <c r="BE327" s="2">
        <v>32</v>
      </c>
      <c r="BF327" s="2" t="s">
        <v>1616</v>
      </c>
      <c r="BG327" s="2" t="e">
        <v>#N/A</v>
      </c>
      <c r="BH327" s="2" t="e" vm="1">
        <v>#REF!</v>
      </c>
    </row>
    <row r="328" spans="2:60" hidden="1" x14ac:dyDescent="0.25">
      <c r="B328" s="2" t="s">
        <v>1617</v>
      </c>
      <c r="C328" s="2" t="s">
        <v>1618</v>
      </c>
      <c r="D328" s="44" t="s">
        <v>1619</v>
      </c>
      <c r="E328" s="2" t="s">
        <v>3</v>
      </c>
      <c r="F328" s="2" t="s">
        <v>1579</v>
      </c>
      <c r="G328" s="2" t="s">
        <v>1</v>
      </c>
      <c r="H328" s="2" t="s">
        <v>139</v>
      </c>
      <c r="I328" s="2" t="s">
        <v>140</v>
      </c>
      <c r="J328" s="2" t="s">
        <v>224</v>
      </c>
      <c r="K328" s="2" t="s">
        <v>1580</v>
      </c>
      <c r="L328" s="2" t="s">
        <v>1599</v>
      </c>
      <c r="M328" s="2">
        <v>0</v>
      </c>
      <c r="N328" s="2">
        <v>16.264299999999999</v>
      </c>
      <c r="O328" s="2">
        <v>121.04219999999999</v>
      </c>
      <c r="P328" s="2" t="s">
        <v>87</v>
      </c>
      <c r="Q328" s="2" t="s">
        <v>198</v>
      </c>
      <c r="R328" s="29" t="e">
        <f>IF(INDEX(#REF!,MATCH('data '!$B328,#REF!,0),MATCH('data '!R$3,#REF!,0))=0,"",INDEX(#REF!,MATCH('data '!$B328,#REF!,0),MATCH('data '!R$3,#REF!,0)))</f>
        <v>#REF!</v>
      </c>
      <c r="S328" s="29" t="e">
        <f>IF(INDEX(#REF!,MATCH('data '!$B328,#REF!,0),MATCH('data '!S$3,#REF!,0))=0,"",INDEX(#REF!,MATCH('data '!$B328,#REF!,0),MATCH('data '!S$3,#REF!,0)))</f>
        <v>#REF!</v>
      </c>
      <c r="T328" s="29" t="e">
        <f>IF(INDEX(#REF!,MATCH('data '!$B328,#REF!,0),MATCH('data '!T$3,#REF!,0))=0,"",INDEX(#REF!,MATCH('data '!$B328,#REF!,0),MATCH('data '!T$3,#REF!,0)))</f>
        <v>#REF!</v>
      </c>
      <c r="V328" s="25" t="s">
        <v>266</v>
      </c>
      <c r="W328" s="25" t="s">
        <v>144</v>
      </c>
      <c r="X328" s="9" t="s">
        <v>25</v>
      </c>
      <c r="Y328" s="9">
        <v>45863</v>
      </c>
      <c r="Z328" s="8">
        <v>45999</v>
      </c>
      <c r="AC328" s="8" t="e">
        <f>VLOOKUP(B328,#REF!,19,0)</f>
        <v>#REF!</v>
      </c>
      <c r="AE328" s="8" t="s">
        <v>212</v>
      </c>
      <c r="AF328" s="8">
        <v>45908</v>
      </c>
      <c r="AG328" s="8">
        <v>45908</v>
      </c>
      <c r="AH328" s="8" t="s">
        <v>507</v>
      </c>
      <c r="AI328" s="8">
        <v>45909</v>
      </c>
      <c r="AJ328" s="8" t="s">
        <v>508</v>
      </c>
      <c r="AK328" s="8">
        <v>45916</v>
      </c>
      <c r="AL328" s="8">
        <v>45915</v>
      </c>
      <c r="AM328" s="8">
        <v>45937</v>
      </c>
      <c r="AP328" s="8" t="str">
        <f t="shared" si="12"/>
        <v>Tempo Energized</v>
      </c>
      <c r="AT328" s="8">
        <v>45926</v>
      </c>
      <c r="AU328" s="8">
        <v>45950</v>
      </c>
      <c r="AV328" s="8">
        <v>45950</v>
      </c>
      <c r="AW328" s="8" t="s">
        <v>1582</v>
      </c>
      <c r="AX328" s="8">
        <v>45950</v>
      </c>
      <c r="AY328" s="8" t="s">
        <v>1583</v>
      </c>
      <c r="BD328" s="2" t="str">
        <f t="shared" si="13"/>
        <v>PO Issued</v>
      </c>
      <c r="BE328" s="2">
        <v>14</v>
      </c>
      <c r="BG328" s="2" t="e">
        <v>#N/A</v>
      </c>
      <c r="BH328" s="2" t="e" vm="1">
        <v>#REF!</v>
      </c>
    </row>
    <row r="329" spans="2:60" hidden="1" x14ac:dyDescent="0.25">
      <c r="B329" s="2" t="s">
        <v>1620</v>
      </c>
      <c r="C329" s="2" t="s">
        <v>1621</v>
      </c>
      <c r="D329" s="44" t="s">
        <v>1622</v>
      </c>
      <c r="E329" s="2" t="s">
        <v>3</v>
      </c>
      <c r="F329" s="2" t="s">
        <v>279</v>
      </c>
      <c r="G329" s="2" t="s">
        <v>1</v>
      </c>
      <c r="H329" s="2" t="s">
        <v>139</v>
      </c>
      <c r="I329" s="2" t="s">
        <v>140</v>
      </c>
      <c r="J329" s="2" t="s">
        <v>141</v>
      </c>
      <c r="K329" s="2" t="s">
        <v>280</v>
      </c>
      <c r="L329" s="2" t="s">
        <v>1623</v>
      </c>
      <c r="M329" s="2">
        <v>0</v>
      </c>
      <c r="N329" s="2">
        <v>17.982299999999999</v>
      </c>
      <c r="O329" s="2">
        <v>120.72020000000001</v>
      </c>
      <c r="P329" s="2" t="s">
        <v>87</v>
      </c>
      <c r="Q329" s="2" t="s">
        <v>219</v>
      </c>
      <c r="R329" s="29" t="e">
        <f>IF(INDEX(#REF!,MATCH('data '!$B329,#REF!,0),MATCH('data '!R$3,#REF!,0))=0,"",INDEX(#REF!,MATCH('data '!$B329,#REF!,0),MATCH('data '!R$3,#REF!,0)))</f>
        <v>#REF!</v>
      </c>
      <c r="S329" s="29" t="e">
        <f>IF(INDEX(#REF!,MATCH('data '!$B329,#REF!,0),MATCH('data '!S$3,#REF!,0))=0,"",INDEX(#REF!,MATCH('data '!$B329,#REF!,0),MATCH('data '!S$3,#REF!,0)))</f>
        <v>#REF!</v>
      </c>
      <c r="T329" s="29" t="e">
        <f>IF(INDEX(#REF!,MATCH('data '!$B329,#REF!,0),MATCH('data '!T$3,#REF!,0))=0,"",INDEX(#REF!,MATCH('data '!$B329,#REF!,0),MATCH('data '!T$3,#REF!,0)))</f>
        <v>#REF!</v>
      </c>
      <c r="U329" s="8" t="s">
        <v>25</v>
      </c>
      <c r="V329" s="25" t="s">
        <v>383</v>
      </c>
      <c r="W329" s="25" t="s">
        <v>144</v>
      </c>
      <c r="X329" s="9" t="s">
        <v>25</v>
      </c>
      <c r="Y329" s="9">
        <v>45831</v>
      </c>
      <c r="Z329" s="8">
        <v>45845</v>
      </c>
      <c r="AC329" s="8" t="e">
        <f>VLOOKUP(B329,#REF!,19,0)</f>
        <v>#REF!</v>
      </c>
      <c r="AE329" s="8" t="s">
        <v>145</v>
      </c>
      <c r="AF329" s="8">
        <v>45908</v>
      </c>
      <c r="AG329" s="8">
        <v>45908</v>
      </c>
      <c r="AH329" s="8" t="s">
        <v>398</v>
      </c>
      <c r="AI329" s="8">
        <v>45909</v>
      </c>
      <c r="AJ329" s="8" t="s">
        <v>399</v>
      </c>
      <c r="AK329" s="8">
        <v>45916</v>
      </c>
      <c r="AL329" s="8">
        <v>45923</v>
      </c>
      <c r="AM329" s="8">
        <v>45932</v>
      </c>
      <c r="AP329" s="8" t="str">
        <f t="shared" si="12"/>
        <v>Tempo Energized</v>
      </c>
      <c r="AS329" s="8" t="e">
        <v>#N/A</v>
      </c>
      <c r="AT329" s="8">
        <v>45907</v>
      </c>
      <c r="AU329" s="8">
        <v>45967</v>
      </c>
      <c r="AV329" s="8">
        <v>45967</v>
      </c>
      <c r="AW329" s="8" t="s">
        <v>1624</v>
      </c>
      <c r="AX329" s="8">
        <v>45971</v>
      </c>
      <c r="AY329" s="8" t="s">
        <v>1625</v>
      </c>
      <c r="BD329" s="2" t="str">
        <f t="shared" si="13"/>
        <v>PO Issued</v>
      </c>
      <c r="BE329" s="2">
        <v>33</v>
      </c>
      <c r="BF329" s="2" t="s">
        <v>1626</v>
      </c>
      <c r="BG329" s="2" t="e">
        <v>#N/A</v>
      </c>
      <c r="BH329" s="2" t="e" vm="1">
        <v>#REF!</v>
      </c>
    </row>
    <row r="330" spans="2:60" hidden="1" x14ac:dyDescent="0.25">
      <c r="B330" s="2" t="s">
        <v>1627</v>
      </c>
      <c r="C330" s="2" t="s">
        <v>1628</v>
      </c>
      <c r="D330" s="44" t="s">
        <v>1629</v>
      </c>
      <c r="F330" s="2">
        <v>0</v>
      </c>
      <c r="G330" s="2" t="s">
        <v>1</v>
      </c>
      <c r="H330" s="2" t="s">
        <v>120</v>
      </c>
      <c r="I330" s="2" t="s">
        <v>121</v>
      </c>
      <c r="J330" s="2" t="e">
        <v>#N/A</v>
      </c>
      <c r="K330" s="2" t="e">
        <v>#N/A</v>
      </c>
      <c r="L330" s="2" t="e">
        <v>#N/A</v>
      </c>
      <c r="M330" s="2" t="e">
        <v>#N/A</v>
      </c>
      <c r="N330" s="2" t="e">
        <v>#N/A</v>
      </c>
      <c r="O330" s="2" t="e">
        <v>#N/A</v>
      </c>
      <c r="P330" s="2" t="s">
        <v>789</v>
      </c>
      <c r="Q330" s="2">
        <v>0</v>
      </c>
      <c r="R330" s="29" t="e">
        <f>IF(INDEX(#REF!,MATCH('data '!$B330,#REF!,0),MATCH('data '!R$3,#REF!,0))=0,"",INDEX(#REF!,MATCH('data '!$B330,#REF!,0),MATCH('data '!R$3,#REF!,0)))</f>
        <v>#REF!</v>
      </c>
      <c r="S330" s="29" t="e">
        <f>IF(INDEX(#REF!,MATCH('data '!$B330,#REF!,0),MATCH('data '!S$3,#REF!,0))=0,"",INDEX(#REF!,MATCH('data '!$B330,#REF!,0),MATCH('data '!S$3,#REF!,0)))</f>
        <v>#REF!</v>
      </c>
      <c r="T330" s="29" t="e">
        <f>IF(INDEX(#REF!,MATCH('data '!$B330,#REF!,0),MATCH('data '!T$3,#REF!,0))=0,"",INDEX(#REF!,MATCH('data '!$B330,#REF!,0),MATCH('data '!T$3,#REF!,0)))</f>
        <v>#REF!</v>
      </c>
      <c r="V330" s="25" t="s">
        <v>204</v>
      </c>
      <c r="W330" s="25">
        <v>0</v>
      </c>
      <c r="AC330" s="8" t="e">
        <f>VLOOKUP(B330,#REF!,19,0)</f>
        <v>#REF!</v>
      </c>
      <c r="AP330" s="8" t="str">
        <f t="shared" si="12"/>
        <v>Not yet endorsed</v>
      </c>
      <c r="AQ330" s="10" t="b" cm="1">
        <f t="array" aca="1" ref="AQ330" ca="1">IF(AM330&gt;0,(TODAY()-AM330),IF(AL330&gt;0,(TODAY()-AL330),IF(AK330&gt;0,(TODAY()-AK330,IF(AI330&gt;0,(TODAY()-AI330),IF(AG330&gt;0,(TODAY()-AG330),IF(AF330&gt;0,(TODAY()-AF330),IF(X330&gt;0,(TODAY()-X330)," "))))))))</f>
        <v>0</v>
      </c>
      <c r="BD330" s="2" t="str">
        <f t="shared" si="13"/>
        <v>Not yet endorsed</v>
      </c>
      <c r="BE330" s="2" t="s">
        <v>75</v>
      </c>
      <c r="BG330" s="2" t="e">
        <v>#N/A</v>
      </c>
    </row>
    <row r="331" spans="2:60" hidden="1" x14ac:dyDescent="0.25">
      <c r="B331" s="2" t="s">
        <v>1630</v>
      </c>
      <c r="C331" s="2" t="s">
        <v>1631</v>
      </c>
      <c r="D331" s="44" t="s">
        <v>1632</v>
      </c>
      <c r="E331" s="2" t="s">
        <v>4</v>
      </c>
      <c r="F331" s="2" t="s">
        <v>358</v>
      </c>
      <c r="G331" s="2" t="s">
        <v>1</v>
      </c>
      <c r="H331" s="2" t="s">
        <v>139</v>
      </c>
      <c r="I331" s="2" t="s">
        <v>140</v>
      </c>
      <c r="J331" s="2" t="s">
        <v>122</v>
      </c>
      <c r="K331" s="2" t="s">
        <v>359</v>
      </c>
      <c r="L331" s="2" t="s">
        <v>1633</v>
      </c>
      <c r="M331" s="2">
        <v>0</v>
      </c>
      <c r="N331" s="2">
        <v>0</v>
      </c>
      <c r="O331" s="2">
        <v>0</v>
      </c>
      <c r="P331" s="2" t="s">
        <v>82</v>
      </c>
      <c r="Q331" s="2" t="s">
        <v>73</v>
      </c>
      <c r="R331" s="29" t="e">
        <f>IF(INDEX(#REF!,MATCH('data '!$B331,#REF!,0),MATCH('data '!R$3,#REF!,0))=0,"",INDEX(#REF!,MATCH('data '!$B331,#REF!,0),MATCH('data '!R$3,#REF!,0)))</f>
        <v>#REF!</v>
      </c>
      <c r="S331" s="29" t="e">
        <f>IF(INDEX(#REF!,MATCH('data '!$B331,#REF!,0),MATCH('data '!S$3,#REF!,0))=0,"",INDEX(#REF!,MATCH('data '!$B331,#REF!,0),MATCH('data '!S$3,#REF!,0)))</f>
        <v>#REF!</v>
      </c>
      <c r="T331" s="29" t="e">
        <f>IF(INDEX(#REF!,MATCH('data '!$B331,#REF!,0),MATCH('data '!T$3,#REF!,0))=0,"",INDEX(#REF!,MATCH('data '!$B331,#REF!,0),MATCH('data '!T$3,#REF!,0)))</f>
        <v>#REF!</v>
      </c>
      <c r="U331" s="8" t="s">
        <v>25</v>
      </c>
      <c r="V331" s="25" t="s">
        <v>160</v>
      </c>
      <c r="W331" s="25" t="s">
        <v>144</v>
      </c>
      <c r="X331" s="9" t="s">
        <v>25</v>
      </c>
      <c r="Y331" s="53">
        <v>45986</v>
      </c>
      <c r="AC331" s="8" t="e">
        <f>VLOOKUP(B331,#REF!,19,0)</f>
        <v>#REF!</v>
      </c>
      <c r="AE331" s="8" t="s">
        <v>547</v>
      </c>
      <c r="AF331" s="21">
        <v>45938</v>
      </c>
      <c r="AG331" s="8">
        <v>46036</v>
      </c>
      <c r="AH331" s="8" t="s">
        <v>1634</v>
      </c>
      <c r="AI331" s="8">
        <v>46038</v>
      </c>
      <c r="AJ331" s="8" t="s">
        <v>1635</v>
      </c>
      <c r="AP331" s="8" t="str">
        <f t="shared" si="12"/>
        <v>PO Issued</v>
      </c>
      <c r="AQ331" s="10" t="b" cm="1">
        <f t="array" aca="1" ref="AQ331" ca="1">IF(AM331&gt;0,(TODAY()-AM331),IF(AL331&gt;0,(TODAY()-AL331),IF(AK331&gt;0,(TODAY()-AK331,IF(AI331&gt;0,(TODAY()-AI331),IF(AG331&gt;0,(TODAY()-AG331),IF(AF331&gt;0,(TODAY()-AF331),IF(X331&gt;0,(TODAY()-X331)," "))))))))</f>
        <v>0</v>
      </c>
      <c r="BD331" s="2" t="str">
        <f t="shared" si="13"/>
        <v>Vendor Allocated</v>
      </c>
      <c r="BE331" s="2">
        <v>2</v>
      </c>
      <c r="BG331" s="2" t="s">
        <v>1636</v>
      </c>
    </row>
    <row r="332" spans="2:60" hidden="1" x14ac:dyDescent="0.25">
      <c r="B332" s="2" t="s">
        <v>1637</v>
      </c>
      <c r="C332" s="2" t="s">
        <v>1638</v>
      </c>
      <c r="D332" s="44" t="s">
        <v>1639</v>
      </c>
      <c r="E332" s="2" t="s">
        <v>3</v>
      </c>
      <c r="F332" s="2" t="s">
        <v>138</v>
      </c>
      <c r="G332" s="2" t="s">
        <v>1</v>
      </c>
      <c r="H332" s="2" t="s">
        <v>139</v>
      </c>
      <c r="I332" s="2" t="s">
        <v>140</v>
      </c>
      <c r="J332" s="2" t="s">
        <v>141</v>
      </c>
      <c r="K332" s="2" t="s">
        <v>142</v>
      </c>
      <c r="L332" s="2" t="s">
        <v>1640</v>
      </c>
      <c r="M332" s="2">
        <v>0</v>
      </c>
      <c r="N332" s="2">
        <v>16.926292</v>
      </c>
      <c r="O332" s="2">
        <v>120.74185799999999</v>
      </c>
      <c r="P332" s="2" t="s">
        <v>87</v>
      </c>
      <c r="Q332" s="2" t="s">
        <v>198</v>
      </c>
      <c r="R332" s="29" t="e">
        <f>IF(INDEX(#REF!,MATCH('data '!$B332,#REF!,0),MATCH('data '!R$3,#REF!,0))=0,"",INDEX(#REF!,MATCH('data '!$B332,#REF!,0),MATCH('data '!R$3,#REF!,0)))</f>
        <v>#REF!</v>
      </c>
      <c r="S332" s="29" t="e">
        <f>IF(INDEX(#REF!,MATCH('data '!$B332,#REF!,0),MATCH('data '!S$3,#REF!,0))=0,"",INDEX(#REF!,MATCH('data '!$B332,#REF!,0),MATCH('data '!S$3,#REF!,0)))</f>
        <v>#REF!</v>
      </c>
      <c r="T332" s="29" t="e">
        <f>IF(INDEX(#REF!,MATCH('data '!$B332,#REF!,0),MATCH('data '!T$3,#REF!,0))=0,"",INDEX(#REF!,MATCH('data '!$B332,#REF!,0),MATCH('data '!T$3,#REF!,0)))</f>
        <v>#REF!</v>
      </c>
      <c r="U332" s="8" t="s">
        <v>25</v>
      </c>
      <c r="V332" s="25" t="s">
        <v>383</v>
      </c>
      <c r="W332" s="25" t="s">
        <v>144</v>
      </c>
      <c r="X332" s="9" t="s">
        <v>25</v>
      </c>
      <c r="Y332" s="9">
        <v>45878</v>
      </c>
      <c r="AC332" s="8" t="e">
        <f>VLOOKUP(B332,#REF!,19,0)</f>
        <v>#REF!</v>
      </c>
      <c r="AE332" s="8" t="s">
        <v>145</v>
      </c>
      <c r="AF332" s="8">
        <v>45908</v>
      </c>
      <c r="AG332" s="8">
        <v>45908</v>
      </c>
      <c r="AH332" s="8" t="s">
        <v>398</v>
      </c>
      <c r="AI332" s="8">
        <v>45909</v>
      </c>
      <c r="AJ332" s="8" t="s">
        <v>399</v>
      </c>
      <c r="AK332" s="8">
        <v>45916</v>
      </c>
      <c r="AL332" s="8">
        <v>45930</v>
      </c>
      <c r="AM332" s="8">
        <v>45945</v>
      </c>
      <c r="AP332" s="8" t="str">
        <f t="shared" si="12"/>
        <v>Tempo Energized</v>
      </c>
      <c r="AR332" s="10" t="s">
        <v>669</v>
      </c>
      <c r="AS332" s="8" t="s">
        <v>1641</v>
      </c>
      <c r="AT332" s="8">
        <v>45940</v>
      </c>
      <c r="AU332" s="8">
        <v>45987</v>
      </c>
      <c r="AV332" s="8">
        <v>45987</v>
      </c>
      <c r="AW332" s="8" t="s">
        <v>1642</v>
      </c>
      <c r="AX332" s="8">
        <v>45988</v>
      </c>
      <c r="AY332" s="8" t="s">
        <v>1643</v>
      </c>
      <c r="BD332" s="2" t="str">
        <f t="shared" si="13"/>
        <v>PO Issued</v>
      </c>
      <c r="BE332" s="2">
        <v>32</v>
      </c>
      <c r="BG332" s="2" t="e">
        <v>#N/A</v>
      </c>
      <c r="BH332" s="2" t="e" vm="1">
        <v>#REF!</v>
      </c>
    </row>
    <row r="333" spans="2:60" ht="60" hidden="1" x14ac:dyDescent="0.25">
      <c r="B333" s="2" t="s">
        <v>1644</v>
      </c>
      <c r="C333" s="2" t="s">
        <v>1645</v>
      </c>
      <c r="D333" s="45" t="s">
        <v>1646</v>
      </c>
      <c r="E333" s="2" t="s">
        <v>5</v>
      </c>
      <c r="F333" s="2" t="s">
        <v>1647</v>
      </c>
      <c r="G333" s="2" t="s">
        <v>1</v>
      </c>
      <c r="H333" s="2" t="s">
        <v>139</v>
      </c>
      <c r="I333" s="2" t="s">
        <v>140</v>
      </c>
      <c r="J333" s="2" t="s">
        <v>224</v>
      </c>
      <c r="K333" s="2" t="s">
        <v>225</v>
      </c>
      <c r="L333" s="2" t="s">
        <v>1648</v>
      </c>
      <c r="M333" s="2" t="s">
        <v>1413</v>
      </c>
      <c r="N333" s="2">
        <v>17.672028739999998</v>
      </c>
      <c r="O333" s="2">
        <v>121.6534563</v>
      </c>
      <c r="P333" s="2" t="s">
        <v>87</v>
      </c>
      <c r="Q333" s="2" t="s">
        <v>265</v>
      </c>
      <c r="R333" s="29" t="e">
        <f>IF(INDEX(#REF!,MATCH('data '!$B333,#REF!,0),MATCH('data '!R$3,#REF!,0))=0,"",INDEX(#REF!,MATCH('data '!$B333,#REF!,0),MATCH('data '!R$3,#REF!,0)))</f>
        <v>#REF!</v>
      </c>
      <c r="S333" s="29" t="e">
        <f>IF(INDEX(#REF!,MATCH('data '!$B333,#REF!,0),MATCH('data '!S$3,#REF!,0))=0,"",INDEX(#REF!,MATCH('data '!$B333,#REF!,0),MATCH('data '!S$3,#REF!,0)))</f>
        <v>#REF!</v>
      </c>
      <c r="T333" s="29" t="e">
        <f>IF(INDEX(#REF!,MATCH('data '!$B333,#REF!,0),MATCH('data '!T$3,#REF!,0))=0,"",INDEX(#REF!,MATCH('data '!$B333,#REF!,0),MATCH('data '!T$3,#REF!,0)))</f>
        <v>#REF!</v>
      </c>
      <c r="V333" s="25" t="s">
        <v>266</v>
      </c>
      <c r="W333" s="25" t="s">
        <v>144</v>
      </c>
      <c r="X333" s="9" t="s">
        <v>25</v>
      </c>
      <c r="Y333" s="9">
        <v>45842</v>
      </c>
      <c r="AA333" s="8">
        <v>45698</v>
      </c>
      <c r="AB333" s="8">
        <v>45982</v>
      </c>
      <c r="AC333" s="8" t="e">
        <f>VLOOKUP(B333,#REF!,19,0)</f>
        <v>#REF!</v>
      </c>
      <c r="AE333" s="8" t="s">
        <v>228</v>
      </c>
      <c r="AF333" s="8">
        <v>45898</v>
      </c>
      <c r="AG333" s="8">
        <v>45946</v>
      </c>
      <c r="AH333" s="8" t="s">
        <v>1649</v>
      </c>
      <c r="AI333" s="8">
        <v>45950</v>
      </c>
      <c r="AJ333" s="8" t="s">
        <v>1650</v>
      </c>
      <c r="AK333" s="8">
        <v>45933</v>
      </c>
      <c r="AL333" s="8">
        <v>45976</v>
      </c>
      <c r="AM333" s="8">
        <v>45979</v>
      </c>
      <c r="AP333" s="8" t="str">
        <f t="shared" si="12"/>
        <v>Tempo Energized</v>
      </c>
      <c r="AQ333" s="10" cm="1">
        <f t="array" aca="1" ref="AQ333" ca="1">IF(AM333&gt;0,(TODAY()-AM333),IF(AL333&gt;0,(TODAY()-AL333),IF(AK333&gt;0,(TODAY()-AK333,IF(AI333&gt;0,(TODAY()-AI333),IF(AG333&gt;0,(TODAY()-AG333),IF(AF333&gt;0,(TODAY()-AF333),IF(X333&gt;0,(TODAY()-X333)," "))))))))</f>
        <v>127</v>
      </c>
      <c r="AS333" s="50" t="s">
        <v>1651</v>
      </c>
      <c r="AT333" s="8">
        <v>45905</v>
      </c>
      <c r="AU333" s="8">
        <v>45943</v>
      </c>
      <c r="AV333" s="8">
        <v>45943</v>
      </c>
      <c r="AW333" s="8" t="s">
        <v>1652</v>
      </c>
      <c r="AX333" s="8">
        <v>45945</v>
      </c>
      <c r="AY333" s="8" t="s">
        <v>1653</v>
      </c>
      <c r="BD333" s="2" t="str">
        <f t="shared" si="13"/>
        <v>PO Issued</v>
      </c>
      <c r="BE333" s="2">
        <v>35</v>
      </c>
      <c r="BF333" s="2" t="s">
        <v>1654</v>
      </c>
      <c r="BG333" s="2" t="e">
        <v>#N/A</v>
      </c>
      <c r="BH333" s="2" t="e" vm="1">
        <v>#REF!</v>
      </c>
    </row>
    <row r="334" spans="2:60" hidden="1" x14ac:dyDescent="0.25">
      <c r="B334" s="2" t="s">
        <v>1655</v>
      </c>
      <c r="C334" s="2" t="s">
        <v>1656</v>
      </c>
      <c r="D334" s="44" t="s">
        <v>1657</v>
      </c>
      <c r="E334" s="2" t="s">
        <v>3</v>
      </c>
      <c r="F334" s="2" t="s">
        <v>138</v>
      </c>
      <c r="G334" s="2" t="s">
        <v>1</v>
      </c>
      <c r="H334" s="2" t="s">
        <v>139</v>
      </c>
      <c r="I334" s="2" t="s">
        <v>140</v>
      </c>
      <c r="J334" s="2" t="s">
        <v>141</v>
      </c>
      <c r="K334" s="2" t="s">
        <v>142</v>
      </c>
      <c r="L334" s="2" t="s">
        <v>1658</v>
      </c>
      <c r="M334" s="2">
        <v>0</v>
      </c>
      <c r="N334" s="2">
        <v>0</v>
      </c>
      <c r="O334" s="2">
        <v>0</v>
      </c>
      <c r="P334" s="2" t="s">
        <v>87</v>
      </c>
      <c r="Q334" s="2" t="s">
        <v>73</v>
      </c>
      <c r="R334" s="29" t="e">
        <f>IF(INDEX(#REF!,MATCH('data '!$B334,#REF!,0),MATCH('data '!R$3,#REF!,0))=0,"",INDEX(#REF!,MATCH('data '!$B334,#REF!,0),MATCH('data '!R$3,#REF!,0)))</f>
        <v>#REF!</v>
      </c>
      <c r="S334" s="29" t="e">
        <f>IF(INDEX(#REF!,MATCH('data '!$B334,#REF!,0),MATCH('data '!S$3,#REF!,0))=0,"",INDEX(#REF!,MATCH('data '!$B334,#REF!,0),MATCH('data '!S$3,#REF!,0)))</f>
        <v>#REF!</v>
      </c>
      <c r="T334" s="29" t="e">
        <f>IF(INDEX(#REF!,MATCH('data '!$B334,#REF!,0),MATCH('data '!T$3,#REF!,0))=0,"",INDEX(#REF!,MATCH('data '!$B334,#REF!,0),MATCH('data '!T$3,#REF!,0)))</f>
        <v>#REF!</v>
      </c>
      <c r="V334" s="25" t="s">
        <v>87</v>
      </c>
      <c r="W334" s="25" t="s">
        <v>144</v>
      </c>
      <c r="X334" s="9" t="s">
        <v>25</v>
      </c>
      <c r="Y334" s="9">
        <v>45932</v>
      </c>
      <c r="AC334" s="8" t="e">
        <f>VLOOKUP(B334,#REF!,19,0)</f>
        <v>#REF!</v>
      </c>
      <c r="AE334" s="8" t="s">
        <v>145</v>
      </c>
      <c r="AF334" s="8">
        <v>45938</v>
      </c>
      <c r="AG334" s="8">
        <v>45939</v>
      </c>
      <c r="AH334" s="8" t="s">
        <v>146</v>
      </c>
      <c r="AI334" s="8">
        <v>45943</v>
      </c>
      <c r="AJ334" s="8" t="s">
        <v>147</v>
      </c>
      <c r="AO334" s="8" t="s">
        <v>561</v>
      </c>
      <c r="AP334" s="8" t="str">
        <f t="shared" si="12"/>
        <v>PO Issued</v>
      </c>
      <c r="AQ334" s="10" t="b" cm="1">
        <f t="array" aca="1" ref="AQ334" ca="1">IF(AM334&gt;0,(TODAY()-AM334),IF(AL334&gt;0,(TODAY()-AL334),IF(AK334&gt;0,(TODAY()-AK334,IF(AI334&gt;0,(TODAY()-AI334),IF(AG334&gt;0,(TODAY()-AG334),IF(AF334&gt;0,(TODAY()-AF334),IF(X334&gt;0,(TODAY()-X334)," "))))))))</f>
        <v>0</v>
      </c>
      <c r="AT334" s="11"/>
      <c r="AU334" s="11"/>
      <c r="AV334" s="11"/>
      <c r="AW334" s="11"/>
      <c r="AX334" s="11"/>
      <c r="AY334" s="11"/>
      <c r="BD334" s="2" t="str">
        <f t="shared" si="13"/>
        <v>Vendor Allocated</v>
      </c>
      <c r="BE334" s="2">
        <v>2</v>
      </c>
      <c r="BG334" s="2" t="s">
        <v>149</v>
      </c>
      <c r="BH334" s="2" t="e" vm="1">
        <v>#REF!</v>
      </c>
    </row>
    <row r="335" spans="2:60" hidden="1" x14ac:dyDescent="0.25">
      <c r="B335" s="2" t="s">
        <v>1659</v>
      </c>
      <c r="C335" s="2" t="s">
        <v>1660</v>
      </c>
      <c r="D335" s="44" t="s">
        <v>1661</v>
      </c>
      <c r="E335" s="2" t="s">
        <v>3</v>
      </c>
      <c r="F335" s="2" t="s">
        <v>138</v>
      </c>
      <c r="G335" s="2" t="s">
        <v>1</v>
      </c>
      <c r="H335" s="2" t="s">
        <v>139</v>
      </c>
      <c r="I335" s="2" t="s">
        <v>140</v>
      </c>
      <c r="J335" s="2" t="s">
        <v>141</v>
      </c>
      <c r="K335" s="2" t="s">
        <v>142</v>
      </c>
      <c r="L335" s="2" t="s">
        <v>1605</v>
      </c>
      <c r="M335" s="2">
        <v>0</v>
      </c>
      <c r="N335" s="2">
        <v>0</v>
      </c>
      <c r="O335" s="2">
        <v>0</v>
      </c>
      <c r="P335" s="2" t="s">
        <v>82</v>
      </c>
      <c r="Q335" s="2" t="s">
        <v>73</v>
      </c>
      <c r="R335" s="29" t="e">
        <f>IF(INDEX(#REF!,MATCH('data '!$B335,#REF!,0),MATCH('data '!R$3,#REF!,0))=0,"",INDEX(#REF!,MATCH('data '!$B335,#REF!,0),MATCH('data '!R$3,#REF!,0)))</f>
        <v>#REF!</v>
      </c>
      <c r="S335" s="29" t="e">
        <f>IF(INDEX(#REF!,MATCH('data '!$B335,#REF!,0),MATCH('data '!S$3,#REF!,0))=0,"",INDEX(#REF!,MATCH('data '!$B335,#REF!,0),MATCH('data '!S$3,#REF!,0)))</f>
        <v>#REF!</v>
      </c>
      <c r="T335" s="29" t="e">
        <f>IF(INDEX(#REF!,MATCH('data '!$B335,#REF!,0),MATCH('data '!T$3,#REF!,0))=0,"",INDEX(#REF!,MATCH('data '!$B335,#REF!,0),MATCH('data '!T$3,#REF!,0)))</f>
        <v>#REF!</v>
      </c>
      <c r="U335" s="8" t="s">
        <v>25</v>
      </c>
      <c r="V335" s="25" t="s">
        <v>133</v>
      </c>
      <c r="W335" s="25" t="s">
        <v>134</v>
      </c>
      <c r="AC335" s="8" t="e">
        <f>VLOOKUP(B335,#REF!,19,0)</f>
        <v>#REF!</v>
      </c>
      <c r="AE335" s="8" t="s">
        <v>145</v>
      </c>
      <c r="AF335" s="21">
        <v>45938</v>
      </c>
      <c r="AP335" s="8" t="str">
        <f t="shared" si="12"/>
        <v>Vendor Allocated</v>
      </c>
      <c r="AQ335" s="10" t="b" cm="1">
        <f t="array" aca="1" ref="AQ335" ca="1">IF(AM335&gt;0,(TODAY()-AM335),IF(AL335&gt;0,(TODAY()-AL335),IF(AK335&gt;0,(TODAY()-AK335,IF(AI335&gt;0,(TODAY()-AI335),IF(AG335&gt;0,(TODAY()-AG335),IF(AF335&gt;0,(TODAY()-AF335),IF(X335&gt;0,(TODAY()-X335)," "))))))))</f>
        <v>0</v>
      </c>
      <c r="BD335" s="2" t="str">
        <f t="shared" si="13"/>
        <v>Vendor Allocated</v>
      </c>
      <c r="BE335" s="2">
        <v>2</v>
      </c>
      <c r="BG335" s="2" t="s">
        <v>149</v>
      </c>
      <c r="BH335" s="2" t="e" vm="1">
        <v>#REF!</v>
      </c>
    </row>
    <row r="336" spans="2:60" hidden="1" x14ac:dyDescent="0.25">
      <c r="B336" s="2" t="s">
        <v>1662</v>
      </c>
      <c r="C336" s="2" t="s">
        <v>1663</v>
      </c>
      <c r="D336" s="44" t="s">
        <v>1664</v>
      </c>
      <c r="E336" s="2" t="s">
        <v>3</v>
      </c>
      <c r="F336" s="2" t="s">
        <v>565</v>
      </c>
      <c r="G336" s="2" t="s">
        <v>1</v>
      </c>
      <c r="H336" s="2" t="s">
        <v>120</v>
      </c>
      <c r="I336" s="2" t="s">
        <v>140</v>
      </c>
      <c r="J336" s="2" t="s">
        <v>209</v>
      </c>
      <c r="K336" s="2" t="s">
        <v>566</v>
      </c>
      <c r="L336" s="2" t="s">
        <v>1609</v>
      </c>
      <c r="M336" s="2">
        <v>0</v>
      </c>
      <c r="N336" s="2">
        <v>0</v>
      </c>
      <c r="O336" s="2">
        <v>0</v>
      </c>
      <c r="P336" s="2" t="s">
        <v>824</v>
      </c>
      <c r="Q336" s="2" t="s">
        <v>73</v>
      </c>
      <c r="R336" s="29" t="e">
        <f>IF(INDEX(#REF!,MATCH('data '!$B336,#REF!,0),MATCH('data '!R$3,#REF!,0))=0,"",INDEX(#REF!,MATCH('data '!$B336,#REF!,0),MATCH('data '!R$3,#REF!,0)))</f>
        <v>#REF!</v>
      </c>
      <c r="S336" s="29" t="e">
        <f>IF(INDEX(#REF!,MATCH('data '!$B336,#REF!,0),MATCH('data '!S$3,#REF!,0))=0,"",INDEX(#REF!,MATCH('data '!$B336,#REF!,0),MATCH('data '!S$3,#REF!,0)))</f>
        <v>#REF!</v>
      </c>
      <c r="T336" s="29" t="e">
        <f>IF(INDEX(#REF!,MATCH('data '!$B336,#REF!,0),MATCH('data '!T$3,#REF!,0))=0,"",INDEX(#REF!,MATCH('data '!$B336,#REF!,0),MATCH('data '!T$3,#REF!,0)))</f>
        <v>#REF!</v>
      </c>
      <c r="V336" s="25" t="s">
        <v>95</v>
      </c>
      <c r="W336" s="25">
        <v>0</v>
      </c>
      <c r="AC336" s="8" t="e">
        <f>VLOOKUP(B336,#REF!,19,0)</f>
        <v>#REF!</v>
      </c>
      <c r="AP336" s="8" t="str">
        <f t="shared" si="12"/>
        <v>Not yet endorsed</v>
      </c>
      <c r="AQ336" s="10" t="b" cm="1">
        <f t="array" aca="1" ref="AQ336" ca="1">IF(AM336&gt;0,(TODAY()-AM336),IF(AL336&gt;0,(TODAY()-AL336),IF(AK336&gt;0,(TODAY()-AK336,IF(AI336&gt;0,(TODAY()-AI336),IF(AG336&gt;0,(TODAY()-AG336),IF(AF336&gt;0,(TODAY()-AF336),IF(X336&gt;0,(TODAY()-X336)," "))))))))</f>
        <v>0</v>
      </c>
      <c r="BD336" s="2" t="str">
        <f t="shared" si="13"/>
        <v>Not yet endorsed</v>
      </c>
      <c r="BE336" s="2" t="s">
        <v>75</v>
      </c>
      <c r="BG336" s="2" t="e">
        <v>#N/A</v>
      </c>
      <c r="BH336" s="2" t="e" vm="1">
        <v>#REF!</v>
      </c>
    </row>
    <row r="337" spans="1:60" hidden="1" x14ac:dyDescent="0.25">
      <c r="B337" s="2" t="s">
        <v>1665</v>
      </c>
      <c r="C337" s="2" t="s">
        <v>1666</v>
      </c>
      <c r="D337" s="44" t="s">
        <v>1667</v>
      </c>
      <c r="E337" s="2" t="s">
        <v>3</v>
      </c>
      <c r="F337" s="2" t="s">
        <v>138</v>
      </c>
      <c r="G337" s="2" t="s">
        <v>1</v>
      </c>
      <c r="H337" s="2" t="s">
        <v>139</v>
      </c>
      <c r="I337" s="2" t="s">
        <v>140</v>
      </c>
      <c r="J337" s="2" t="s">
        <v>141</v>
      </c>
      <c r="K337" s="2" t="s">
        <v>142</v>
      </c>
      <c r="L337" s="2" t="s">
        <v>1668</v>
      </c>
      <c r="M337" s="2">
        <v>0</v>
      </c>
      <c r="N337" s="2">
        <v>17.7088</v>
      </c>
      <c r="O337" s="2">
        <v>120.4623</v>
      </c>
      <c r="P337" s="2" t="s">
        <v>87</v>
      </c>
      <c r="Q337" s="2" t="s">
        <v>265</v>
      </c>
      <c r="R337" s="29" t="e">
        <f>IF(INDEX(#REF!,MATCH('data '!$B337,#REF!,0),MATCH('data '!R$3,#REF!,0))=0,"",INDEX(#REF!,MATCH('data '!$B337,#REF!,0),MATCH('data '!R$3,#REF!,0)))</f>
        <v>#REF!</v>
      </c>
      <c r="S337" s="29" t="e">
        <f>IF(INDEX(#REF!,MATCH('data '!$B337,#REF!,0),MATCH('data '!S$3,#REF!,0))=0,"",INDEX(#REF!,MATCH('data '!$B337,#REF!,0),MATCH('data '!S$3,#REF!,0)))</f>
        <v>#REF!</v>
      </c>
      <c r="T337" s="29" t="e">
        <f>IF(INDEX(#REF!,MATCH('data '!$B337,#REF!,0),MATCH('data '!T$3,#REF!,0))=0,"",INDEX(#REF!,MATCH('data '!$B337,#REF!,0),MATCH('data '!T$3,#REF!,0)))</f>
        <v>#REF!</v>
      </c>
      <c r="U337" s="8" t="s">
        <v>25</v>
      </c>
      <c r="V337" s="25" t="s">
        <v>266</v>
      </c>
      <c r="W337" s="25" t="s">
        <v>144</v>
      </c>
      <c r="X337" s="9" t="s">
        <v>25</v>
      </c>
      <c r="Y337" s="9">
        <v>45818</v>
      </c>
      <c r="Z337" s="8">
        <v>45937</v>
      </c>
      <c r="AA337" s="8" t="s">
        <v>1669</v>
      </c>
      <c r="AC337" s="8" t="e">
        <f>VLOOKUP(B337,#REF!,19,0)</f>
        <v>#REF!</v>
      </c>
      <c r="AE337" s="8" t="s">
        <v>540</v>
      </c>
      <c r="AF337" s="8">
        <v>45919</v>
      </c>
      <c r="AG337" s="8">
        <v>45946</v>
      </c>
      <c r="AH337" s="8" t="s">
        <v>954</v>
      </c>
      <c r="AI337" s="8">
        <v>45950</v>
      </c>
      <c r="AJ337" s="8" t="s">
        <v>955</v>
      </c>
      <c r="AK337" s="8">
        <v>45950</v>
      </c>
      <c r="AL337" s="8">
        <v>45952</v>
      </c>
      <c r="AM337" s="8">
        <v>45954</v>
      </c>
      <c r="AP337" s="8" t="str">
        <f t="shared" si="12"/>
        <v>Tempo Energized</v>
      </c>
      <c r="AQ337" s="10" cm="1">
        <f t="array" aca="1" ref="AQ337" ca="1">IF(AM337&gt;0,(TODAY()-AM337),IF(AL337&gt;0,(TODAY()-AL337),IF(AK337&gt;0,(TODAY()-AK337,IF(AI337&gt;0,(TODAY()-AI337),IF(AG337&gt;0,(TODAY()-AG337),IF(AF337&gt;0,(TODAY()-AF337),IF(X337&gt;0,(TODAY()-X337)," "))))))))</f>
        <v>152</v>
      </c>
      <c r="AT337" s="8">
        <v>45915</v>
      </c>
      <c r="AU337" s="8">
        <v>45925</v>
      </c>
      <c r="AV337" s="8">
        <v>45930</v>
      </c>
      <c r="AW337" s="8" t="s">
        <v>807</v>
      </c>
      <c r="AX337" s="8">
        <v>45933</v>
      </c>
      <c r="AY337" s="8" t="s">
        <v>808</v>
      </c>
      <c r="BD337" s="2" t="str">
        <f t="shared" si="13"/>
        <v>PO Issued</v>
      </c>
      <c r="BE337" s="2">
        <v>7</v>
      </c>
      <c r="BG337" s="2" t="e">
        <v>#N/A</v>
      </c>
      <c r="BH337" s="2" t="e" vm="1">
        <v>#REF!</v>
      </c>
    </row>
    <row r="338" spans="1:60" hidden="1" x14ac:dyDescent="0.25">
      <c r="B338" s="2" t="s">
        <v>1670</v>
      </c>
      <c r="C338" s="2" t="s">
        <v>1671</v>
      </c>
      <c r="D338" s="44" t="s">
        <v>1672</v>
      </c>
      <c r="E338" s="2" t="s">
        <v>3</v>
      </c>
      <c r="F338" s="2">
        <v>0</v>
      </c>
      <c r="G338" s="2" t="s">
        <v>1</v>
      </c>
      <c r="H338" s="2" t="s">
        <v>120</v>
      </c>
      <c r="I338" s="2" t="s">
        <v>121</v>
      </c>
      <c r="J338" s="2" t="s">
        <v>141</v>
      </c>
      <c r="K338" s="2" t="s">
        <v>370</v>
      </c>
      <c r="L338" s="2" t="s">
        <v>1673</v>
      </c>
      <c r="M338" s="2">
        <v>0</v>
      </c>
      <c r="N338" s="2">
        <v>0</v>
      </c>
      <c r="O338" s="2">
        <v>0</v>
      </c>
      <c r="P338" s="2" t="s">
        <v>248</v>
      </c>
      <c r="Q338" s="2">
        <v>0</v>
      </c>
      <c r="R338" s="29" t="e">
        <f>IF(INDEX(#REF!,MATCH('data '!$B338,#REF!,0),MATCH('data '!R$3,#REF!,0))=0,"",INDEX(#REF!,MATCH('data '!$B338,#REF!,0),MATCH('data '!R$3,#REF!,0)))</f>
        <v>#REF!</v>
      </c>
      <c r="S338" s="29" t="e">
        <f>IF(INDEX(#REF!,MATCH('data '!$B338,#REF!,0),MATCH('data '!S$3,#REF!,0))=0,"",INDEX(#REF!,MATCH('data '!$B338,#REF!,0),MATCH('data '!S$3,#REF!,0)))</f>
        <v>#REF!</v>
      </c>
      <c r="T338" s="29" t="e">
        <f>IF(INDEX(#REF!,MATCH('data '!$B338,#REF!,0),MATCH('data '!T$3,#REF!,0))=0,"",INDEX(#REF!,MATCH('data '!$B338,#REF!,0),MATCH('data '!T$3,#REF!,0)))</f>
        <v>#REF!</v>
      </c>
      <c r="V338" s="25" t="s">
        <v>204</v>
      </c>
      <c r="W338" s="25">
        <v>0</v>
      </c>
      <c r="AC338" s="8" t="e">
        <f>VLOOKUP(B338,#REF!,19,0)</f>
        <v>#REF!</v>
      </c>
      <c r="AP338" s="8" t="str">
        <f t="shared" si="12"/>
        <v>Not yet endorsed</v>
      </c>
      <c r="AQ338" s="10" t="b" cm="1">
        <f t="array" aca="1" ref="AQ338" ca="1">IF(AM338&gt;0,(TODAY()-AM338),IF(AL338&gt;0,(TODAY()-AL338),IF(AK338&gt;0,(TODAY()-AK338,IF(AI338&gt;0,(TODAY()-AI338),IF(AG338&gt;0,(TODAY()-AG338),IF(AF338&gt;0,(TODAY()-AF338),IF(X338&gt;0,(TODAY()-X338)," "))))))))</f>
        <v>0</v>
      </c>
      <c r="BD338" s="2" t="str">
        <f t="shared" si="13"/>
        <v>Not yet endorsed</v>
      </c>
      <c r="BE338" s="2" t="s">
        <v>75</v>
      </c>
      <c r="BG338" s="2" t="e">
        <v>#N/A</v>
      </c>
      <c r="BH338" s="2" t="e" vm="1">
        <v>#REF!</v>
      </c>
    </row>
    <row r="339" spans="1:60" hidden="1" x14ac:dyDescent="0.25">
      <c r="B339" s="2" t="s">
        <v>1674</v>
      </c>
      <c r="C339" s="2" t="s">
        <v>1675</v>
      </c>
      <c r="D339" s="44" t="s">
        <v>1676</v>
      </c>
      <c r="E339" s="2" t="s">
        <v>3</v>
      </c>
      <c r="F339" s="2" t="s">
        <v>138</v>
      </c>
      <c r="G339" s="2" t="s">
        <v>1</v>
      </c>
      <c r="H339" s="2" t="s">
        <v>139</v>
      </c>
      <c r="I339" s="2" t="s">
        <v>140</v>
      </c>
      <c r="J339" s="2" t="s">
        <v>141</v>
      </c>
      <c r="K339" s="2" t="s">
        <v>142</v>
      </c>
      <c r="L339" s="7" t="s">
        <v>793</v>
      </c>
      <c r="M339" s="2">
        <v>0</v>
      </c>
      <c r="N339" s="2">
        <v>17.384499999999999</v>
      </c>
      <c r="O339" s="2">
        <v>120.51900000000001</v>
      </c>
      <c r="P339" s="2" t="s">
        <v>87</v>
      </c>
      <c r="Q339" s="2" t="s">
        <v>198</v>
      </c>
      <c r="R339" s="29" t="e">
        <f>IF(INDEX(#REF!,MATCH('data '!$B339,#REF!,0),MATCH('data '!R$3,#REF!,0))=0,"",INDEX(#REF!,MATCH('data '!$B339,#REF!,0),MATCH('data '!R$3,#REF!,0)))</f>
        <v>#REF!</v>
      </c>
      <c r="S339" s="29" t="e">
        <f>IF(INDEX(#REF!,MATCH('data '!$B339,#REF!,0),MATCH('data '!S$3,#REF!,0))=0,"",INDEX(#REF!,MATCH('data '!$B339,#REF!,0),MATCH('data '!S$3,#REF!,0)))</f>
        <v>#REF!</v>
      </c>
      <c r="T339" s="29" t="e">
        <f>IF(INDEX(#REF!,MATCH('data '!$B339,#REF!,0),MATCH('data '!T$3,#REF!,0))=0,"",INDEX(#REF!,MATCH('data '!$B339,#REF!,0),MATCH('data '!T$3,#REF!,0)))</f>
        <v>#REF!</v>
      </c>
      <c r="U339" s="8" t="s">
        <v>25</v>
      </c>
      <c r="V339" s="25" t="s">
        <v>383</v>
      </c>
      <c r="W339" s="25" t="s">
        <v>144</v>
      </c>
      <c r="X339" s="9" t="s">
        <v>25</v>
      </c>
      <c r="Y339" s="9">
        <v>45878</v>
      </c>
      <c r="AC339" s="8" t="e">
        <f>VLOOKUP(B339,#REF!,19,0)</f>
        <v>#REF!</v>
      </c>
      <c r="AE339" s="8" t="s">
        <v>145</v>
      </c>
      <c r="AF339" s="8">
        <v>45908</v>
      </c>
      <c r="AG339" s="8">
        <v>45908</v>
      </c>
      <c r="AH339" s="8" t="s">
        <v>398</v>
      </c>
      <c r="AI339" s="8">
        <v>45909</v>
      </c>
      <c r="AJ339" s="8" t="s">
        <v>399</v>
      </c>
      <c r="AK339" s="8">
        <v>45916</v>
      </c>
      <c r="AL339" s="8">
        <v>45944</v>
      </c>
      <c r="AM339" s="8">
        <v>45947</v>
      </c>
      <c r="AP339" s="8" t="str">
        <f t="shared" si="12"/>
        <v>Tempo Energized</v>
      </c>
      <c r="AS339" s="8" t="s">
        <v>400</v>
      </c>
      <c r="AT339" s="8">
        <v>45940</v>
      </c>
      <c r="AU339" s="8">
        <v>45987</v>
      </c>
      <c r="AV339" s="8">
        <v>45987</v>
      </c>
      <c r="AW339" s="8" t="s">
        <v>1642</v>
      </c>
      <c r="AX339" s="8">
        <v>45988</v>
      </c>
      <c r="AY339" s="8" t="s">
        <v>1643</v>
      </c>
      <c r="BD339" s="2" t="str">
        <f t="shared" si="13"/>
        <v>PO Issued</v>
      </c>
      <c r="BE339" s="2">
        <v>32</v>
      </c>
      <c r="BG339" s="2" t="e">
        <v>#N/A</v>
      </c>
      <c r="BH339" s="2" t="e" vm="1">
        <v>#REF!</v>
      </c>
    </row>
    <row r="340" spans="1:60" hidden="1" x14ac:dyDescent="0.25">
      <c r="A340" s="48"/>
      <c r="B340" s="7" t="s">
        <v>1677</v>
      </c>
      <c r="C340" s="49" t="s">
        <v>1678</v>
      </c>
      <c r="D340" s="44" t="s">
        <v>1679</v>
      </c>
      <c r="E340" s="2" t="s">
        <v>4</v>
      </c>
      <c r="F340" s="2" t="s">
        <v>358</v>
      </c>
      <c r="G340" s="2" t="s">
        <v>1</v>
      </c>
      <c r="H340" s="2" t="s">
        <v>139</v>
      </c>
      <c r="I340" s="2" t="s">
        <v>140</v>
      </c>
      <c r="J340" s="2" t="s">
        <v>122</v>
      </c>
      <c r="K340" s="2" t="s">
        <v>359</v>
      </c>
      <c r="L340" s="2" t="s">
        <v>1680</v>
      </c>
      <c r="M340" s="2">
        <v>0</v>
      </c>
      <c r="N340" s="2">
        <v>0</v>
      </c>
      <c r="O340" s="2">
        <v>0</v>
      </c>
      <c r="P340" s="2" t="s">
        <v>168</v>
      </c>
      <c r="Q340" s="2" t="s">
        <v>73</v>
      </c>
      <c r="R340" s="29" t="e">
        <f>IF(INDEX(#REF!,MATCH('data '!$B340,#REF!,0),MATCH('data '!R$3,#REF!,0))=0,"",INDEX(#REF!,MATCH('data '!$B340,#REF!,0),MATCH('data '!R$3,#REF!,0)))</f>
        <v>#REF!</v>
      </c>
      <c r="S340" s="29" t="e">
        <f>IF(INDEX(#REF!,MATCH('data '!$B340,#REF!,0),MATCH('data '!S$3,#REF!,0))=0,"",INDEX(#REF!,MATCH('data '!$B340,#REF!,0),MATCH('data '!S$3,#REF!,0)))</f>
        <v>#REF!</v>
      </c>
      <c r="T340" s="29" t="e">
        <f>IF(INDEX(#REF!,MATCH('data '!$B340,#REF!,0),MATCH('data '!T$3,#REF!,0))=0,"",INDEX(#REF!,MATCH('data '!$B340,#REF!,0),MATCH('data '!T$3,#REF!,0)))</f>
        <v>#REF!</v>
      </c>
      <c r="U340" s="8" t="s">
        <v>25</v>
      </c>
      <c r="V340" s="25" t="s">
        <v>160</v>
      </c>
      <c r="W340" s="25" t="s">
        <v>144</v>
      </c>
      <c r="X340" s="9" t="s">
        <v>25</v>
      </c>
      <c r="AC340" s="8" t="e">
        <f>VLOOKUP(B340,#REF!,19,0)</f>
        <v>#REF!</v>
      </c>
      <c r="AE340" s="8" t="s">
        <v>1681</v>
      </c>
      <c r="AF340" s="21">
        <v>45938</v>
      </c>
      <c r="AG340" s="8">
        <v>45946</v>
      </c>
      <c r="AH340" s="8" t="s">
        <v>1682</v>
      </c>
      <c r="AI340" s="8">
        <v>45950</v>
      </c>
      <c r="AJ340" s="8" t="s">
        <v>1683</v>
      </c>
      <c r="AK340" s="8">
        <v>45986</v>
      </c>
      <c r="AL340" s="8">
        <v>45985</v>
      </c>
      <c r="AM340" s="8">
        <v>46003</v>
      </c>
      <c r="AP340" s="8" t="str">
        <f t="shared" si="12"/>
        <v>Tempo Energized</v>
      </c>
      <c r="AQ340" s="10" cm="1">
        <f t="array" aca="1" ref="AQ340" ca="1">IF(AM340&gt;0,(TODAY()-AM340),IF(AL340&gt;0,(TODAY()-AL340),IF(AK340&gt;0,(TODAY()-AK340,IF(AI340&gt;0,(TODAY()-AI340),IF(AG340&gt;0,(TODAY()-AG340),IF(AF340&gt;0,(TODAY()-AF340),IF(X340&gt;0,(TODAY()-X340)," "))))))))</f>
        <v>103</v>
      </c>
      <c r="AT340" s="11"/>
      <c r="AU340" s="11"/>
      <c r="AV340" s="11"/>
      <c r="AW340" s="11"/>
      <c r="AX340" s="11"/>
      <c r="AY340" s="11"/>
      <c r="BD340" s="2" t="str">
        <f t="shared" si="13"/>
        <v>Vendor Allocated</v>
      </c>
      <c r="BE340" s="2">
        <v>2</v>
      </c>
      <c r="BG340" s="2" t="s">
        <v>1684</v>
      </c>
    </row>
    <row r="341" spans="1:60" hidden="1" x14ac:dyDescent="0.25">
      <c r="B341" s="2" t="s">
        <v>1685</v>
      </c>
      <c r="C341" s="2" t="s">
        <v>1686</v>
      </c>
      <c r="D341" s="44" t="s">
        <v>1687</v>
      </c>
      <c r="E341" s="2" t="s">
        <v>3</v>
      </c>
      <c r="F341" s="2" t="s">
        <v>138</v>
      </c>
      <c r="G341" s="2" t="s">
        <v>1</v>
      </c>
      <c r="H341" s="2" t="s">
        <v>139</v>
      </c>
      <c r="I341" s="2" t="s">
        <v>140</v>
      </c>
      <c r="J341" s="2" t="s">
        <v>141</v>
      </c>
      <c r="K341" s="2" t="s">
        <v>142</v>
      </c>
      <c r="L341" s="2" t="s">
        <v>1688</v>
      </c>
      <c r="M341" s="2">
        <v>0</v>
      </c>
      <c r="N341" s="2">
        <v>17.1052</v>
      </c>
      <c r="O341" s="2">
        <v>120.43729999999999</v>
      </c>
      <c r="P341" s="2" t="s">
        <v>87</v>
      </c>
      <c r="Q341" s="2" t="s">
        <v>198</v>
      </c>
      <c r="R341" s="29" t="e">
        <f>IF(INDEX(#REF!,MATCH('data '!$B341,#REF!,0),MATCH('data '!R$3,#REF!,0))=0,"",INDEX(#REF!,MATCH('data '!$B341,#REF!,0),MATCH('data '!R$3,#REF!,0)))</f>
        <v>#REF!</v>
      </c>
      <c r="S341" s="29" t="e">
        <f>IF(INDEX(#REF!,MATCH('data '!$B341,#REF!,0),MATCH('data '!S$3,#REF!,0))=0,"",INDEX(#REF!,MATCH('data '!$B341,#REF!,0),MATCH('data '!S$3,#REF!,0)))</f>
        <v>#REF!</v>
      </c>
      <c r="T341" s="29" t="e">
        <f>IF(INDEX(#REF!,MATCH('data '!$B341,#REF!,0),MATCH('data '!T$3,#REF!,0))=0,"",INDEX(#REF!,MATCH('data '!$B341,#REF!,0),MATCH('data '!T$3,#REF!,0)))</f>
        <v>#REF!</v>
      </c>
      <c r="U341" s="8" t="s">
        <v>25</v>
      </c>
      <c r="V341" s="25" t="s">
        <v>185</v>
      </c>
      <c r="W341" s="25" t="s">
        <v>144</v>
      </c>
      <c r="X341" s="9" t="s">
        <v>25</v>
      </c>
      <c r="Y341" s="9">
        <v>45812</v>
      </c>
      <c r="Z341" s="8">
        <v>45785</v>
      </c>
      <c r="AC341" s="8" t="e">
        <f>VLOOKUP(B341,#REF!,19,0)</f>
        <v>#REF!</v>
      </c>
      <c r="AE341" s="8" t="s">
        <v>540</v>
      </c>
      <c r="AF341" s="8">
        <v>45908</v>
      </c>
      <c r="AG341" s="8">
        <v>45908</v>
      </c>
      <c r="AH341" s="8" t="s">
        <v>373</v>
      </c>
      <c r="AI341" s="8">
        <v>45909</v>
      </c>
      <c r="AJ341" s="8" t="s">
        <v>374</v>
      </c>
      <c r="AK341" s="8">
        <v>45916</v>
      </c>
      <c r="AL341" s="8">
        <v>45915</v>
      </c>
      <c r="AM341" s="8">
        <v>45930</v>
      </c>
      <c r="AP341" s="8" t="str">
        <f t="shared" si="12"/>
        <v>Tempo Energized</v>
      </c>
      <c r="AS341" s="8" t="e">
        <v>#N/A</v>
      </c>
      <c r="AT341" s="8">
        <v>45915</v>
      </c>
      <c r="AU341" s="8">
        <v>45925</v>
      </c>
      <c r="AV341" s="8">
        <v>45930</v>
      </c>
      <c r="AW341" s="8" t="s">
        <v>807</v>
      </c>
      <c r="AX341" s="8">
        <v>45933</v>
      </c>
      <c r="AY341" s="8" t="s">
        <v>808</v>
      </c>
      <c r="BD341" s="2" t="str">
        <f t="shared" si="13"/>
        <v>PO Issued</v>
      </c>
      <c r="BE341" s="2">
        <v>7</v>
      </c>
      <c r="BG341" s="12" t="s">
        <v>809</v>
      </c>
      <c r="BH341" s="2" t="e" vm="1">
        <v>#REF!</v>
      </c>
    </row>
    <row r="342" spans="1:60" hidden="1" x14ac:dyDescent="0.25">
      <c r="B342" s="7" t="s">
        <v>1689</v>
      </c>
      <c r="C342" s="2" t="s">
        <v>1690</v>
      </c>
      <c r="D342" s="44" t="s">
        <v>1691</v>
      </c>
      <c r="E342" s="2" t="s">
        <v>3</v>
      </c>
      <c r="F342" s="2" t="s">
        <v>279</v>
      </c>
      <c r="G342" s="2" t="s">
        <v>1</v>
      </c>
      <c r="H342" s="2" t="s">
        <v>139</v>
      </c>
      <c r="I342" s="2" t="s">
        <v>140</v>
      </c>
      <c r="J342" s="2" t="s">
        <v>141</v>
      </c>
      <c r="K342" s="2" t="s">
        <v>280</v>
      </c>
      <c r="L342" s="2" t="s">
        <v>1692</v>
      </c>
      <c r="M342" s="2">
        <v>0</v>
      </c>
      <c r="N342" s="2">
        <v>18.513300000000001</v>
      </c>
      <c r="O342" s="2">
        <v>120.7345</v>
      </c>
      <c r="P342" s="2" t="s">
        <v>87</v>
      </c>
      <c r="Q342" s="2" t="s">
        <v>265</v>
      </c>
      <c r="R342" s="29" t="e">
        <f>IF(INDEX(#REF!,MATCH('data '!$B342,#REF!,0),MATCH('data '!R$3,#REF!,0))=0,"",INDEX(#REF!,MATCH('data '!$B342,#REF!,0),MATCH('data '!R$3,#REF!,0)))</f>
        <v>#REF!</v>
      </c>
      <c r="S342" s="29" t="e">
        <f>IF(INDEX(#REF!,MATCH('data '!$B342,#REF!,0),MATCH('data '!S$3,#REF!,0))=0,"",INDEX(#REF!,MATCH('data '!$B342,#REF!,0),MATCH('data '!S$3,#REF!,0)))</f>
        <v>#REF!</v>
      </c>
      <c r="T342" s="29" t="e">
        <f>IF(INDEX(#REF!,MATCH('data '!$B342,#REF!,0),MATCH('data '!T$3,#REF!,0))=0,"",INDEX(#REF!,MATCH('data '!$B342,#REF!,0),MATCH('data '!T$3,#REF!,0)))</f>
        <v>#REF!</v>
      </c>
      <c r="U342" s="8" t="s">
        <v>25</v>
      </c>
      <c r="V342" s="25" t="s">
        <v>266</v>
      </c>
      <c r="W342" s="25" t="s">
        <v>144</v>
      </c>
      <c r="X342" s="9" t="s">
        <v>25</v>
      </c>
      <c r="Y342" s="9">
        <v>45803</v>
      </c>
      <c r="AA342" s="8" t="s">
        <v>1693</v>
      </c>
      <c r="AC342" s="8" t="e">
        <f>VLOOKUP(B342,#REF!,19,0)</f>
        <v>#REF!</v>
      </c>
      <c r="AE342" s="8" t="s">
        <v>145</v>
      </c>
      <c r="AF342" s="8">
        <v>45905</v>
      </c>
      <c r="AG342" s="8">
        <v>45946</v>
      </c>
      <c r="AH342" s="8" t="s">
        <v>283</v>
      </c>
      <c r="AI342" s="8">
        <v>45950</v>
      </c>
      <c r="AJ342" s="8" t="s">
        <v>284</v>
      </c>
      <c r="AK342" s="8">
        <v>45953</v>
      </c>
      <c r="AL342" s="8">
        <v>45966</v>
      </c>
      <c r="AM342" s="8">
        <v>45979</v>
      </c>
      <c r="AP342" s="8" t="str">
        <f t="shared" si="12"/>
        <v>Tempo Energized</v>
      </c>
      <c r="AQ342" s="10" cm="1">
        <f t="array" aca="1" ref="AQ342" ca="1">IF(AM342&gt;0,(TODAY()-AM342),IF(AL342&gt;0,(TODAY()-AL342),IF(AK342&gt;0,(TODAY()-AK342,IF(AI342&gt;0,(TODAY()-AI342),IF(AG342&gt;0,(TODAY()-AG342),IF(AF342&gt;0,(TODAY()-AF342),IF(X342&gt;0,(TODAY()-X342)," "))))))))</f>
        <v>127</v>
      </c>
      <c r="AT342" s="8">
        <v>45912</v>
      </c>
      <c r="AU342" s="8">
        <v>45950</v>
      </c>
      <c r="AV342" s="8">
        <v>45950</v>
      </c>
      <c r="AW342" s="8" t="s">
        <v>1694</v>
      </c>
      <c r="AX342" s="8">
        <v>45950</v>
      </c>
      <c r="AY342" s="8" t="s">
        <v>1695</v>
      </c>
      <c r="BD342" s="2" t="str">
        <f t="shared" si="13"/>
        <v>PO Issued</v>
      </c>
      <c r="BE342" s="2">
        <v>28</v>
      </c>
      <c r="BF342" s="2" t="s">
        <v>1152</v>
      </c>
      <c r="BG342" s="2" t="e">
        <v>#N/A</v>
      </c>
      <c r="BH342" s="2" t="e" vm="1">
        <v>#REF!</v>
      </c>
    </row>
    <row r="343" spans="1:60" hidden="1" x14ac:dyDescent="0.25">
      <c r="B343" s="2" t="s">
        <v>1696</v>
      </c>
      <c r="C343" s="2" t="s">
        <v>1697</v>
      </c>
      <c r="D343" s="44" t="s">
        <v>1698</v>
      </c>
      <c r="E343" s="2" t="s">
        <v>3</v>
      </c>
      <c r="F343" s="2">
        <v>0</v>
      </c>
      <c r="G343" s="2" t="s">
        <v>1</v>
      </c>
      <c r="H343" s="2" t="s">
        <v>120</v>
      </c>
      <c r="I343" s="2" t="s">
        <v>121</v>
      </c>
      <c r="J343" s="2" t="s">
        <v>209</v>
      </c>
      <c r="K343" s="2" t="s">
        <v>566</v>
      </c>
      <c r="L343" s="2" t="s">
        <v>1699</v>
      </c>
      <c r="M343" s="2">
        <v>0</v>
      </c>
      <c r="N343" s="2">
        <v>0</v>
      </c>
      <c r="O343" s="2">
        <v>0</v>
      </c>
      <c r="P343" s="2" t="s">
        <v>824</v>
      </c>
      <c r="Q343" s="2">
        <v>0</v>
      </c>
      <c r="R343" s="29" t="e">
        <f>IF(INDEX(#REF!,MATCH('data '!$B343,#REF!,0),MATCH('data '!R$3,#REF!,0))=0,"",INDEX(#REF!,MATCH('data '!$B343,#REF!,0),MATCH('data '!R$3,#REF!,0)))</f>
        <v>#REF!</v>
      </c>
      <c r="S343" s="29" t="e">
        <f>IF(INDEX(#REF!,MATCH('data '!$B343,#REF!,0),MATCH('data '!S$3,#REF!,0))=0,"",INDEX(#REF!,MATCH('data '!$B343,#REF!,0),MATCH('data '!S$3,#REF!,0)))</f>
        <v>#REF!</v>
      </c>
      <c r="T343" s="29" t="e">
        <f>IF(INDEX(#REF!,MATCH('data '!$B343,#REF!,0),MATCH('data '!T$3,#REF!,0))=0,"",INDEX(#REF!,MATCH('data '!$B343,#REF!,0),MATCH('data '!T$3,#REF!,0)))</f>
        <v>#REF!</v>
      </c>
      <c r="V343" s="25" t="s">
        <v>656</v>
      </c>
      <c r="W343" s="25">
        <v>0</v>
      </c>
      <c r="AC343" s="8" t="e">
        <f>VLOOKUP(B343,#REF!,19,0)</f>
        <v>#REF!</v>
      </c>
      <c r="AP343" s="8" t="str">
        <f t="shared" si="12"/>
        <v>Not yet endorsed</v>
      </c>
      <c r="AQ343" s="10" t="b" cm="1">
        <f t="array" aca="1" ref="AQ343" ca="1">IF(AM343&gt;0,(TODAY()-AM343),IF(AL343&gt;0,(TODAY()-AL343),IF(AK343&gt;0,(TODAY()-AK343,IF(AI343&gt;0,(TODAY()-AI343),IF(AG343&gt;0,(TODAY()-AG343),IF(AF343&gt;0,(TODAY()-AF343),IF(X343&gt;0,(TODAY()-X343)," "))))))))</f>
        <v>0</v>
      </c>
      <c r="BD343" s="2" t="str">
        <f t="shared" si="13"/>
        <v>Not yet endorsed</v>
      </c>
      <c r="BE343" s="2" t="s">
        <v>75</v>
      </c>
      <c r="BG343" s="2" t="e">
        <v>#N/A</v>
      </c>
      <c r="BH343" s="2" t="e" vm="1">
        <v>#REF!</v>
      </c>
    </row>
    <row r="344" spans="1:60" hidden="1" x14ac:dyDescent="0.25">
      <c r="B344" s="2" t="s">
        <v>1700</v>
      </c>
      <c r="C344" s="2" t="s">
        <v>1701</v>
      </c>
      <c r="D344" s="44" t="s">
        <v>1702</v>
      </c>
      <c r="E344" s="2" t="s">
        <v>3</v>
      </c>
      <c r="F344" s="2" t="s">
        <v>138</v>
      </c>
      <c r="G344" s="2" t="s">
        <v>1</v>
      </c>
      <c r="H344" s="2" t="s">
        <v>139</v>
      </c>
      <c r="I344" s="2" t="s">
        <v>140</v>
      </c>
      <c r="J344" s="2" t="s">
        <v>141</v>
      </c>
      <c r="K344" s="2" t="s">
        <v>142</v>
      </c>
      <c r="L344" s="2" t="s">
        <v>1703</v>
      </c>
      <c r="M344" s="2">
        <v>0</v>
      </c>
      <c r="N344" s="2">
        <v>17.119499999999999</v>
      </c>
      <c r="O344" s="2">
        <v>120.5059</v>
      </c>
      <c r="P344" s="2" t="s">
        <v>87</v>
      </c>
      <c r="Q344" s="2" t="s">
        <v>184</v>
      </c>
      <c r="R344" s="29" t="e">
        <f>IF(INDEX(#REF!,MATCH('data '!$B344,#REF!,0),MATCH('data '!R$3,#REF!,0))=0,"",INDEX(#REF!,MATCH('data '!$B344,#REF!,0),MATCH('data '!R$3,#REF!,0)))</f>
        <v>#REF!</v>
      </c>
      <c r="S344" s="29" t="e">
        <f>IF(INDEX(#REF!,MATCH('data '!$B344,#REF!,0),MATCH('data '!S$3,#REF!,0))=0,"",INDEX(#REF!,MATCH('data '!$B344,#REF!,0),MATCH('data '!S$3,#REF!,0)))</f>
        <v>#REF!</v>
      </c>
      <c r="T344" s="29" t="e">
        <f>IF(INDEX(#REF!,MATCH('data '!$B344,#REF!,0),MATCH('data '!T$3,#REF!,0))=0,"",INDEX(#REF!,MATCH('data '!$B344,#REF!,0),MATCH('data '!T$3,#REF!,0)))</f>
        <v>#REF!</v>
      </c>
      <c r="U344" s="8" t="s">
        <v>25</v>
      </c>
      <c r="V344" s="25" t="s">
        <v>266</v>
      </c>
      <c r="W344" s="25" t="s">
        <v>144</v>
      </c>
      <c r="X344" s="9" t="s">
        <v>25</v>
      </c>
      <c r="Y344" s="9">
        <v>45724</v>
      </c>
      <c r="Z344" s="8">
        <v>45933</v>
      </c>
      <c r="AA344" s="8" t="s">
        <v>1704</v>
      </c>
      <c r="AB344" s="8">
        <v>45839</v>
      </c>
      <c r="AC344" s="8" t="e">
        <f>VLOOKUP(B344,#REF!,19,0)</f>
        <v>#REF!</v>
      </c>
      <c r="AE344" s="8" t="s">
        <v>145</v>
      </c>
      <c r="AF344" s="8">
        <v>45783</v>
      </c>
      <c r="AH344" s="8" t="s">
        <v>362</v>
      </c>
      <c r="AP344" s="8" t="str">
        <f t="shared" si="12"/>
        <v>Vendor Allocated</v>
      </c>
      <c r="AQ344" s="10" t="b" cm="1">
        <f t="array" aca="1" ref="AQ344" ca="1">IF(AM344&gt;0,(TODAY()-AM344),IF(AL344&gt;0,(TODAY()-AL344),IF(AK344&gt;0,(TODAY()-AK344,IF(AI344&gt;0,(TODAY()-AI344),IF(AG344&gt;0,(TODAY()-AG344),IF(AF344&gt;0,(TODAY()-AF344),IF(X344&gt;0,(TODAY()-X344)," "))))))))</f>
        <v>0</v>
      </c>
      <c r="AT344" s="8">
        <v>45790</v>
      </c>
      <c r="AU344" s="8">
        <v>45798</v>
      </c>
      <c r="AV344" s="8">
        <v>45800</v>
      </c>
      <c r="AW344" s="8" t="s">
        <v>902</v>
      </c>
      <c r="AX344" s="8">
        <v>45803</v>
      </c>
      <c r="AY344" s="8" t="s">
        <v>903</v>
      </c>
      <c r="BC344" s="8">
        <v>45658</v>
      </c>
      <c r="BD344" s="2" t="str">
        <f t="shared" si="13"/>
        <v>Permanent Energized</v>
      </c>
      <c r="BE344" s="2">
        <v>282</v>
      </c>
      <c r="BG344" s="2" t="e">
        <v>#N/A</v>
      </c>
      <c r="BH344" s="2" t="e" vm="1">
        <v>#REF!</v>
      </c>
    </row>
    <row r="345" spans="1:60" hidden="1" x14ac:dyDescent="0.25">
      <c r="B345" s="2" t="s">
        <v>1705</v>
      </c>
      <c r="C345" s="2" t="s">
        <v>1706</v>
      </c>
      <c r="D345" s="44" t="s">
        <v>1707</v>
      </c>
      <c r="E345" s="2" t="s">
        <v>3</v>
      </c>
      <c r="F345" s="2">
        <v>0</v>
      </c>
      <c r="G345" s="2" t="s">
        <v>1</v>
      </c>
      <c r="H345" s="2" t="s">
        <v>120</v>
      </c>
      <c r="I345" s="2" t="s">
        <v>121</v>
      </c>
      <c r="J345" s="2" t="s">
        <v>141</v>
      </c>
      <c r="K345" s="2" t="s">
        <v>370</v>
      </c>
      <c r="L345" s="2" t="s">
        <v>1708</v>
      </c>
      <c r="M345" s="2">
        <v>0</v>
      </c>
      <c r="N345" s="2">
        <v>0</v>
      </c>
      <c r="O345" s="2">
        <v>0</v>
      </c>
      <c r="P345" s="2" t="s">
        <v>407</v>
      </c>
      <c r="Q345" s="2">
        <v>0</v>
      </c>
      <c r="R345" s="29" t="e">
        <f>IF(INDEX(#REF!,MATCH('data '!$B345,#REF!,0),MATCH('data '!R$3,#REF!,0))=0,"",INDEX(#REF!,MATCH('data '!$B345,#REF!,0),MATCH('data '!R$3,#REF!,0)))</f>
        <v>#REF!</v>
      </c>
      <c r="S345" s="29" t="e">
        <f>IF(INDEX(#REF!,MATCH('data '!$B345,#REF!,0),MATCH('data '!S$3,#REF!,0))=0,"",INDEX(#REF!,MATCH('data '!$B345,#REF!,0),MATCH('data '!S$3,#REF!,0)))</f>
        <v>#REF!</v>
      </c>
      <c r="T345" s="29" t="e">
        <f>IF(INDEX(#REF!,MATCH('data '!$B345,#REF!,0),MATCH('data '!T$3,#REF!,0))=0,"",INDEX(#REF!,MATCH('data '!$B345,#REF!,0),MATCH('data '!T$3,#REF!,0)))</f>
        <v>#REF!</v>
      </c>
      <c r="V345" s="25" t="s">
        <v>125</v>
      </c>
      <c r="W345" s="25">
        <v>0</v>
      </c>
      <c r="AC345" s="8" t="e">
        <f>VLOOKUP(B345,#REF!,19,0)</f>
        <v>#REF!</v>
      </c>
      <c r="AP345" s="8" t="str">
        <f t="shared" si="12"/>
        <v>Not yet endorsed</v>
      </c>
      <c r="AQ345" s="10" t="b" cm="1">
        <f t="array" aca="1" ref="AQ345" ca="1">IF(AM345&gt;0,(TODAY()-AM345),IF(AL345&gt;0,(TODAY()-AL345),IF(AK345&gt;0,(TODAY()-AK345,IF(AI345&gt;0,(TODAY()-AI345),IF(AG345&gt;0,(TODAY()-AG345),IF(AF345&gt;0,(TODAY()-AF345),IF(X345&gt;0,(TODAY()-X345)," "))))))))</f>
        <v>0</v>
      </c>
      <c r="BD345" s="2" t="str">
        <f t="shared" si="13"/>
        <v>Not yet endorsed</v>
      </c>
      <c r="BE345" s="2" t="s">
        <v>75</v>
      </c>
      <c r="BG345" s="2" t="e">
        <v>#N/A</v>
      </c>
      <c r="BH345" s="2" t="e" vm="1">
        <v>#REF!</v>
      </c>
    </row>
    <row r="346" spans="1:60" hidden="1" x14ac:dyDescent="0.25">
      <c r="B346" s="2" t="s">
        <v>1709</v>
      </c>
      <c r="C346" s="2" t="s">
        <v>1710</v>
      </c>
      <c r="D346" s="44" t="s">
        <v>1711</v>
      </c>
      <c r="E346" s="2" t="s">
        <v>3</v>
      </c>
      <c r="F346" s="2" t="s">
        <v>138</v>
      </c>
      <c r="G346" s="2" t="s">
        <v>1</v>
      </c>
      <c r="H346" s="2" t="s">
        <v>139</v>
      </c>
      <c r="I346" s="2" t="s">
        <v>140</v>
      </c>
      <c r="J346" s="2" t="s">
        <v>141</v>
      </c>
      <c r="K346" s="2" t="s">
        <v>142</v>
      </c>
      <c r="L346" s="2" t="s">
        <v>1640</v>
      </c>
      <c r="M346" s="2">
        <v>0</v>
      </c>
      <c r="N346" s="2">
        <v>16.975514</v>
      </c>
      <c r="O346" s="2">
        <v>120.739834</v>
      </c>
      <c r="P346" s="2" t="s">
        <v>87</v>
      </c>
      <c r="Q346" s="2" t="s">
        <v>227</v>
      </c>
      <c r="R346" s="29" t="e">
        <f>IF(INDEX(#REF!,MATCH('data '!$B346,#REF!,0),MATCH('data '!R$3,#REF!,0))=0,"",INDEX(#REF!,MATCH('data '!$B346,#REF!,0),MATCH('data '!R$3,#REF!,0)))</f>
        <v>#REF!</v>
      </c>
      <c r="S346" s="29" t="e">
        <f>IF(INDEX(#REF!,MATCH('data '!$B346,#REF!,0),MATCH('data '!S$3,#REF!,0))=0,"",INDEX(#REF!,MATCH('data '!$B346,#REF!,0),MATCH('data '!S$3,#REF!,0)))</f>
        <v>#REF!</v>
      </c>
      <c r="T346" s="29" t="e">
        <f>IF(INDEX(#REF!,MATCH('data '!$B346,#REF!,0),MATCH('data '!T$3,#REF!,0))=0,"",INDEX(#REF!,MATCH('data '!$B346,#REF!,0),MATCH('data '!T$3,#REF!,0)))</f>
        <v>#REF!</v>
      </c>
      <c r="V346" s="25" t="s">
        <v>160</v>
      </c>
      <c r="W346" s="25" t="s">
        <v>144</v>
      </c>
      <c r="X346" s="9" t="s">
        <v>25</v>
      </c>
      <c r="Y346" s="9">
        <v>45896</v>
      </c>
      <c r="AC346" s="8" t="e">
        <f>VLOOKUP(B346,#REF!,19,0)</f>
        <v>#REF!</v>
      </c>
      <c r="AE346" s="8" t="s">
        <v>145</v>
      </c>
      <c r="AF346" s="8">
        <v>45908</v>
      </c>
      <c r="AG346" s="8">
        <v>45908</v>
      </c>
      <c r="AH346" s="8" t="s">
        <v>398</v>
      </c>
      <c r="AI346" s="8">
        <v>45909</v>
      </c>
      <c r="AJ346" s="8" t="s">
        <v>399</v>
      </c>
      <c r="AK346" s="8">
        <v>45916</v>
      </c>
      <c r="AL346" s="8">
        <v>45930</v>
      </c>
      <c r="AM346" s="8">
        <v>45945</v>
      </c>
      <c r="AP346" s="8" t="str">
        <f t="shared" si="12"/>
        <v>Tempo Energized</v>
      </c>
      <c r="AR346" s="10" t="s">
        <v>669</v>
      </c>
      <c r="AS346" s="8" t="s">
        <v>1641</v>
      </c>
      <c r="AT346" s="8">
        <v>45940</v>
      </c>
      <c r="AU346" s="8">
        <v>45987</v>
      </c>
      <c r="AV346" s="8">
        <v>45987</v>
      </c>
      <c r="AW346" s="8" t="s">
        <v>1642</v>
      </c>
      <c r="AX346" s="8">
        <v>45988</v>
      </c>
      <c r="AY346" s="8" t="s">
        <v>1643</v>
      </c>
      <c r="BD346" s="2" t="str">
        <f t="shared" si="13"/>
        <v>PO Issued</v>
      </c>
      <c r="BE346" s="2">
        <v>32</v>
      </c>
      <c r="BF346" s="2" t="s">
        <v>1712</v>
      </c>
      <c r="BG346" s="2" t="e">
        <v>#N/A</v>
      </c>
      <c r="BH346" s="2" t="e" vm="1">
        <v>#REF!</v>
      </c>
    </row>
    <row r="347" spans="1:60" x14ac:dyDescent="0.25">
      <c r="A347" s="48"/>
      <c r="B347" s="7" t="s">
        <v>1713</v>
      </c>
      <c r="C347" s="49" t="s">
        <v>1714</v>
      </c>
      <c r="D347" s="44" t="s">
        <v>1715</v>
      </c>
      <c r="E347" s="2" t="s">
        <v>3</v>
      </c>
      <c r="F347" s="2" t="s">
        <v>223</v>
      </c>
      <c r="G347" s="2" t="s">
        <v>1</v>
      </c>
      <c r="H347" s="2" t="s">
        <v>139</v>
      </c>
      <c r="I347" s="2" t="s">
        <v>140</v>
      </c>
      <c r="J347" s="2" t="s">
        <v>224</v>
      </c>
      <c r="K347" s="2" t="s">
        <v>225</v>
      </c>
      <c r="L347" s="2" t="s">
        <v>1716</v>
      </c>
      <c r="M347" s="2">
        <v>0</v>
      </c>
      <c r="N347" s="2">
        <v>0</v>
      </c>
      <c r="O347" s="2">
        <v>0</v>
      </c>
      <c r="P347" s="2" t="s">
        <v>168</v>
      </c>
      <c r="Q347" s="2" t="s">
        <v>73</v>
      </c>
      <c r="R347" s="29" t="e">
        <f>IF(INDEX(#REF!,MATCH('data '!$B347,#REF!,0),MATCH('data '!R$3,#REF!,0))=0,"",INDEX(#REF!,MATCH('data '!$B347,#REF!,0),MATCH('data '!R$3,#REF!,0)))</f>
        <v>#REF!</v>
      </c>
      <c r="S347" s="29" t="e">
        <f>IF(INDEX(#REF!,MATCH('data '!$B347,#REF!,0),MATCH('data '!S$3,#REF!,0))=0,"",INDEX(#REF!,MATCH('data '!$B347,#REF!,0),MATCH('data '!S$3,#REF!,0)))</f>
        <v>#REF!</v>
      </c>
      <c r="T347" s="29" t="e">
        <f>IF(INDEX(#REF!,MATCH('data '!$B347,#REF!,0),MATCH('data '!T$3,#REF!,0))=0,"",INDEX(#REF!,MATCH('data '!$B347,#REF!,0),MATCH('data '!T$3,#REF!,0)))</f>
        <v>#REF!</v>
      </c>
      <c r="U347" s="8" t="s">
        <v>25</v>
      </c>
      <c r="V347" s="25" t="s">
        <v>87</v>
      </c>
      <c r="W347" s="25" t="s">
        <v>144</v>
      </c>
      <c r="X347" s="9" t="s">
        <v>25</v>
      </c>
      <c r="AC347" s="8" t="e">
        <f>VLOOKUP(B347,#REF!,19,0)</f>
        <v>#REF!</v>
      </c>
      <c r="AE347" s="8" t="s">
        <v>228</v>
      </c>
      <c r="AF347" s="21">
        <v>45938</v>
      </c>
      <c r="AG347" s="8">
        <v>45946</v>
      </c>
      <c r="AH347" s="8" t="s">
        <v>1649</v>
      </c>
      <c r="AI347" s="8">
        <v>45950</v>
      </c>
      <c r="AJ347" s="8" t="s">
        <v>1650</v>
      </c>
      <c r="AL347" s="8">
        <v>45933</v>
      </c>
      <c r="AO347" s="8" t="s">
        <v>561</v>
      </c>
      <c r="AP347" s="8" t="str">
        <f t="shared" si="12"/>
        <v>Tempo Permit Released</v>
      </c>
      <c r="AQ347" s="10" cm="1">
        <f t="array" aca="1" ref="AQ347" ca="1">IF(AM347&gt;0,(TODAY()-AM347),IF(AL347&gt;0,(TODAY()-AL347),IF(AK347&gt;0,(TODAY()-AK347,IF(AI347&gt;0,(TODAY()-AI347),IF(AG347&gt;0,(TODAY()-AG347),IF(AF347&gt;0,(TODAY()-AF347),IF(X347&gt;0,(TODAY()-X347)," "))))))))</f>
        <v>173</v>
      </c>
      <c r="AT347" s="11"/>
      <c r="AU347" s="11"/>
      <c r="AV347" s="11"/>
      <c r="AW347" s="11"/>
      <c r="AX347" s="11"/>
      <c r="AY347" s="11"/>
      <c r="BD347" s="2" t="str">
        <f t="shared" si="13"/>
        <v>Vendor Allocated</v>
      </c>
      <c r="BE347" s="2">
        <v>2</v>
      </c>
      <c r="BG347" s="2" t="s">
        <v>1717</v>
      </c>
      <c r="BH347" s="2" t="e" vm="1">
        <v>#REF!</v>
      </c>
    </row>
    <row r="348" spans="1:60" hidden="1" x14ac:dyDescent="0.25">
      <c r="B348" s="2" t="s">
        <v>1718</v>
      </c>
      <c r="C348" s="2" t="s">
        <v>1719</v>
      </c>
      <c r="D348" s="44" t="s">
        <v>1720</v>
      </c>
      <c r="E348" s="2" t="s">
        <v>5</v>
      </c>
      <c r="F348" s="2" t="s">
        <v>912</v>
      </c>
      <c r="G348" s="2" t="s">
        <v>1</v>
      </c>
      <c r="H348" s="2" t="s">
        <v>139</v>
      </c>
      <c r="I348" s="2" t="s">
        <v>140</v>
      </c>
      <c r="J348" s="2" t="s">
        <v>224</v>
      </c>
      <c r="K348" s="2" t="s">
        <v>913</v>
      </c>
      <c r="L348" s="2" t="s">
        <v>1721</v>
      </c>
      <c r="M348" s="2">
        <v>0</v>
      </c>
      <c r="N348" s="2">
        <v>0</v>
      </c>
      <c r="O348" s="2">
        <v>0</v>
      </c>
      <c r="P348" s="2" t="s">
        <v>125</v>
      </c>
      <c r="Q348" s="2" t="s">
        <v>73</v>
      </c>
      <c r="R348" s="29" t="e">
        <f>IF(INDEX(#REF!,MATCH('data '!$B348,#REF!,0),MATCH('data '!R$3,#REF!,0))=0,"",INDEX(#REF!,MATCH('data '!$B348,#REF!,0),MATCH('data '!R$3,#REF!,0)))</f>
        <v>#REF!</v>
      </c>
      <c r="S348" s="29" t="e">
        <f>IF(INDEX(#REF!,MATCH('data '!$B348,#REF!,0),MATCH('data '!S$3,#REF!,0))=0,"",INDEX(#REF!,MATCH('data '!$B348,#REF!,0),MATCH('data '!S$3,#REF!,0)))</f>
        <v>#REF!</v>
      </c>
      <c r="T348" s="29" t="e">
        <f>IF(INDEX(#REF!,MATCH('data '!$B348,#REF!,0),MATCH('data '!T$3,#REF!,0))=0,"",INDEX(#REF!,MATCH('data '!$B348,#REF!,0),MATCH('data '!T$3,#REF!,0)))</f>
        <v>#REF!</v>
      </c>
      <c r="U348" s="8" t="s">
        <v>25</v>
      </c>
      <c r="V348" s="25" t="s">
        <v>204</v>
      </c>
      <c r="W348" s="25">
        <v>0</v>
      </c>
      <c r="AC348" s="8" t="e">
        <f>VLOOKUP(B348,#REF!,19,0)</f>
        <v>#REF!</v>
      </c>
      <c r="AE348" s="8" t="s">
        <v>228</v>
      </c>
      <c r="AG348" s="8">
        <v>46021</v>
      </c>
      <c r="AH348" s="8" t="s">
        <v>1590</v>
      </c>
      <c r="AI348" s="8">
        <v>46028</v>
      </c>
      <c r="AJ348" s="8" t="s">
        <v>1591</v>
      </c>
      <c r="AP348" s="8" t="str">
        <f t="shared" si="12"/>
        <v>PO Issued</v>
      </c>
      <c r="AQ348" s="10" t="b" cm="1">
        <f t="array" aca="1" ref="AQ348" ca="1">IF(AM348&gt;0,(TODAY()-AM348),IF(AL348&gt;0,(TODAY()-AL348),IF(AK348&gt;0,(TODAY()-AK348,IF(AI348&gt;0,(TODAY()-AI348),IF(AG348&gt;0,(TODAY()-AG348),IF(AF348&gt;0,(TODAY()-AF348),IF(X348&gt;0,(TODAY()-X348)," "))))))))</f>
        <v>0</v>
      </c>
      <c r="BD348" s="2" t="str">
        <f t="shared" si="13"/>
        <v>TSSR Approved</v>
      </c>
      <c r="BE348" s="2" t="e">
        <v>#VALUE!</v>
      </c>
      <c r="BG348" s="2" t="e">
        <v>#N/A</v>
      </c>
      <c r="BH348" s="2" t="e" vm="1">
        <v>#REF!</v>
      </c>
    </row>
    <row r="349" spans="1:60" hidden="1" x14ac:dyDescent="0.25">
      <c r="B349" s="2" t="s">
        <v>1722</v>
      </c>
      <c r="C349" s="2" t="s">
        <v>1723</v>
      </c>
      <c r="D349" s="44" t="s">
        <v>1724</v>
      </c>
      <c r="E349" s="2" t="s">
        <v>5</v>
      </c>
      <c r="F349" s="2" t="s">
        <v>1613</v>
      </c>
      <c r="G349" s="2" t="s">
        <v>1</v>
      </c>
      <c r="H349" s="2" t="s">
        <v>120</v>
      </c>
      <c r="I349" s="2" t="s">
        <v>140</v>
      </c>
      <c r="J349" s="2" t="s">
        <v>141</v>
      </c>
      <c r="K349" s="2" t="s">
        <v>370</v>
      </c>
      <c r="L349" s="2" t="s">
        <v>1614</v>
      </c>
      <c r="M349" s="2">
        <v>0</v>
      </c>
      <c r="N349" s="2">
        <v>0</v>
      </c>
      <c r="O349" s="2">
        <v>0</v>
      </c>
      <c r="P349" s="2" t="s">
        <v>248</v>
      </c>
      <c r="Q349" s="2" t="s">
        <v>73</v>
      </c>
      <c r="R349" s="29" t="e">
        <f>IF(INDEX(#REF!,MATCH('data '!$B349,#REF!,0),MATCH('data '!R$3,#REF!,0))=0,"",INDEX(#REF!,MATCH('data '!$B349,#REF!,0),MATCH('data '!R$3,#REF!,0)))</f>
        <v>#REF!</v>
      </c>
      <c r="S349" s="29" t="e">
        <f>IF(INDEX(#REF!,MATCH('data '!$B349,#REF!,0),MATCH('data '!S$3,#REF!,0))=0,"",INDEX(#REF!,MATCH('data '!$B349,#REF!,0),MATCH('data '!S$3,#REF!,0)))</f>
        <v>#REF!</v>
      </c>
      <c r="T349" s="29" t="e">
        <f>IF(INDEX(#REF!,MATCH('data '!$B349,#REF!,0),MATCH('data '!T$3,#REF!,0))=0,"",INDEX(#REF!,MATCH('data '!$B349,#REF!,0),MATCH('data '!T$3,#REF!,0)))</f>
        <v>#REF!</v>
      </c>
      <c r="V349" s="25" t="s">
        <v>1725</v>
      </c>
      <c r="W349" s="25">
        <v>0</v>
      </c>
      <c r="AC349" s="8" t="e">
        <f>VLOOKUP(B349,#REF!,19,0)</f>
        <v>#REF!</v>
      </c>
      <c r="AE349" s="8" t="s">
        <v>389</v>
      </c>
      <c r="AP349" s="8" t="str">
        <f t="shared" si="12"/>
        <v>Not yet endorsed</v>
      </c>
      <c r="AQ349" s="10" t="b" cm="1">
        <f t="array" aca="1" ref="AQ349" ca="1">IF(AM349&gt;0,(TODAY()-AM349),IF(AL349&gt;0,(TODAY()-AL349),IF(AK349&gt;0,(TODAY()-AK349,IF(AI349&gt;0,(TODAY()-AI349),IF(AG349&gt;0,(TODAY()-AG349),IF(AF349&gt;0,(TODAY()-AF349),IF(X349&gt;0,(TODAY()-X349)," "))))))))</f>
        <v>0</v>
      </c>
      <c r="BD349" s="2" t="str">
        <f t="shared" si="13"/>
        <v>Not yet endorsed</v>
      </c>
      <c r="BE349" s="2" t="s">
        <v>75</v>
      </c>
      <c r="BG349" s="2" t="e">
        <v>#N/A</v>
      </c>
      <c r="BH349" s="2" t="e" vm="1">
        <v>#REF!</v>
      </c>
    </row>
    <row r="350" spans="1:60" hidden="1" x14ac:dyDescent="0.25">
      <c r="B350" s="2" t="s">
        <v>1726</v>
      </c>
      <c r="C350" s="2" t="s">
        <v>1727</v>
      </c>
      <c r="D350" s="44" t="s">
        <v>1728</v>
      </c>
      <c r="E350" s="2" t="s">
        <v>3</v>
      </c>
      <c r="F350" s="2">
        <v>0</v>
      </c>
      <c r="G350" s="2" t="s">
        <v>1</v>
      </c>
      <c r="H350" s="2" t="s">
        <v>120</v>
      </c>
      <c r="I350" s="2" t="s">
        <v>121</v>
      </c>
      <c r="J350" s="2" t="s">
        <v>209</v>
      </c>
      <c r="K350" s="2" t="s">
        <v>566</v>
      </c>
      <c r="L350" s="2" t="s">
        <v>1729</v>
      </c>
      <c r="M350" s="2">
        <v>0</v>
      </c>
      <c r="N350" s="2">
        <v>0</v>
      </c>
      <c r="O350" s="2">
        <v>0</v>
      </c>
      <c r="P350" s="2" t="s">
        <v>1157</v>
      </c>
      <c r="Q350" s="2">
        <v>0</v>
      </c>
      <c r="R350" s="29" t="e">
        <f>IF(INDEX(#REF!,MATCH('data '!$B350,#REF!,0),MATCH('data '!R$3,#REF!,0))=0,"",INDEX(#REF!,MATCH('data '!$B350,#REF!,0),MATCH('data '!R$3,#REF!,0)))</f>
        <v>#REF!</v>
      </c>
      <c r="S350" s="29" t="e">
        <f>IF(INDEX(#REF!,MATCH('data '!$B350,#REF!,0),MATCH('data '!S$3,#REF!,0))=0,"",INDEX(#REF!,MATCH('data '!$B350,#REF!,0),MATCH('data '!S$3,#REF!,0)))</f>
        <v>#REF!</v>
      </c>
      <c r="T350" s="29" t="e">
        <f>IF(INDEX(#REF!,MATCH('data '!$B350,#REF!,0),MATCH('data '!T$3,#REF!,0))=0,"",INDEX(#REF!,MATCH('data '!$B350,#REF!,0),MATCH('data '!T$3,#REF!,0)))</f>
        <v>#REF!</v>
      </c>
      <c r="V350" s="25" t="s">
        <v>204</v>
      </c>
      <c r="W350" s="25">
        <v>0</v>
      </c>
      <c r="AC350" s="8" t="e">
        <f>VLOOKUP(B350,#REF!,19,0)</f>
        <v>#REF!</v>
      </c>
      <c r="AP350" s="8" t="str">
        <f t="shared" si="12"/>
        <v>Not yet endorsed</v>
      </c>
      <c r="AQ350" s="10" t="b" cm="1">
        <f t="array" aca="1" ref="AQ350" ca="1">IF(AM350&gt;0,(TODAY()-AM350),IF(AL350&gt;0,(TODAY()-AL350),IF(AK350&gt;0,(TODAY()-AK350,IF(AI350&gt;0,(TODAY()-AI350),IF(AG350&gt;0,(TODAY()-AG350),IF(AF350&gt;0,(TODAY()-AF350),IF(X350&gt;0,(TODAY()-X350)," "))))))))</f>
        <v>0</v>
      </c>
      <c r="BD350" s="2" t="str">
        <f t="shared" si="13"/>
        <v>Not yet endorsed</v>
      </c>
      <c r="BE350" s="2" t="s">
        <v>75</v>
      </c>
      <c r="BG350" s="2" t="e">
        <v>#N/A</v>
      </c>
      <c r="BH350" s="2" t="e" vm="1">
        <v>#REF!</v>
      </c>
    </row>
    <row r="351" spans="1:60" hidden="1" x14ac:dyDescent="0.25">
      <c r="B351" s="2" t="s">
        <v>1730</v>
      </c>
      <c r="C351" s="2" t="s">
        <v>1731</v>
      </c>
      <c r="D351" s="44" t="s">
        <v>1732</v>
      </c>
      <c r="E351" s="2" t="s">
        <v>3</v>
      </c>
      <c r="F351" s="2" t="s">
        <v>797</v>
      </c>
      <c r="G351" s="2" t="s">
        <v>1</v>
      </c>
      <c r="H351" s="2" t="s">
        <v>139</v>
      </c>
      <c r="I351" s="2" t="s">
        <v>140</v>
      </c>
      <c r="J351" s="2" t="s">
        <v>209</v>
      </c>
      <c r="K351" s="2" t="s">
        <v>1733</v>
      </c>
      <c r="L351" s="2" t="s">
        <v>1734</v>
      </c>
      <c r="M351" s="2">
        <v>0</v>
      </c>
      <c r="N351" s="2">
        <v>17.590792</v>
      </c>
      <c r="O351" s="2">
        <v>120.737619</v>
      </c>
      <c r="P351" s="2" t="s">
        <v>87</v>
      </c>
      <c r="Q351" s="2" t="s">
        <v>198</v>
      </c>
      <c r="R351" s="29" t="e">
        <f>IF(INDEX(#REF!,MATCH('data '!$B351,#REF!,0),MATCH('data '!R$3,#REF!,0))=0,"",INDEX(#REF!,MATCH('data '!$B351,#REF!,0),MATCH('data '!R$3,#REF!,0)))</f>
        <v>#REF!</v>
      </c>
      <c r="S351" s="29" t="e">
        <f>IF(INDEX(#REF!,MATCH('data '!$B351,#REF!,0),MATCH('data '!S$3,#REF!,0))=0,"",INDEX(#REF!,MATCH('data '!$B351,#REF!,0),MATCH('data '!S$3,#REF!,0)))</f>
        <v>#REF!</v>
      </c>
      <c r="T351" s="29" t="e">
        <f>IF(INDEX(#REF!,MATCH('data '!$B351,#REF!,0),MATCH('data '!T$3,#REF!,0))=0,"",INDEX(#REF!,MATCH('data '!$B351,#REF!,0),MATCH('data '!T$3,#REF!,0)))</f>
        <v>#REF!</v>
      </c>
      <c r="V351" s="25" t="s">
        <v>266</v>
      </c>
      <c r="W351" s="25" t="s">
        <v>144</v>
      </c>
      <c r="X351" s="9" t="s">
        <v>25</v>
      </c>
      <c r="Y351" s="9">
        <v>45804</v>
      </c>
      <c r="AC351" s="8" t="e">
        <f>VLOOKUP(B351,#REF!,19,0)</f>
        <v>#REF!</v>
      </c>
      <c r="AE351" s="8" t="s">
        <v>145</v>
      </c>
      <c r="AF351" s="8">
        <v>45908</v>
      </c>
      <c r="AG351" s="8">
        <v>45908</v>
      </c>
      <c r="AH351" s="8" t="s">
        <v>398</v>
      </c>
      <c r="AI351" s="8">
        <v>45909</v>
      </c>
      <c r="AJ351" s="8" t="s">
        <v>399</v>
      </c>
      <c r="AK351" s="8">
        <v>45916</v>
      </c>
      <c r="AL351" s="8">
        <v>45923</v>
      </c>
      <c r="AM351" s="8">
        <v>45953</v>
      </c>
      <c r="AP351" s="8" t="str">
        <f t="shared" si="12"/>
        <v>Tempo Energized</v>
      </c>
      <c r="AS351" s="8" t="s">
        <v>1735</v>
      </c>
      <c r="AT351" s="8">
        <v>45979</v>
      </c>
      <c r="AU351" s="8">
        <v>46001</v>
      </c>
      <c r="AV351" s="8">
        <v>46001</v>
      </c>
      <c r="AW351" s="8" t="s">
        <v>800</v>
      </c>
      <c r="AX351" s="8">
        <v>46003</v>
      </c>
      <c r="AY351" s="8" t="s">
        <v>801</v>
      </c>
      <c r="BD351" s="2" t="str">
        <f t="shared" si="13"/>
        <v>PO Issued</v>
      </c>
      <c r="BE351" s="2">
        <v>28</v>
      </c>
      <c r="BF351" s="2" t="s">
        <v>1152</v>
      </c>
      <c r="BG351" s="2" t="e">
        <v>#N/A</v>
      </c>
      <c r="BH351" s="2" t="e" vm="1">
        <v>#REF!</v>
      </c>
    </row>
    <row r="352" spans="1:60" hidden="1" x14ac:dyDescent="0.25">
      <c r="B352" s="16" t="s">
        <v>1736</v>
      </c>
      <c r="C352" s="17" t="s">
        <v>1737</v>
      </c>
      <c r="D352" s="44" t="s">
        <v>1738</v>
      </c>
      <c r="E352" s="2" t="s">
        <v>5</v>
      </c>
      <c r="F352" s="2" t="s">
        <v>1647</v>
      </c>
      <c r="G352" s="2" t="s">
        <v>1</v>
      </c>
      <c r="H352" s="2" t="s">
        <v>139</v>
      </c>
      <c r="I352" s="2" t="s">
        <v>140</v>
      </c>
      <c r="J352" s="2" t="s">
        <v>224</v>
      </c>
      <c r="K352" s="2" t="s">
        <v>225</v>
      </c>
      <c r="L352" s="2" t="s">
        <v>1648</v>
      </c>
      <c r="M352" s="2">
        <v>0</v>
      </c>
      <c r="N352" s="2">
        <v>17.580013999999998</v>
      </c>
      <c r="O352" s="2">
        <v>121.59770899999999</v>
      </c>
      <c r="P352" s="2" t="s">
        <v>87</v>
      </c>
      <c r="Q352" s="2" t="s">
        <v>227</v>
      </c>
      <c r="R352" s="29" t="e">
        <f>IF(INDEX(#REF!,MATCH('data '!$B352,#REF!,0),MATCH('data '!R$3,#REF!,0))=0,"",INDEX(#REF!,MATCH('data '!$B352,#REF!,0),MATCH('data '!R$3,#REF!,0)))</f>
        <v>#REF!</v>
      </c>
      <c r="S352" s="29" t="e">
        <f>IF(INDEX(#REF!,MATCH('data '!$B352,#REF!,0),MATCH('data '!S$3,#REF!,0))=0,"",INDEX(#REF!,MATCH('data '!$B352,#REF!,0),MATCH('data '!S$3,#REF!,0)))</f>
        <v>#REF!</v>
      </c>
      <c r="T352" s="29" t="e">
        <f>IF(INDEX(#REF!,MATCH('data '!$B352,#REF!,0),MATCH('data '!T$3,#REF!,0))=0,"",INDEX(#REF!,MATCH('data '!$B352,#REF!,0),MATCH('data '!T$3,#REF!,0)))</f>
        <v>#REF!</v>
      </c>
      <c r="V352" s="25" t="s">
        <v>160</v>
      </c>
      <c r="W352" s="25" t="s">
        <v>144</v>
      </c>
      <c r="X352" s="9" t="s">
        <v>25</v>
      </c>
      <c r="Y352" s="9">
        <v>45842</v>
      </c>
      <c r="Z352" s="8">
        <v>45696</v>
      </c>
      <c r="AC352" s="8" t="e">
        <f>VLOOKUP(B352,#REF!,19,0)</f>
        <v>#REF!</v>
      </c>
      <c r="AE352" s="8" t="s">
        <v>228</v>
      </c>
      <c r="AF352" s="8">
        <v>45908</v>
      </c>
      <c r="AG352" s="8">
        <v>45908</v>
      </c>
      <c r="AH352" s="8" t="s">
        <v>1739</v>
      </c>
      <c r="AI352" s="8">
        <v>45909</v>
      </c>
      <c r="AJ352" s="8" t="s">
        <v>1740</v>
      </c>
      <c r="AK352" s="8">
        <v>45916</v>
      </c>
      <c r="AL352" s="8">
        <v>45915</v>
      </c>
      <c r="AM352" s="8">
        <v>45943</v>
      </c>
      <c r="AP352" s="8" t="str">
        <f t="shared" ref="AP352:AP383" si="14">IF(AM352&gt;0,"Tempo Energized",IF(AL352&gt;0,"Tempo Permit Released",IF(AK352&gt;0,"COOP Surveyed",IF(AI352&gt;0,"PO Issued",IF(AG352&gt;0,"PQ Raised",IF(AF352&gt;0,"Vendor Allocated",IF(X352&gt;0,"BP Secured","Not yet endorsed")))))))</f>
        <v>Tempo Energized</v>
      </c>
      <c r="AS352" s="8" t="s">
        <v>1741</v>
      </c>
      <c r="AT352" s="8">
        <v>45904</v>
      </c>
      <c r="AU352" s="8">
        <v>45945</v>
      </c>
      <c r="AV352" s="8">
        <v>45945</v>
      </c>
      <c r="AW352" s="8" t="s">
        <v>232</v>
      </c>
      <c r="AX352" s="8">
        <v>45958</v>
      </c>
      <c r="AY352" s="8" t="s">
        <v>233</v>
      </c>
      <c r="AZ352" s="8">
        <v>45929</v>
      </c>
      <c r="BA352" s="8">
        <v>45932</v>
      </c>
      <c r="BD352" s="2" t="str">
        <f t="shared" ref="BD352:BD383" si="15">IF(BC352&gt;0,"Permanent Energized",IF(BB352&gt;0,"Bill deposit Paid",IF(BA352&gt;0,"Line Construction Completed",IF(AZ352&gt;0,"Line Construction Started",IF(AX352&gt;0,"PO Issued",IF(AV352&gt;0,"PQ Raised",IF(AU352&gt;0,"BoQ Approved",IF(AT352&gt;0,"BoQ Submitted",IF(AF352&gt;0,"Vendor Allocated",IF(X352&gt;0,"BP Secured",IF(U352&gt;0,"TSSR Approved","Not yet endorsed")))))))))))</f>
        <v>Line Construction Completed</v>
      </c>
      <c r="BE352" s="2">
        <v>8</v>
      </c>
      <c r="BF352" s="2" t="s">
        <v>1742</v>
      </c>
      <c r="BG352" s="2" t="e">
        <v>#N/A</v>
      </c>
      <c r="BH352" s="2" t="e" vm="1">
        <v>#REF!</v>
      </c>
    </row>
    <row r="353" spans="2:60" hidden="1" x14ac:dyDescent="0.25">
      <c r="B353" s="2" t="s">
        <v>1743</v>
      </c>
      <c r="C353" s="2" t="s">
        <v>1744</v>
      </c>
      <c r="D353" s="44" t="s">
        <v>1745</v>
      </c>
      <c r="E353" s="2" t="s">
        <v>3</v>
      </c>
      <c r="F353" s="2" t="s">
        <v>279</v>
      </c>
      <c r="G353" s="2" t="s">
        <v>1</v>
      </c>
      <c r="H353" s="2" t="s">
        <v>139</v>
      </c>
      <c r="I353" s="2" t="s">
        <v>140</v>
      </c>
      <c r="J353" s="2" t="s">
        <v>141</v>
      </c>
      <c r="K353" s="2" t="s">
        <v>280</v>
      </c>
      <c r="L353" s="2" t="s">
        <v>1623</v>
      </c>
      <c r="M353" s="2">
        <v>0</v>
      </c>
      <c r="N353" s="2">
        <v>0</v>
      </c>
      <c r="O353" s="2">
        <v>0</v>
      </c>
      <c r="P353" s="2" t="s">
        <v>789</v>
      </c>
      <c r="Q353" s="2" t="s">
        <v>73</v>
      </c>
      <c r="R353" s="29" t="e">
        <f>IF(INDEX(#REF!,MATCH('data '!$B353,#REF!,0),MATCH('data '!R$3,#REF!,0))=0,"",INDEX(#REF!,MATCH('data '!$B353,#REF!,0),MATCH('data '!R$3,#REF!,0)))</f>
        <v>#REF!</v>
      </c>
      <c r="S353" s="29" t="e">
        <f>IF(INDEX(#REF!,MATCH('data '!$B353,#REF!,0),MATCH('data '!S$3,#REF!,0))=0,"",INDEX(#REF!,MATCH('data '!$B353,#REF!,0),MATCH('data '!S$3,#REF!,0)))</f>
        <v>#REF!</v>
      </c>
      <c r="T353" s="29" t="e">
        <f>IF(INDEX(#REF!,MATCH('data '!$B353,#REF!,0),MATCH('data '!T$3,#REF!,0))=0,"",INDEX(#REF!,MATCH('data '!$B353,#REF!,0),MATCH('data '!T$3,#REF!,0)))</f>
        <v>#REF!</v>
      </c>
      <c r="V353" s="25" t="s">
        <v>204</v>
      </c>
      <c r="W353" s="25">
        <v>0</v>
      </c>
      <c r="AC353" s="8" t="e">
        <f>VLOOKUP(B353,#REF!,19,0)</f>
        <v>#REF!</v>
      </c>
      <c r="AP353" s="8" t="str">
        <f t="shared" si="14"/>
        <v>Not yet endorsed</v>
      </c>
      <c r="AQ353" s="10" t="b" cm="1">
        <f t="array" aca="1" ref="AQ353" ca="1">IF(AM353&gt;0,(TODAY()-AM353),IF(AL353&gt;0,(TODAY()-AL353),IF(AK353&gt;0,(TODAY()-AK353,IF(AI353&gt;0,(TODAY()-AI353),IF(AG353&gt;0,(TODAY()-AG353),IF(AF353&gt;0,(TODAY()-AF353),IF(X353&gt;0,(TODAY()-X353)," "))))))))</f>
        <v>0</v>
      </c>
      <c r="BD353" s="2" t="str">
        <f t="shared" si="15"/>
        <v>Not yet endorsed</v>
      </c>
      <c r="BE353" s="2" t="s">
        <v>75</v>
      </c>
      <c r="BG353" s="2" t="e">
        <v>#N/A</v>
      </c>
      <c r="BH353" s="2" t="e" vm="1">
        <v>#REF!</v>
      </c>
    </row>
    <row r="354" spans="2:60" hidden="1" x14ac:dyDescent="0.25">
      <c r="B354" s="2" t="s">
        <v>1746</v>
      </c>
      <c r="C354" s="2" t="s">
        <v>1747</v>
      </c>
      <c r="D354" s="44" t="s">
        <v>1748</v>
      </c>
      <c r="E354" s="2" t="s">
        <v>3</v>
      </c>
      <c r="F354" s="2" t="s">
        <v>279</v>
      </c>
      <c r="G354" s="2" t="s">
        <v>1</v>
      </c>
      <c r="H354" s="2" t="s">
        <v>139</v>
      </c>
      <c r="I354" s="2" t="s">
        <v>140</v>
      </c>
      <c r="J354" s="2" t="s">
        <v>141</v>
      </c>
      <c r="K354" s="2" t="s">
        <v>280</v>
      </c>
      <c r="L354" s="2" t="s">
        <v>1749</v>
      </c>
      <c r="M354" s="2">
        <v>0</v>
      </c>
      <c r="N354" s="2">
        <v>18.141200000000001</v>
      </c>
      <c r="O354" s="2">
        <v>120.7199</v>
      </c>
      <c r="P354" s="2" t="s">
        <v>87</v>
      </c>
      <c r="Q354" s="2" t="s">
        <v>227</v>
      </c>
      <c r="R354" s="29" t="e">
        <f>IF(INDEX(#REF!,MATCH('data '!$B354,#REF!,0),MATCH('data '!R$3,#REF!,0))=0,"",INDEX(#REF!,MATCH('data '!$B354,#REF!,0),MATCH('data '!R$3,#REF!,0)))</f>
        <v>#REF!</v>
      </c>
      <c r="S354" s="29" t="e">
        <f>IF(INDEX(#REF!,MATCH('data '!$B354,#REF!,0),MATCH('data '!S$3,#REF!,0))=0,"",INDEX(#REF!,MATCH('data '!$B354,#REF!,0),MATCH('data '!S$3,#REF!,0)))</f>
        <v>#REF!</v>
      </c>
      <c r="T354" s="29" t="e">
        <f>IF(INDEX(#REF!,MATCH('data '!$B354,#REF!,0),MATCH('data '!T$3,#REF!,0))=0,"",INDEX(#REF!,MATCH('data '!$B354,#REF!,0),MATCH('data '!T$3,#REF!,0)))</f>
        <v>#REF!</v>
      </c>
      <c r="U354" s="8" t="s">
        <v>25</v>
      </c>
      <c r="V354" s="25" t="s">
        <v>383</v>
      </c>
      <c r="W354" s="25" t="s">
        <v>144</v>
      </c>
      <c r="X354" s="9" t="s">
        <v>25</v>
      </c>
      <c r="Y354" s="9">
        <v>45843</v>
      </c>
      <c r="AC354" s="8" t="e">
        <f>VLOOKUP(B354,#REF!,19,0)</f>
        <v>#REF!</v>
      </c>
      <c r="AE354" s="8" t="s">
        <v>145</v>
      </c>
      <c r="AF354" s="8">
        <v>45908</v>
      </c>
      <c r="AG354" s="8">
        <v>45908</v>
      </c>
      <c r="AH354" s="8" t="s">
        <v>398</v>
      </c>
      <c r="AI354" s="8">
        <v>45909</v>
      </c>
      <c r="AJ354" s="8" t="s">
        <v>399</v>
      </c>
      <c r="AK354" s="8">
        <v>45916</v>
      </c>
      <c r="AL354" s="8">
        <v>45915</v>
      </c>
      <c r="AM354" s="8">
        <v>45901</v>
      </c>
      <c r="AP354" s="8" t="str">
        <f t="shared" si="14"/>
        <v>Tempo Energized</v>
      </c>
      <c r="AT354" s="8">
        <v>45907</v>
      </c>
      <c r="AU354" s="8">
        <v>45960</v>
      </c>
      <c r="AV354" s="8">
        <v>45960</v>
      </c>
      <c r="AW354" s="8" t="s">
        <v>1750</v>
      </c>
      <c r="AX354" s="8">
        <v>45961</v>
      </c>
      <c r="AY354" s="8" t="s">
        <v>1751</v>
      </c>
      <c r="BD354" s="2" t="str">
        <f t="shared" si="15"/>
        <v>PO Issued</v>
      </c>
      <c r="BE354" s="2">
        <v>33</v>
      </c>
      <c r="BF354" s="2" t="s">
        <v>1626</v>
      </c>
      <c r="BG354" s="2" t="e">
        <v>#N/A</v>
      </c>
      <c r="BH354" s="2" t="e" vm="1">
        <v>#REF!</v>
      </c>
    </row>
    <row r="355" spans="2:60" x14ac:dyDescent="0.25">
      <c r="B355" s="18" t="s">
        <v>1752</v>
      </c>
      <c r="C355" s="18" t="s">
        <v>1753</v>
      </c>
      <c r="D355" s="44" t="s">
        <v>1754</v>
      </c>
      <c r="E355" s="2" t="s">
        <v>3</v>
      </c>
      <c r="F355" s="2" t="s">
        <v>223</v>
      </c>
      <c r="G355" s="2" t="s">
        <v>1</v>
      </c>
      <c r="H355" s="2" t="s">
        <v>139</v>
      </c>
      <c r="I355" s="2" t="s">
        <v>140</v>
      </c>
      <c r="J355" s="2" t="s">
        <v>224</v>
      </c>
      <c r="K355" s="2" t="s">
        <v>225</v>
      </c>
      <c r="L355" s="2" t="s">
        <v>1755</v>
      </c>
      <c r="M355" s="2" t="s">
        <v>639</v>
      </c>
      <c r="N355" s="2">
        <v>18.286739000000001</v>
      </c>
      <c r="O355" s="2">
        <v>121.585385</v>
      </c>
      <c r="P355" s="2" t="s">
        <v>87</v>
      </c>
      <c r="Q355" s="2" t="s">
        <v>265</v>
      </c>
      <c r="R355" s="29" t="e">
        <f>IF(INDEX(#REF!,MATCH('data '!$B355,#REF!,0),MATCH('data '!R$3,#REF!,0))=0,"",INDEX(#REF!,MATCH('data '!$B355,#REF!,0),MATCH('data '!R$3,#REF!,0)))</f>
        <v>#REF!</v>
      </c>
      <c r="S355" s="29" t="e">
        <f>IF(INDEX(#REF!,MATCH('data '!$B355,#REF!,0),MATCH('data '!S$3,#REF!,0))=0,"",INDEX(#REF!,MATCH('data '!$B355,#REF!,0),MATCH('data '!S$3,#REF!,0)))</f>
        <v>#REF!</v>
      </c>
      <c r="T355" s="29" t="e">
        <f>IF(INDEX(#REF!,MATCH('data '!$B355,#REF!,0),MATCH('data '!T$3,#REF!,0))=0,"",INDEX(#REF!,MATCH('data '!$B355,#REF!,0),MATCH('data '!T$3,#REF!,0)))</f>
        <v>#REF!</v>
      </c>
      <c r="U355" s="8" t="s">
        <v>25</v>
      </c>
      <c r="V355" s="25" t="s">
        <v>266</v>
      </c>
      <c r="W355" s="25" t="s">
        <v>144</v>
      </c>
      <c r="X355" s="9" t="s">
        <v>25</v>
      </c>
      <c r="Y355" s="9">
        <v>45786</v>
      </c>
      <c r="Z355" s="8">
        <v>45783</v>
      </c>
      <c r="AA355" s="8">
        <v>45846</v>
      </c>
      <c r="AC355" s="8" t="e">
        <f>VLOOKUP(B355,#REF!,19,0)</f>
        <v>#REF!</v>
      </c>
      <c r="AE355" s="8" t="s">
        <v>228</v>
      </c>
      <c r="AF355" s="8">
        <v>45908</v>
      </c>
      <c r="AG355" s="8">
        <v>45946</v>
      </c>
      <c r="AH355" s="8" t="s">
        <v>1649</v>
      </c>
      <c r="AI355" s="8">
        <v>45950</v>
      </c>
      <c r="AJ355" s="8" t="s">
        <v>1650</v>
      </c>
      <c r="AP355" s="8" t="str">
        <f t="shared" si="14"/>
        <v>PO Issued</v>
      </c>
      <c r="AQ355" s="10" t="b" cm="1">
        <f t="array" aca="1" ref="AQ355" ca="1">IF(AM355&gt;0,(TODAY()-AM355),IF(AL355&gt;0,(TODAY()-AL355),IF(AK355&gt;0,(TODAY()-AK355,IF(AI355&gt;0,(TODAY()-AI355),IF(AG355&gt;0,(TODAY()-AG355),IF(AF355&gt;0,(TODAY()-AF355),IF(X355&gt;0,(TODAY()-X355)," "))))))))</f>
        <v>0</v>
      </c>
      <c r="AS355" s="8" t="s">
        <v>1756</v>
      </c>
      <c r="AT355" s="8">
        <v>45957</v>
      </c>
      <c r="AU355" s="8">
        <v>45967</v>
      </c>
      <c r="AV355" s="8">
        <v>45967</v>
      </c>
      <c r="AW355" s="8" t="s">
        <v>1757</v>
      </c>
      <c r="AX355" s="8">
        <v>45971</v>
      </c>
      <c r="AY355" s="8" t="s">
        <v>1758</v>
      </c>
      <c r="BD355" s="2" t="str">
        <f t="shared" si="15"/>
        <v>PO Issued</v>
      </c>
      <c r="BE355" s="2">
        <v>25</v>
      </c>
      <c r="BG355" s="2" t="e">
        <v>#N/A</v>
      </c>
      <c r="BH355" s="2" t="e" vm="1">
        <v>#REF!</v>
      </c>
    </row>
    <row r="356" spans="2:60" hidden="1" x14ac:dyDescent="0.25">
      <c r="B356" s="2" t="s">
        <v>1759</v>
      </c>
      <c r="C356" s="2" t="s">
        <v>1760</v>
      </c>
      <c r="D356" s="44" t="s">
        <v>1761</v>
      </c>
      <c r="E356" s="2" t="s">
        <v>3</v>
      </c>
      <c r="F356" s="2" t="s">
        <v>797</v>
      </c>
      <c r="G356" s="2" t="s">
        <v>1</v>
      </c>
      <c r="H356" s="2" t="s">
        <v>139</v>
      </c>
      <c r="I356" s="2" t="s">
        <v>140</v>
      </c>
      <c r="J356" s="2" t="s">
        <v>209</v>
      </c>
      <c r="K356" s="2" t="s">
        <v>1733</v>
      </c>
      <c r="L356" s="2" t="s">
        <v>1762</v>
      </c>
      <c r="M356" s="2">
        <v>0</v>
      </c>
      <c r="N356" s="2">
        <v>17.558990999999999</v>
      </c>
      <c r="O356" s="2">
        <v>120.6088996</v>
      </c>
      <c r="P356" s="2" t="s">
        <v>87</v>
      </c>
      <c r="Q356" s="2" t="s">
        <v>198</v>
      </c>
      <c r="R356" s="29" t="e">
        <f>IF(INDEX(#REF!,MATCH('data '!$B356,#REF!,0),MATCH('data '!R$3,#REF!,0))=0,"",INDEX(#REF!,MATCH('data '!$B356,#REF!,0),MATCH('data '!R$3,#REF!,0)))</f>
        <v>#REF!</v>
      </c>
      <c r="S356" s="29" t="e">
        <f>IF(INDEX(#REF!,MATCH('data '!$B356,#REF!,0),MATCH('data '!S$3,#REF!,0))=0,"",INDEX(#REF!,MATCH('data '!$B356,#REF!,0),MATCH('data '!S$3,#REF!,0)))</f>
        <v>#REF!</v>
      </c>
      <c r="T356" s="29" t="e">
        <f>IF(INDEX(#REF!,MATCH('data '!$B356,#REF!,0),MATCH('data '!T$3,#REF!,0))=0,"",INDEX(#REF!,MATCH('data '!$B356,#REF!,0),MATCH('data '!T$3,#REF!,0)))</f>
        <v>#REF!</v>
      </c>
      <c r="U356" s="8" t="s">
        <v>25</v>
      </c>
      <c r="V356" s="25" t="s">
        <v>185</v>
      </c>
      <c r="W356" s="25" t="s">
        <v>144</v>
      </c>
      <c r="X356" s="43" t="s">
        <v>25</v>
      </c>
      <c r="Y356" s="43">
        <v>45894</v>
      </c>
      <c r="Z356" s="8">
        <v>45817</v>
      </c>
      <c r="AC356" s="8" t="e">
        <f>VLOOKUP(B356,#REF!,19,0)</f>
        <v>#REF!</v>
      </c>
      <c r="AE356" s="8" t="s">
        <v>145</v>
      </c>
      <c r="AF356" s="8">
        <v>45908</v>
      </c>
      <c r="AG356" s="8">
        <v>45908</v>
      </c>
      <c r="AH356" s="8" t="s">
        <v>398</v>
      </c>
      <c r="AI356" s="8">
        <v>45909</v>
      </c>
      <c r="AJ356" s="8" t="s">
        <v>399</v>
      </c>
      <c r="AK356" s="8">
        <v>45916</v>
      </c>
      <c r="AO356" s="8" t="s">
        <v>25</v>
      </c>
      <c r="AP356" s="8" t="str">
        <f t="shared" si="14"/>
        <v>COOP Surveyed</v>
      </c>
      <c r="AT356" s="8">
        <v>45979</v>
      </c>
      <c r="AU356" s="8">
        <v>46001</v>
      </c>
      <c r="AV356" s="8">
        <v>46001</v>
      </c>
      <c r="AW356" s="8" t="s">
        <v>800</v>
      </c>
      <c r="AX356" s="8">
        <v>46003</v>
      </c>
      <c r="AY356" s="8" t="s">
        <v>801</v>
      </c>
      <c r="BD356" s="2" t="str">
        <f t="shared" si="15"/>
        <v>PO Issued</v>
      </c>
      <c r="BE356" s="2">
        <v>32</v>
      </c>
      <c r="BG356" s="2" t="e">
        <v>#N/A</v>
      </c>
      <c r="BH356" s="2" t="e" vm="1">
        <v>#REF!</v>
      </c>
    </row>
    <row r="357" spans="2:60" hidden="1" x14ac:dyDescent="0.25">
      <c r="B357" s="2" t="s">
        <v>1763</v>
      </c>
      <c r="C357" s="2" t="s">
        <v>1764</v>
      </c>
      <c r="D357" s="44" t="s">
        <v>1765</v>
      </c>
      <c r="E357" s="2" t="s">
        <v>3</v>
      </c>
      <c r="F357" s="2" t="s">
        <v>797</v>
      </c>
      <c r="G357" s="2" t="s">
        <v>1</v>
      </c>
      <c r="H357" s="2" t="s">
        <v>139</v>
      </c>
      <c r="I357" s="2" t="s">
        <v>140</v>
      </c>
      <c r="J357" s="2" t="s">
        <v>209</v>
      </c>
      <c r="K357" s="2" t="s">
        <v>1733</v>
      </c>
      <c r="L357" s="2" t="s">
        <v>1766</v>
      </c>
      <c r="M357" s="2">
        <v>0</v>
      </c>
      <c r="N357" s="2">
        <v>17.567900000000002</v>
      </c>
      <c r="O357" s="2">
        <v>120.7467</v>
      </c>
      <c r="P357" s="2" t="s">
        <v>87</v>
      </c>
      <c r="Q357" s="2" t="s">
        <v>73</v>
      </c>
      <c r="R357" s="29" t="e">
        <f>IF(INDEX(#REF!,MATCH('data '!$B357,#REF!,0),MATCH('data '!R$3,#REF!,0))=0,"",INDEX(#REF!,MATCH('data '!$B357,#REF!,0),MATCH('data '!R$3,#REF!,0)))</f>
        <v>#REF!</v>
      </c>
      <c r="S357" s="29" t="e">
        <f>IF(INDEX(#REF!,MATCH('data '!$B357,#REF!,0),MATCH('data '!S$3,#REF!,0))=0,"",INDEX(#REF!,MATCH('data '!$B357,#REF!,0),MATCH('data '!S$3,#REF!,0)))</f>
        <v>#REF!</v>
      </c>
      <c r="T357" s="29" t="e">
        <f>IF(INDEX(#REF!,MATCH('data '!$B357,#REF!,0),MATCH('data '!T$3,#REF!,0))=0,"",INDEX(#REF!,MATCH('data '!$B357,#REF!,0),MATCH('data '!T$3,#REF!,0)))</f>
        <v>#REF!</v>
      </c>
      <c r="V357" s="25" t="s">
        <v>82</v>
      </c>
      <c r="W357" s="25" t="s">
        <v>83</v>
      </c>
      <c r="AC357" s="8" t="e">
        <f>VLOOKUP(B357,#REF!,19,0)</f>
        <v>#REF!</v>
      </c>
      <c r="AE357" s="8" t="s">
        <v>145</v>
      </c>
      <c r="AF357" s="8">
        <v>45908</v>
      </c>
      <c r="AG357" s="8">
        <v>45908</v>
      </c>
      <c r="AH357" s="8" t="s">
        <v>398</v>
      </c>
      <c r="AI357" s="8">
        <v>45909</v>
      </c>
      <c r="AJ357" s="8" t="s">
        <v>399</v>
      </c>
      <c r="AK357" s="8">
        <v>45916</v>
      </c>
      <c r="AL357" s="8">
        <v>45987</v>
      </c>
      <c r="AM357" s="8">
        <v>46001</v>
      </c>
      <c r="AO357" s="8" t="s">
        <v>25</v>
      </c>
      <c r="AP357" s="8" t="str">
        <f t="shared" si="14"/>
        <v>Tempo Energized</v>
      </c>
      <c r="AT357" s="8">
        <v>45979</v>
      </c>
      <c r="AU357" s="8">
        <v>46001</v>
      </c>
      <c r="AV357" s="8">
        <v>46001</v>
      </c>
      <c r="AW357" s="8" t="s">
        <v>800</v>
      </c>
      <c r="AX357" s="8">
        <v>46003</v>
      </c>
      <c r="AY357" s="8" t="s">
        <v>801</v>
      </c>
      <c r="BD357" s="2" t="str">
        <f t="shared" si="15"/>
        <v>PO Issued</v>
      </c>
      <c r="BE357" s="2">
        <v>32</v>
      </c>
      <c r="BG357" s="2" t="e">
        <v>#N/A</v>
      </c>
      <c r="BH357" s="2" t="e" vm="1">
        <v>#REF!</v>
      </c>
    </row>
    <row r="358" spans="2:60" x14ac:dyDescent="0.25">
      <c r="B358" s="19" t="s">
        <v>1767</v>
      </c>
      <c r="C358" s="2" t="s">
        <v>1768</v>
      </c>
      <c r="D358" s="44" t="s">
        <v>1769</v>
      </c>
      <c r="E358" s="2" t="s">
        <v>3</v>
      </c>
      <c r="F358" s="2" t="s">
        <v>223</v>
      </c>
      <c r="G358" s="2" t="s">
        <v>1</v>
      </c>
      <c r="H358" s="2" t="s">
        <v>139</v>
      </c>
      <c r="I358" s="2" t="s">
        <v>140</v>
      </c>
      <c r="J358" s="2" t="s">
        <v>224</v>
      </c>
      <c r="K358" s="2" t="s">
        <v>225</v>
      </c>
      <c r="L358" s="2" t="s">
        <v>226</v>
      </c>
      <c r="M358" s="2">
        <v>0</v>
      </c>
      <c r="N358" s="2">
        <v>18.042400000000001</v>
      </c>
      <c r="O358" s="2">
        <v>121.6733</v>
      </c>
      <c r="P358" s="2" t="s">
        <v>87</v>
      </c>
      <c r="Q358" s="2" t="s">
        <v>314</v>
      </c>
      <c r="R358" s="29" t="e">
        <f>IF(INDEX(#REF!,MATCH('data '!$B358,#REF!,0),MATCH('data '!R$3,#REF!,0))=0,"",INDEX(#REF!,MATCH('data '!$B358,#REF!,0),MATCH('data '!R$3,#REF!,0)))</f>
        <v>#REF!</v>
      </c>
      <c r="S358" s="29" t="e">
        <f>IF(INDEX(#REF!,MATCH('data '!$B358,#REF!,0),MATCH('data '!S$3,#REF!,0))=0,"",INDEX(#REF!,MATCH('data '!$B358,#REF!,0),MATCH('data '!S$3,#REF!,0)))</f>
        <v>#REF!</v>
      </c>
      <c r="T358" s="29" t="e">
        <f>IF(INDEX(#REF!,MATCH('data '!$B358,#REF!,0),MATCH('data '!T$3,#REF!,0))=0,"",INDEX(#REF!,MATCH('data '!$B358,#REF!,0),MATCH('data '!T$3,#REF!,0)))</f>
        <v>#REF!</v>
      </c>
      <c r="U358" s="8" t="s">
        <v>25</v>
      </c>
      <c r="V358" s="25" t="s">
        <v>88</v>
      </c>
      <c r="W358" s="25" t="s">
        <v>89</v>
      </c>
      <c r="AC358" s="8" t="e">
        <f>VLOOKUP(B358,#REF!,19,0)</f>
        <v>#REF!</v>
      </c>
      <c r="AE358" s="8" t="s">
        <v>228</v>
      </c>
      <c r="AF358" s="8">
        <v>45908</v>
      </c>
      <c r="AG358" s="8">
        <v>45908</v>
      </c>
      <c r="AH358" s="8" t="s">
        <v>1739</v>
      </c>
      <c r="AI358" s="8">
        <v>45909</v>
      </c>
      <c r="AJ358" s="8" t="s">
        <v>1740</v>
      </c>
      <c r="AK358" s="8">
        <v>45916</v>
      </c>
      <c r="AL358" s="8">
        <v>45915</v>
      </c>
      <c r="AM358" s="11"/>
      <c r="AP358" s="8" t="str">
        <f t="shared" si="14"/>
        <v>Tempo Permit Released</v>
      </c>
      <c r="AS358" s="8" t="s">
        <v>1741</v>
      </c>
      <c r="AT358" s="8">
        <v>45931</v>
      </c>
      <c r="AU358" s="8">
        <v>45945</v>
      </c>
      <c r="AV358" s="8">
        <v>45945</v>
      </c>
      <c r="AW358" s="8" t="s">
        <v>232</v>
      </c>
      <c r="AX358" s="8">
        <v>45958</v>
      </c>
      <c r="AY358" s="8" t="s">
        <v>233</v>
      </c>
      <c r="BD358" s="2" t="str">
        <f t="shared" si="15"/>
        <v>PO Issued</v>
      </c>
      <c r="BE358" s="2">
        <v>9</v>
      </c>
      <c r="BF358" s="2" t="s">
        <v>234</v>
      </c>
      <c r="BG358" s="2" t="e">
        <v>#N/A</v>
      </c>
      <c r="BH358" s="2" t="e" vm="1">
        <v>#REF!</v>
      </c>
    </row>
    <row r="359" spans="2:60" hidden="1" x14ac:dyDescent="0.25">
      <c r="B359" s="2" t="s">
        <v>1770</v>
      </c>
      <c r="C359" s="2" t="s">
        <v>1771</v>
      </c>
      <c r="D359" s="44" t="s">
        <v>1772</v>
      </c>
      <c r="E359" s="2" t="s">
        <v>3</v>
      </c>
      <c r="F359" s="2" t="s">
        <v>138</v>
      </c>
      <c r="G359" s="2" t="s">
        <v>1</v>
      </c>
      <c r="H359" s="2" t="s">
        <v>139</v>
      </c>
      <c r="I359" s="2" t="s">
        <v>140</v>
      </c>
      <c r="J359" s="2" t="s">
        <v>141</v>
      </c>
      <c r="K359" s="2" t="s">
        <v>142</v>
      </c>
      <c r="L359" s="2" t="s">
        <v>1703</v>
      </c>
      <c r="M359" s="2">
        <v>0</v>
      </c>
      <c r="N359" s="2">
        <v>17.117000000000001</v>
      </c>
      <c r="O359" s="2">
        <v>120.53060000000001</v>
      </c>
      <c r="P359" s="2" t="s">
        <v>87</v>
      </c>
      <c r="Q359" s="2" t="s">
        <v>265</v>
      </c>
      <c r="R359" s="29" t="e">
        <f>IF(INDEX(#REF!,MATCH('data '!$B359,#REF!,0),MATCH('data '!R$3,#REF!,0))=0,"",INDEX(#REF!,MATCH('data '!$B359,#REF!,0),MATCH('data '!R$3,#REF!,0)))</f>
        <v>#REF!</v>
      </c>
      <c r="S359" s="29" t="e">
        <f>IF(INDEX(#REF!,MATCH('data '!$B359,#REF!,0),MATCH('data '!S$3,#REF!,0))=0,"",INDEX(#REF!,MATCH('data '!$B359,#REF!,0),MATCH('data '!S$3,#REF!,0)))</f>
        <v>#REF!</v>
      </c>
      <c r="T359" s="29" t="e">
        <f>IF(INDEX(#REF!,MATCH('data '!$B359,#REF!,0),MATCH('data '!T$3,#REF!,0))=0,"",INDEX(#REF!,MATCH('data '!$B359,#REF!,0),MATCH('data '!T$3,#REF!,0)))</f>
        <v>#REF!</v>
      </c>
      <c r="U359" s="8" t="s">
        <v>25</v>
      </c>
      <c r="V359" s="25" t="s">
        <v>266</v>
      </c>
      <c r="W359" s="25" t="s">
        <v>144</v>
      </c>
      <c r="X359" s="9" t="s">
        <v>25</v>
      </c>
      <c r="Y359" s="9">
        <v>45761</v>
      </c>
      <c r="AA359" s="8" t="s">
        <v>1669</v>
      </c>
      <c r="AC359" s="8" t="e">
        <f>VLOOKUP(B359,#REF!,19,0)</f>
        <v>#REF!</v>
      </c>
      <c r="AE359" s="8" t="s">
        <v>540</v>
      </c>
      <c r="AF359" s="8">
        <v>45915</v>
      </c>
      <c r="AG359" s="8">
        <v>45952</v>
      </c>
      <c r="AH359" s="8" t="s">
        <v>815</v>
      </c>
      <c r="AI359" s="8">
        <v>45958</v>
      </c>
      <c r="AJ359" s="8" t="s">
        <v>816</v>
      </c>
      <c r="AM359" s="8">
        <v>45944</v>
      </c>
      <c r="AP359" s="8" t="str">
        <f t="shared" si="14"/>
        <v>Tempo Energized</v>
      </c>
      <c r="AQ359" s="10" cm="1">
        <f t="array" aca="1" ref="AQ359" ca="1">IF(AM359&gt;0,(TODAY()-AM359),IF(AL359&gt;0,(TODAY()-AL359),IF(AK359&gt;0,(TODAY()-AK359,IF(AI359&gt;0,(TODAY()-AI359),IF(AG359&gt;0,(TODAY()-AG359),IF(AF359&gt;0,(TODAY()-AF359),IF(X359&gt;0,(TODAY()-X359)," "))))))))</f>
        <v>162</v>
      </c>
      <c r="AT359" s="8">
        <v>45915</v>
      </c>
      <c r="AU359" s="8">
        <v>45925</v>
      </c>
      <c r="AV359" s="8">
        <v>45930</v>
      </c>
      <c r="AW359" s="8" t="s">
        <v>807</v>
      </c>
      <c r="AX359" s="8">
        <v>45933</v>
      </c>
      <c r="AY359" s="8" t="s">
        <v>808</v>
      </c>
      <c r="BD359" s="2" t="str">
        <f t="shared" si="15"/>
        <v>PO Issued</v>
      </c>
      <c r="BE359" s="2">
        <v>7</v>
      </c>
      <c r="BG359" s="2" t="e">
        <v>#N/A</v>
      </c>
      <c r="BH359" s="2" t="e" vm="1">
        <v>#REF!</v>
      </c>
    </row>
    <row r="360" spans="2:60" hidden="1" x14ac:dyDescent="0.25">
      <c r="B360" s="2" t="s">
        <v>1773</v>
      </c>
      <c r="C360" s="2" t="s">
        <v>1774</v>
      </c>
      <c r="D360" s="44" t="s">
        <v>1775</v>
      </c>
      <c r="E360" s="2" t="s">
        <v>3</v>
      </c>
      <c r="F360" s="2" t="s">
        <v>138</v>
      </c>
      <c r="G360" s="2" t="s">
        <v>1</v>
      </c>
      <c r="H360" s="2" t="s">
        <v>139</v>
      </c>
      <c r="I360" s="2" t="s">
        <v>140</v>
      </c>
      <c r="J360" s="2" t="s">
        <v>141</v>
      </c>
      <c r="K360" s="2" t="s">
        <v>142</v>
      </c>
      <c r="L360" s="2" t="s">
        <v>406</v>
      </c>
      <c r="M360" s="2">
        <v>0</v>
      </c>
      <c r="N360" s="2">
        <v>0</v>
      </c>
      <c r="O360" s="2">
        <v>0</v>
      </c>
      <c r="P360" s="2" t="s">
        <v>407</v>
      </c>
      <c r="Q360" s="2" t="s">
        <v>73</v>
      </c>
      <c r="R360" s="29" t="e">
        <f>IF(INDEX(#REF!,MATCH('data '!$B360,#REF!,0),MATCH('data '!R$3,#REF!,0))=0,"",INDEX(#REF!,MATCH('data '!$B360,#REF!,0),MATCH('data '!R$3,#REF!,0)))</f>
        <v>#REF!</v>
      </c>
      <c r="S360" s="29" t="e">
        <f>IF(INDEX(#REF!,MATCH('data '!$B360,#REF!,0),MATCH('data '!S$3,#REF!,0))=0,"",INDEX(#REF!,MATCH('data '!$B360,#REF!,0),MATCH('data '!S$3,#REF!,0)))</f>
        <v>#REF!</v>
      </c>
      <c r="T360" s="29" t="e">
        <f>IF(INDEX(#REF!,MATCH('data '!$B360,#REF!,0),MATCH('data '!T$3,#REF!,0))=0,"",INDEX(#REF!,MATCH('data '!$B360,#REF!,0),MATCH('data '!T$3,#REF!,0)))</f>
        <v>#REF!</v>
      </c>
      <c r="V360" s="25" t="s">
        <v>74</v>
      </c>
      <c r="W360" s="25">
        <v>0</v>
      </c>
      <c r="AC360" s="8" t="e">
        <f>VLOOKUP(B360,#REF!,19,0)</f>
        <v>#REF!</v>
      </c>
      <c r="AE360" s="8" t="s">
        <v>145</v>
      </c>
      <c r="AF360" s="21">
        <v>45938</v>
      </c>
      <c r="AP360" s="8" t="str">
        <f t="shared" si="14"/>
        <v>Vendor Allocated</v>
      </c>
      <c r="AQ360" s="10" t="b" cm="1">
        <f t="array" aca="1" ref="AQ360" ca="1">IF(AM360&gt;0,(TODAY()-AM360),IF(AL360&gt;0,(TODAY()-AL360),IF(AK360&gt;0,(TODAY()-AK360,IF(AI360&gt;0,(TODAY()-AI360),IF(AG360&gt;0,(TODAY()-AG360),IF(AF360&gt;0,(TODAY()-AF360),IF(X360&gt;0,(TODAY()-X360)," "))))))))</f>
        <v>0</v>
      </c>
      <c r="BD360" s="2" t="str">
        <f t="shared" si="15"/>
        <v>Vendor Allocated</v>
      </c>
      <c r="BE360" s="2">
        <v>2</v>
      </c>
      <c r="BG360" s="2" t="s">
        <v>149</v>
      </c>
      <c r="BH360" s="2" t="e" vm="1">
        <v>#REF!</v>
      </c>
    </row>
    <row r="361" spans="2:60" hidden="1" x14ac:dyDescent="0.25">
      <c r="B361" s="2" t="s">
        <v>1776</v>
      </c>
      <c r="C361" s="2" t="s">
        <v>1777</v>
      </c>
      <c r="D361" s="44" t="s">
        <v>1778</v>
      </c>
      <c r="E361" s="2" t="s">
        <v>5</v>
      </c>
      <c r="F361" s="2" t="s">
        <v>1779</v>
      </c>
      <c r="G361" s="2" t="s">
        <v>1</v>
      </c>
      <c r="H361" s="2" t="s">
        <v>139</v>
      </c>
      <c r="I361" s="2" t="s">
        <v>140</v>
      </c>
      <c r="J361" s="2" t="s">
        <v>224</v>
      </c>
      <c r="K361" s="2" t="s">
        <v>1780</v>
      </c>
      <c r="L361" s="2" t="s">
        <v>1781</v>
      </c>
      <c r="M361" s="2">
        <v>0</v>
      </c>
      <c r="N361" s="2">
        <v>16.541011000000001</v>
      </c>
      <c r="O361" s="2">
        <v>121.599808</v>
      </c>
      <c r="P361" s="2" t="s">
        <v>87</v>
      </c>
      <c r="Q361" s="2" t="s">
        <v>265</v>
      </c>
      <c r="R361" s="29" t="e">
        <f>IF(INDEX(#REF!,MATCH('data '!$B361,#REF!,0),MATCH('data '!R$3,#REF!,0))=0,"",INDEX(#REF!,MATCH('data '!$B361,#REF!,0),MATCH('data '!R$3,#REF!,0)))</f>
        <v>#REF!</v>
      </c>
      <c r="S361" s="29" t="e">
        <f>IF(INDEX(#REF!,MATCH('data '!$B361,#REF!,0),MATCH('data '!S$3,#REF!,0))=0,"",INDEX(#REF!,MATCH('data '!$B361,#REF!,0),MATCH('data '!S$3,#REF!,0)))</f>
        <v>#REF!</v>
      </c>
      <c r="T361" s="29" t="e">
        <f>IF(INDEX(#REF!,MATCH('data '!$B361,#REF!,0),MATCH('data '!T$3,#REF!,0))=0,"",INDEX(#REF!,MATCH('data '!$B361,#REF!,0),MATCH('data '!T$3,#REF!,0)))</f>
        <v>#REF!</v>
      </c>
      <c r="V361" s="25" t="s">
        <v>266</v>
      </c>
      <c r="W361" s="25" t="s">
        <v>144</v>
      </c>
      <c r="X361" s="9" t="s">
        <v>25</v>
      </c>
      <c r="Y361" s="9">
        <v>45838</v>
      </c>
      <c r="AB361" s="8">
        <v>45996</v>
      </c>
      <c r="AC361" s="8" t="e">
        <f>VLOOKUP(B361,#REF!,19,0)</f>
        <v>#REF!</v>
      </c>
      <c r="AE361" s="8" t="s">
        <v>212</v>
      </c>
      <c r="AF361" s="8">
        <v>45874</v>
      </c>
      <c r="AG361" s="59">
        <v>45979</v>
      </c>
      <c r="AH361" s="59" t="s">
        <v>1782</v>
      </c>
      <c r="AI361" s="59">
        <v>45979</v>
      </c>
      <c r="AJ361" s="59" t="s">
        <v>1783</v>
      </c>
      <c r="AK361" s="8">
        <v>45940</v>
      </c>
      <c r="AL361" s="8">
        <v>45986</v>
      </c>
      <c r="AM361" s="8">
        <v>45968</v>
      </c>
      <c r="AP361" s="8" t="str">
        <f t="shared" si="14"/>
        <v>Tempo Energized</v>
      </c>
      <c r="AQ361" s="10" cm="1">
        <f t="array" aca="1" ref="AQ361" ca="1">IF(AM361&gt;0,(TODAY()-AM361),IF(AL361&gt;0,(TODAY()-AL361),IF(AK361&gt;0,(TODAY()-AK361,IF(AI361&gt;0,(TODAY()-AI361),IF(AG361&gt;0,(TODAY()-AG361),IF(AF361&gt;0,(TODAY()-AF361),IF(X361&gt;0,(TODAY()-X361)," "))))))))</f>
        <v>138</v>
      </c>
      <c r="AS361" s="8" t="s">
        <v>1784</v>
      </c>
      <c r="AT361" s="8">
        <v>45923</v>
      </c>
      <c r="AU361" s="8">
        <v>45933</v>
      </c>
      <c r="AV361" s="8">
        <v>45939</v>
      </c>
      <c r="AW361" s="8" t="s">
        <v>1785</v>
      </c>
      <c r="AX361" s="8">
        <v>45943</v>
      </c>
      <c r="AY361" s="8" t="s">
        <v>1786</v>
      </c>
      <c r="BD361" s="2" t="str">
        <f t="shared" si="15"/>
        <v>PO Issued</v>
      </c>
      <c r="BE361" s="2">
        <v>1</v>
      </c>
      <c r="BF361" s="2" t="s">
        <v>1787</v>
      </c>
      <c r="BG361" s="2" t="e">
        <v>#N/A</v>
      </c>
      <c r="BH361" s="2" t="e" vm="1">
        <v>#REF!</v>
      </c>
    </row>
    <row r="362" spans="2:60" hidden="1" x14ac:dyDescent="0.25">
      <c r="B362" s="2" t="s">
        <v>1788</v>
      </c>
      <c r="C362" s="2" t="s">
        <v>1789</v>
      </c>
      <c r="D362" s="44" t="s">
        <v>1790</v>
      </c>
      <c r="E362" s="2" t="s">
        <v>5</v>
      </c>
      <c r="F362" s="2" t="s">
        <v>1779</v>
      </c>
      <c r="G362" s="2" t="s">
        <v>1</v>
      </c>
      <c r="H362" s="2" t="s">
        <v>139</v>
      </c>
      <c r="I362" s="2" t="s">
        <v>140</v>
      </c>
      <c r="J362" s="2" t="s">
        <v>224</v>
      </c>
      <c r="K362" s="2" t="s">
        <v>1780</v>
      </c>
      <c r="L362" s="2" t="s">
        <v>1791</v>
      </c>
      <c r="M362" s="2">
        <v>0</v>
      </c>
      <c r="N362" s="2">
        <v>16.467241999999999</v>
      </c>
      <c r="O362" s="2">
        <v>121.611672</v>
      </c>
      <c r="P362" s="2" t="s">
        <v>87</v>
      </c>
      <c r="Q362" s="2" t="s">
        <v>265</v>
      </c>
      <c r="R362" s="29" t="e">
        <f>IF(INDEX(#REF!,MATCH('data '!$B362,#REF!,0),MATCH('data '!R$3,#REF!,0))=0,"",INDEX(#REF!,MATCH('data '!$B362,#REF!,0),MATCH('data '!R$3,#REF!,0)))</f>
        <v>#REF!</v>
      </c>
      <c r="S362" s="29" t="e">
        <f>IF(INDEX(#REF!,MATCH('data '!$B362,#REF!,0),MATCH('data '!S$3,#REF!,0))=0,"",INDEX(#REF!,MATCH('data '!$B362,#REF!,0),MATCH('data '!S$3,#REF!,0)))</f>
        <v>#REF!</v>
      </c>
      <c r="T362" s="29" t="e">
        <f>IF(INDEX(#REF!,MATCH('data '!$B362,#REF!,0),MATCH('data '!T$3,#REF!,0))=0,"",INDEX(#REF!,MATCH('data '!$B362,#REF!,0),MATCH('data '!T$3,#REF!,0)))</f>
        <v>#REF!</v>
      </c>
      <c r="V362" s="25" t="s">
        <v>266</v>
      </c>
      <c r="W362" s="25" t="s">
        <v>144</v>
      </c>
      <c r="X362" s="9" t="s">
        <v>25</v>
      </c>
      <c r="Y362" s="9">
        <v>45806</v>
      </c>
      <c r="AB362" s="8">
        <v>45953</v>
      </c>
      <c r="AC362" s="8" t="e">
        <f>VLOOKUP(B362,#REF!,19,0)</f>
        <v>#REF!</v>
      </c>
      <c r="AE362" s="8" t="s">
        <v>212</v>
      </c>
      <c r="AF362" s="8">
        <v>45908</v>
      </c>
      <c r="AG362" s="8">
        <v>45965</v>
      </c>
      <c r="AH362" s="8" t="s">
        <v>1792</v>
      </c>
      <c r="AI362" s="8">
        <v>45966</v>
      </c>
      <c r="AJ362" s="8" t="s">
        <v>1793</v>
      </c>
      <c r="AK362" s="8">
        <v>45927</v>
      </c>
      <c r="AL362" s="8">
        <v>45957</v>
      </c>
      <c r="AM362" s="8">
        <v>45960</v>
      </c>
      <c r="AP362" s="8" t="str">
        <f t="shared" si="14"/>
        <v>Tempo Energized</v>
      </c>
      <c r="AQ362" s="10" cm="1">
        <f t="array" aca="1" ref="AQ362" ca="1">IF(AM362&gt;0,(TODAY()-AM362),IF(AL362&gt;0,(TODAY()-AL362),IF(AK362&gt;0,(TODAY()-AK362,IF(AI362&gt;0,(TODAY()-AI362),IF(AG362&gt;0,(TODAY()-AG362),IF(AF362&gt;0,(TODAY()-AF362),IF(X362&gt;0,(TODAY()-X362)," "))))))))</f>
        <v>146</v>
      </c>
      <c r="AS362" s="8" t="s">
        <v>1794</v>
      </c>
      <c r="AT362" s="8">
        <v>45915</v>
      </c>
      <c r="AU362" s="8">
        <v>45923</v>
      </c>
      <c r="AV362" s="8">
        <v>45927</v>
      </c>
      <c r="AW362" s="8" t="s">
        <v>1795</v>
      </c>
      <c r="AX362" s="8">
        <v>45930</v>
      </c>
      <c r="AY362" s="8" t="s">
        <v>1796</v>
      </c>
      <c r="AZ362" s="8">
        <v>45960</v>
      </c>
      <c r="BD362" s="2" t="str">
        <f t="shared" si="15"/>
        <v>Line Construction Started</v>
      </c>
      <c r="BE362" s="2">
        <v>10</v>
      </c>
      <c r="BF362" s="2" t="s">
        <v>1797</v>
      </c>
      <c r="BG362" s="2" t="e">
        <v>#N/A</v>
      </c>
      <c r="BH362" s="2" t="e" vm="1">
        <v>#REF!</v>
      </c>
    </row>
    <row r="363" spans="2:60" ht="105" hidden="1" x14ac:dyDescent="0.25">
      <c r="B363" s="26" t="s">
        <v>1798</v>
      </c>
      <c r="C363" s="2" t="s">
        <v>1799</v>
      </c>
      <c r="D363" s="52" t="s">
        <v>1800</v>
      </c>
      <c r="E363" s="2" t="s">
        <v>5</v>
      </c>
      <c r="F363" s="58" t="s">
        <v>912</v>
      </c>
      <c r="G363" s="2" t="s">
        <v>1</v>
      </c>
      <c r="H363" s="2" t="s">
        <v>139</v>
      </c>
      <c r="I363" s="2" t="s">
        <v>140</v>
      </c>
      <c r="J363" s="2" t="s">
        <v>224</v>
      </c>
      <c r="K363" s="2" t="s">
        <v>913</v>
      </c>
      <c r="L363" s="2" t="s">
        <v>1801</v>
      </c>
      <c r="M363" s="2">
        <v>0</v>
      </c>
      <c r="N363" s="2">
        <v>16.868693</v>
      </c>
      <c r="O363" s="2">
        <v>121.973502</v>
      </c>
      <c r="P363" s="2" t="s">
        <v>87</v>
      </c>
      <c r="Q363" s="2" t="s">
        <v>265</v>
      </c>
      <c r="R363" s="29" t="e">
        <f>IF(INDEX(#REF!,MATCH('data '!$B363,#REF!,0),MATCH('data '!R$3,#REF!,0))=0,"",INDEX(#REF!,MATCH('data '!$B363,#REF!,0),MATCH('data '!R$3,#REF!,0)))</f>
        <v>#REF!</v>
      </c>
      <c r="S363" s="29" t="e">
        <f>IF(INDEX(#REF!,MATCH('data '!$B363,#REF!,0),MATCH('data '!S$3,#REF!,0))=0,"",INDEX(#REF!,MATCH('data '!$B363,#REF!,0),MATCH('data '!S$3,#REF!,0)))</f>
        <v>#REF!</v>
      </c>
      <c r="T363" s="29" t="e">
        <f>IF(INDEX(#REF!,MATCH('data '!$B363,#REF!,0),MATCH('data '!T$3,#REF!,0))=0,"",INDEX(#REF!,MATCH('data '!$B363,#REF!,0),MATCH('data '!T$3,#REF!,0)))</f>
        <v>#REF!</v>
      </c>
      <c r="U363" s="8" t="s">
        <v>25</v>
      </c>
      <c r="V363" s="25" t="s">
        <v>266</v>
      </c>
      <c r="W363" s="25" t="s">
        <v>144</v>
      </c>
      <c r="X363" s="9" t="s">
        <v>25</v>
      </c>
      <c r="Y363" s="9">
        <v>45792</v>
      </c>
      <c r="Z363" s="8">
        <v>45783</v>
      </c>
      <c r="AA363" s="8">
        <v>45877</v>
      </c>
      <c r="AC363" s="8" t="e">
        <f>VLOOKUP(B363,#REF!,19,0)</f>
        <v>#REF!</v>
      </c>
      <c r="AE363" s="8" t="s">
        <v>438</v>
      </c>
      <c r="AF363" s="8">
        <v>45901</v>
      </c>
      <c r="AG363" s="8">
        <v>45943</v>
      </c>
      <c r="AH363" s="8" t="s">
        <v>915</v>
      </c>
      <c r="AI363" s="8">
        <v>45945</v>
      </c>
      <c r="AJ363" s="8" t="s">
        <v>916</v>
      </c>
      <c r="AK363" s="8">
        <v>45933</v>
      </c>
      <c r="AL363" s="8">
        <v>45945</v>
      </c>
      <c r="AM363" s="8">
        <v>46072</v>
      </c>
      <c r="AP363" s="8" t="str">
        <f t="shared" si="14"/>
        <v>Tempo Energized</v>
      </c>
      <c r="AQ363" s="10" cm="1">
        <f t="array" aca="1" ref="AQ363" ca="1">IF(AM363&gt;0,(TODAY()-AM363),IF(AL363&gt;0,(TODAY()-AL363),IF(AK363&gt;0,(TODAY()-AK363,IF(AI363&gt;0,(TODAY()-AI363),IF(AG363&gt;0,(TODAY()-AG363),IF(AF363&gt;0,(TODAY()-AF363),IF(X363&gt;0,(TODAY()-X363)," "))))))))</f>
        <v>34</v>
      </c>
      <c r="AR363" s="10" t="s">
        <v>917</v>
      </c>
      <c r="AS363" s="50" t="s">
        <v>1802</v>
      </c>
      <c r="AT363" s="8">
        <v>45908</v>
      </c>
      <c r="AU363" s="8">
        <v>45919</v>
      </c>
      <c r="AV363" s="8">
        <v>45926</v>
      </c>
      <c r="AW363" s="20" t="s">
        <v>1803</v>
      </c>
      <c r="AX363" s="8">
        <v>45929</v>
      </c>
      <c r="AY363" s="20" t="s">
        <v>1804</v>
      </c>
      <c r="AZ363" s="8">
        <v>45938</v>
      </c>
      <c r="BA363" s="8">
        <v>45943</v>
      </c>
      <c r="BD363" s="2" t="str">
        <f t="shared" si="15"/>
        <v>Line Construction Completed</v>
      </c>
      <c r="BE363" s="2">
        <v>11</v>
      </c>
      <c r="BF363" s="2" t="s">
        <v>1805</v>
      </c>
      <c r="BG363" s="2" t="e">
        <v>#N/A</v>
      </c>
      <c r="BH363" s="2" t="e" vm="1">
        <v>#REF!</v>
      </c>
    </row>
    <row r="364" spans="2:60" hidden="1" x14ac:dyDescent="0.25">
      <c r="B364" s="2" t="s">
        <v>1806</v>
      </c>
      <c r="C364" s="2" t="s">
        <v>1807</v>
      </c>
      <c r="D364" s="44" t="s">
        <v>1808</v>
      </c>
      <c r="E364" s="2" t="s">
        <v>3</v>
      </c>
      <c r="F364" s="2" t="s">
        <v>279</v>
      </c>
      <c r="G364" s="2" t="s">
        <v>1</v>
      </c>
      <c r="H364" s="2" t="s">
        <v>139</v>
      </c>
      <c r="I364" s="2" t="s">
        <v>140</v>
      </c>
      <c r="J364" s="2" t="s">
        <v>141</v>
      </c>
      <c r="K364" s="2" t="s">
        <v>280</v>
      </c>
      <c r="L364" s="2" t="s">
        <v>1809</v>
      </c>
      <c r="M364" s="2">
        <v>0</v>
      </c>
      <c r="N364" s="2">
        <v>0</v>
      </c>
      <c r="O364" s="2">
        <v>0</v>
      </c>
      <c r="P364" s="2" t="s">
        <v>125</v>
      </c>
      <c r="Q364" s="2" t="s">
        <v>73</v>
      </c>
      <c r="R364" s="29" t="e">
        <f>IF(INDEX(#REF!,MATCH('data '!$B364,#REF!,0),MATCH('data '!R$3,#REF!,0))=0,"",INDEX(#REF!,MATCH('data '!$B364,#REF!,0),MATCH('data '!R$3,#REF!,0)))</f>
        <v>#REF!</v>
      </c>
      <c r="S364" s="29" t="e">
        <f>IF(INDEX(#REF!,MATCH('data '!$B364,#REF!,0),MATCH('data '!S$3,#REF!,0))=0,"",INDEX(#REF!,MATCH('data '!$B364,#REF!,0),MATCH('data '!S$3,#REF!,0)))</f>
        <v>#REF!</v>
      </c>
      <c r="T364" s="29" t="e">
        <f>IF(INDEX(#REF!,MATCH('data '!$B364,#REF!,0),MATCH('data '!T$3,#REF!,0))=0,"",INDEX(#REF!,MATCH('data '!$B364,#REF!,0),MATCH('data '!T$3,#REF!,0)))</f>
        <v>#REF!</v>
      </c>
      <c r="V364" s="25" t="s">
        <v>248</v>
      </c>
      <c r="W364" s="25">
        <v>0</v>
      </c>
      <c r="AC364" s="8" t="e">
        <f>VLOOKUP(B364,#REF!,19,0)</f>
        <v>#REF!</v>
      </c>
      <c r="AP364" s="8" t="str">
        <f t="shared" si="14"/>
        <v>Not yet endorsed</v>
      </c>
      <c r="AQ364" s="10" t="b" cm="1">
        <f t="array" aca="1" ref="AQ364" ca="1">IF(AM364&gt;0,(TODAY()-AM364),IF(AL364&gt;0,(TODAY()-AL364),IF(AK364&gt;0,(TODAY()-AK364,IF(AI364&gt;0,(TODAY()-AI364),IF(AG364&gt;0,(TODAY()-AG364),IF(AF364&gt;0,(TODAY()-AF364),IF(X364&gt;0,(TODAY()-X364)," "))))))))</f>
        <v>0</v>
      </c>
      <c r="BD364" s="2" t="str">
        <f t="shared" si="15"/>
        <v>Not yet endorsed</v>
      </c>
      <c r="BE364" s="2" t="s">
        <v>75</v>
      </c>
      <c r="BG364" s="2" t="e">
        <v>#N/A</v>
      </c>
      <c r="BH364" s="2" t="e" vm="1">
        <v>#REF!</v>
      </c>
    </row>
    <row r="365" spans="2:60" hidden="1" x14ac:dyDescent="0.25">
      <c r="B365" s="2" t="s">
        <v>1810</v>
      </c>
      <c r="C365" s="2" t="s">
        <v>1811</v>
      </c>
      <c r="D365" s="44" t="s">
        <v>1812</v>
      </c>
      <c r="E365" s="2" t="s">
        <v>5</v>
      </c>
      <c r="F365" s="2" t="s">
        <v>1647</v>
      </c>
      <c r="G365" s="2" t="s">
        <v>1</v>
      </c>
      <c r="H365" s="2" t="s">
        <v>139</v>
      </c>
      <c r="I365" s="2" t="s">
        <v>140</v>
      </c>
      <c r="J365" s="2" t="s">
        <v>224</v>
      </c>
      <c r="K365" s="2" t="s">
        <v>225</v>
      </c>
      <c r="L365" s="2" t="s">
        <v>1813</v>
      </c>
      <c r="M365" s="2">
        <v>0</v>
      </c>
      <c r="N365" s="2">
        <v>0</v>
      </c>
      <c r="O365" s="2">
        <v>0</v>
      </c>
      <c r="P365" s="2" t="s">
        <v>1157</v>
      </c>
      <c r="Q365" s="2" t="s">
        <v>73</v>
      </c>
      <c r="R365" s="29" t="e">
        <f>IF(INDEX(#REF!,MATCH('data '!$B365,#REF!,0),MATCH('data '!R$3,#REF!,0))=0,"",INDEX(#REF!,MATCH('data '!$B365,#REF!,0),MATCH('data '!R$3,#REF!,0)))</f>
        <v>#REF!</v>
      </c>
      <c r="S365" s="29" t="e">
        <f>IF(INDEX(#REF!,MATCH('data '!$B365,#REF!,0),MATCH('data '!S$3,#REF!,0))=0,"",INDEX(#REF!,MATCH('data '!$B365,#REF!,0),MATCH('data '!S$3,#REF!,0)))</f>
        <v>#REF!</v>
      </c>
      <c r="T365" s="29" t="e">
        <f>IF(INDEX(#REF!,MATCH('data '!$B365,#REF!,0),MATCH('data '!T$3,#REF!,0))=0,"",INDEX(#REF!,MATCH('data '!$B365,#REF!,0),MATCH('data '!T$3,#REF!,0)))</f>
        <v>#REF!</v>
      </c>
      <c r="U365" s="8" t="s">
        <v>25</v>
      </c>
      <c r="V365" s="25" t="s">
        <v>160</v>
      </c>
      <c r="W365" s="25" t="s">
        <v>144</v>
      </c>
      <c r="X365" s="9" t="s">
        <v>25</v>
      </c>
      <c r="Y365" s="9">
        <v>45982</v>
      </c>
      <c r="AC365" s="8" t="e">
        <f>VLOOKUP(B365,#REF!,19,0)</f>
        <v>#REF!</v>
      </c>
      <c r="AE365" s="8" t="s">
        <v>228</v>
      </c>
      <c r="AG365" s="8">
        <v>46021</v>
      </c>
      <c r="AH365" s="8" t="s">
        <v>1590</v>
      </c>
      <c r="AI365" s="8">
        <v>46028</v>
      </c>
      <c r="AJ365" s="8" t="s">
        <v>1591</v>
      </c>
      <c r="AP365" s="8" t="str">
        <f t="shared" si="14"/>
        <v>PO Issued</v>
      </c>
      <c r="AQ365" s="10" t="b" cm="1">
        <f t="array" aca="1" ref="AQ365" ca="1">IF(AM365&gt;0,(TODAY()-AM365),IF(AL365&gt;0,(TODAY()-AL365),IF(AK365&gt;0,(TODAY()-AK365,IF(AI365&gt;0,(TODAY()-AI365),IF(AG365&gt;0,(TODAY()-AG365),IF(AF365&gt;0,(TODAY()-AF365),IF(X365&gt;0,(TODAY()-X365)," "))))))))</f>
        <v>0</v>
      </c>
      <c r="BD365" s="2" t="str">
        <f t="shared" si="15"/>
        <v>BP Secured</v>
      </c>
      <c r="BE365" s="2" t="e">
        <v>#VALUE!</v>
      </c>
      <c r="BG365" s="2" t="e">
        <v>#N/A</v>
      </c>
      <c r="BH365" s="2" t="e" vm="1">
        <v>#REF!</v>
      </c>
    </row>
    <row r="366" spans="2:60" hidden="1" x14ac:dyDescent="0.25">
      <c r="B366" s="2" t="s">
        <v>1814</v>
      </c>
      <c r="C366" s="2" t="s">
        <v>1815</v>
      </c>
      <c r="D366" s="44" t="s">
        <v>1816</v>
      </c>
      <c r="E366" s="2" t="s">
        <v>3</v>
      </c>
      <c r="F366" s="2" t="s">
        <v>279</v>
      </c>
      <c r="G366" s="2" t="s">
        <v>1</v>
      </c>
      <c r="H366" s="2" t="s">
        <v>139</v>
      </c>
      <c r="I366" s="2" t="s">
        <v>140</v>
      </c>
      <c r="J366" s="2" t="s">
        <v>141</v>
      </c>
      <c r="K366" s="2" t="s">
        <v>280</v>
      </c>
      <c r="L366" s="2" t="s">
        <v>1809</v>
      </c>
      <c r="M366" s="2">
        <v>0</v>
      </c>
      <c r="N366" s="2">
        <v>18.495661599999998</v>
      </c>
      <c r="O366" s="2">
        <v>120.5705731</v>
      </c>
      <c r="P366" s="2" t="s">
        <v>87</v>
      </c>
      <c r="Q366" s="2" t="s">
        <v>198</v>
      </c>
      <c r="R366" s="29" t="e">
        <f>IF(INDEX(#REF!,MATCH('data '!$B366,#REF!,0),MATCH('data '!R$3,#REF!,0))=0,"",INDEX(#REF!,MATCH('data '!$B366,#REF!,0),MATCH('data '!R$3,#REF!,0)))</f>
        <v>#REF!</v>
      </c>
      <c r="S366" s="29" t="e">
        <f>IF(INDEX(#REF!,MATCH('data '!$B366,#REF!,0),MATCH('data '!S$3,#REF!,0))=0,"",INDEX(#REF!,MATCH('data '!$B366,#REF!,0),MATCH('data '!S$3,#REF!,0)))</f>
        <v>#REF!</v>
      </c>
      <c r="T366" s="29" t="e">
        <f>IF(INDEX(#REF!,MATCH('data '!$B366,#REF!,0),MATCH('data '!T$3,#REF!,0))=0,"",INDEX(#REF!,MATCH('data '!$B366,#REF!,0),MATCH('data '!T$3,#REF!,0)))</f>
        <v>#REF!</v>
      </c>
      <c r="U366" s="8" t="s">
        <v>25</v>
      </c>
      <c r="V366" s="25" t="s">
        <v>185</v>
      </c>
      <c r="W366" s="25" t="s">
        <v>144</v>
      </c>
      <c r="X366" s="9" t="s">
        <v>25</v>
      </c>
      <c r="Y366" s="9">
        <v>45878</v>
      </c>
      <c r="AC366" s="8" t="e">
        <f>VLOOKUP(B366,#REF!,19,0)</f>
        <v>#REF!</v>
      </c>
      <c r="AE366" s="8" t="s">
        <v>145</v>
      </c>
      <c r="AF366" s="8">
        <v>45908</v>
      </c>
      <c r="AG366" s="8">
        <v>45908</v>
      </c>
      <c r="AH366" s="8" t="s">
        <v>398</v>
      </c>
      <c r="AI366" s="8">
        <v>45909</v>
      </c>
      <c r="AJ366" s="8" t="s">
        <v>399</v>
      </c>
      <c r="AK366" s="8">
        <v>45916</v>
      </c>
      <c r="AL366" s="8">
        <v>45929</v>
      </c>
      <c r="AM366" s="8">
        <v>45937</v>
      </c>
      <c r="AP366" s="8" t="str">
        <f t="shared" si="14"/>
        <v>Tempo Energized</v>
      </c>
      <c r="AS366" s="8" t="s">
        <v>1817</v>
      </c>
      <c r="AT366" s="8">
        <v>45940</v>
      </c>
      <c r="AU366" s="8">
        <v>45980</v>
      </c>
      <c r="AV366" s="8">
        <v>45980</v>
      </c>
      <c r="AW366" s="8" t="s">
        <v>401</v>
      </c>
      <c r="AX366" s="8">
        <v>45982</v>
      </c>
      <c r="AY366" s="8" t="s">
        <v>402</v>
      </c>
      <c r="BD366" s="2" t="str">
        <f t="shared" si="15"/>
        <v>PO Issued</v>
      </c>
      <c r="BE366" s="2">
        <v>32</v>
      </c>
      <c r="BG366" s="2" t="e">
        <v>#N/A</v>
      </c>
      <c r="BH366" s="2" t="e" vm="1">
        <v>#REF!</v>
      </c>
    </row>
    <row r="367" spans="2:60" hidden="1" x14ac:dyDescent="0.25">
      <c r="B367" s="2" t="s">
        <v>1818</v>
      </c>
      <c r="C367" s="2" t="s">
        <v>1819</v>
      </c>
      <c r="D367" s="44" t="s">
        <v>1820</v>
      </c>
      <c r="E367" s="2" t="s">
        <v>3</v>
      </c>
      <c r="F367" s="2" t="s">
        <v>279</v>
      </c>
      <c r="G367" s="2" t="s">
        <v>1</v>
      </c>
      <c r="H367" s="2" t="s">
        <v>139</v>
      </c>
      <c r="I367" s="2" t="s">
        <v>140</v>
      </c>
      <c r="J367" s="2" t="s">
        <v>141</v>
      </c>
      <c r="K367" s="2" t="s">
        <v>280</v>
      </c>
      <c r="L367" s="2" t="s">
        <v>1821</v>
      </c>
      <c r="M367" s="2">
        <v>0</v>
      </c>
      <c r="N367" s="2">
        <v>17.930432</v>
      </c>
      <c r="O367" s="2">
        <v>120.68120999999999</v>
      </c>
      <c r="P367" s="2" t="s">
        <v>87</v>
      </c>
      <c r="Q367" s="2" t="s">
        <v>219</v>
      </c>
      <c r="R367" s="29" t="e">
        <f>IF(INDEX(#REF!,MATCH('data '!$B367,#REF!,0),MATCH('data '!R$3,#REF!,0))=0,"",INDEX(#REF!,MATCH('data '!$B367,#REF!,0),MATCH('data '!R$3,#REF!,0)))</f>
        <v>#REF!</v>
      </c>
      <c r="S367" s="29" t="e">
        <f>IF(INDEX(#REF!,MATCH('data '!$B367,#REF!,0),MATCH('data '!S$3,#REF!,0))=0,"",INDEX(#REF!,MATCH('data '!$B367,#REF!,0),MATCH('data '!S$3,#REF!,0)))</f>
        <v>#REF!</v>
      </c>
      <c r="T367" s="29" t="e">
        <f>IF(INDEX(#REF!,MATCH('data '!$B367,#REF!,0),MATCH('data '!T$3,#REF!,0))=0,"",INDEX(#REF!,MATCH('data '!$B367,#REF!,0),MATCH('data '!T$3,#REF!,0)))</f>
        <v>#REF!</v>
      </c>
      <c r="V367" s="25" t="s">
        <v>383</v>
      </c>
      <c r="W367" s="25" t="s">
        <v>144</v>
      </c>
      <c r="X367" s="9" t="s">
        <v>25</v>
      </c>
      <c r="Y367" s="9">
        <v>45833</v>
      </c>
      <c r="AC367" s="8" t="e">
        <f>VLOOKUP(B367,#REF!,19,0)</f>
        <v>#REF!</v>
      </c>
      <c r="AE367" s="8" t="s">
        <v>145</v>
      </c>
      <c r="AF367" s="8">
        <v>45908</v>
      </c>
      <c r="AG367" s="8">
        <v>45908</v>
      </c>
      <c r="AH367" s="8" t="s">
        <v>398</v>
      </c>
      <c r="AI367" s="8">
        <v>45909</v>
      </c>
      <c r="AJ367" s="8" t="s">
        <v>399</v>
      </c>
      <c r="AK367" s="8">
        <v>45916</v>
      </c>
      <c r="AL367" s="8">
        <v>45923</v>
      </c>
      <c r="AM367" s="8">
        <v>45935</v>
      </c>
      <c r="AP367" s="8" t="str">
        <f t="shared" si="14"/>
        <v>Tempo Energized</v>
      </c>
      <c r="AS367" s="8" t="e">
        <v>#N/A</v>
      </c>
      <c r="AT367" s="8">
        <v>45907</v>
      </c>
      <c r="AU367" s="8">
        <v>45960</v>
      </c>
      <c r="AV367" s="8">
        <v>45960</v>
      </c>
      <c r="AW367" s="8" t="s">
        <v>1750</v>
      </c>
      <c r="AX367" s="8">
        <v>45961</v>
      </c>
      <c r="AY367" s="8" t="s">
        <v>1751</v>
      </c>
      <c r="BD367" s="2" t="str">
        <f t="shared" si="15"/>
        <v>PO Issued</v>
      </c>
      <c r="BE367" s="2">
        <v>33</v>
      </c>
      <c r="BF367" s="2" t="s">
        <v>1626</v>
      </c>
      <c r="BG367" s="2" t="e">
        <v>#N/A</v>
      </c>
      <c r="BH367" s="2" t="e" vm="1">
        <v>#REF!</v>
      </c>
    </row>
    <row r="368" spans="2:60" hidden="1" x14ac:dyDescent="0.25">
      <c r="B368" s="2" t="s">
        <v>1822</v>
      </c>
      <c r="C368" s="2" t="s">
        <v>1823</v>
      </c>
      <c r="D368" s="44" t="s">
        <v>1824</v>
      </c>
      <c r="E368" s="2" t="s">
        <v>5</v>
      </c>
      <c r="F368" s="2" t="s">
        <v>1647</v>
      </c>
      <c r="G368" s="2" t="s">
        <v>1</v>
      </c>
      <c r="H368" s="2" t="s">
        <v>139</v>
      </c>
      <c r="I368" s="2" t="s">
        <v>140</v>
      </c>
      <c r="J368" s="2" t="s">
        <v>224</v>
      </c>
      <c r="K368" s="2" t="s">
        <v>225</v>
      </c>
      <c r="L368" s="2" t="s">
        <v>1825</v>
      </c>
      <c r="M368" s="2">
        <v>0</v>
      </c>
      <c r="N368" s="2">
        <v>0</v>
      </c>
      <c r="O368" s="2">
        <v>0</v>
      </c>
      <c r="P368" s="2" t="s">
        <v>125</v>
      </c>
      <c r="Q368" s="2" t="s">
        <v>73</v>
      </c>
      <c r="R368" s="29" t="e">
        <f>IF(INDEX(#REF!,MATCH('data '!$B368,#REF!,0),MATCH('data '!R$3,#REF!,0))=0,"",INDEX(#REF!,MATCH('data '!$B368,#REF!,0),MATCH('data '!R$3,#REF!,0)))</f>
        <v>#REF!</v>
      </c>
      <c r="S368" s="29" t="e">
        <f>IF(INDEX(#REF!,MATCH('data '!$B368,#REF!,0),MATCH('data '!S$3,#REF!,0))=0,"",INDEX(#REF!,MATCH('data '!$B368,#REF!,0),MATCH('data '!S$3,#REF!,0)))</f>
        <v>#REF!</v>
      </c>
      <c r="T368" s="29" t="e">
        <f>IF(INDEX(#REF!,MATCH('data '!$B368,#REF!,0),MATCH('data '!T$3,#REF!,0))=0,"",INDEX(#REF!,MATCH('data '!$B368,#REF!,0),MATCH('data '!T$3,#REF!,0)))</f>
        <v>#REF!</v>
      </c>
      <c r="U368" s="8" t="s">
        <v>25</v>
      </c>
      <c r="V368" s="25" t="s">
        <v>74</v>
      </c>
      <c r="W368" s="25">
        <v>0</v>
      </c>
      <c r="AC368" s="8" t="e">
        <f>VLOOKUP(B368,#REF!,19,0)</f>
        <v>#REF!</v>
      </c>
      <c r="AE368" s="8" t="s">
        <v>228</v>
      </c>
      <c r="AG368" s="8">
        <v>46021</v>
      </c>
      <c r="AH368" s="8" t="s">
        <v>1590</v>
      </c>
      <c r="AI368" s="8">
        <v>46028</v>
      </c>
      <c r="AJ368" s="8" t="s">
        <v>1591</v>
      </c>
      <c r="AP368" s="8" t="str">
        <f t="shared" si="14"/>
        <v>PO Issued</v>
      </c>
      <c r="AQ368" s="10" t="b" cm="1">
        <f t="array" aca="1" ref="AQ368" ca="1">IF(AM368&gt;0,(TODAY()-AM368),IF(AL368&gt;0,(TODAY()-AL368),IF(AK368&gt;0,(TODAY()-AK368,IF(AI368&gt;0,(TODAY()-AI368),IF(AG368&gt;0,(TODAY()-AG368),IF(AF368&gt;0,(TODAY()-AF368),IF(X368&gt;0,(TODAY()-X368)," "))))))))</f>
        <v>0</v>
      </c>
      <c r="BD368" s="2" t="str">
        <f t="shared" si="15"/>
        <v>TSSR Approved</v>
      </c>
      <c r="BE368" s="2" t="e">
        <v>#VALUE!</v>
      </c>
      <c r="BG368" s="2" t="e">
        <v>#N/A</v>
      </c>
      <c r="BH368" s="2" t="e" vm="1">
        <v>#REF!</v>
      </c>
    </row>
    <row r="369" spans="1:60" hidden="1" x14ac:dyDescent="0.25">
      <c r="B369" s="2" t="s">
        <v>1826</v>
      </c>
      <c r="C369" s="2" t="s">
        <v>1827</v>
      </c>
      <c r="D369" s="44" t="s">
        <v>1828</v>
      </c>
      <c r="E369" s="2" t="s">
        <v>3</v>
      </c>
      <c r="F369" s="2">
        <v>0</v>
      </c>
      <c r="G369" s="2" t="s">
        <v>1</v>
      </c>
      <c r="H369" s="2" t="s">
        <v>120</v>
      </c>
      <c r="I369" s="2" t="s">
        <v>121</v>
      </c>
      <c r="J369" s="2" t="s">
        <v>209</v>
      </c>
      <c r="K369" s="2" t="s">
        <v>566</v>
      </c>
      <c r="L369" s="2" t="s">
        <v>1829</v>
      </c>
      <c r="M369" s="2">
        <v>0</v>
      </c>
      <c r="N369" s="2">
        <v>0</v>
      </c>
      <c r="O369" s="2">
        <v>0</v>
      </c>
      <c r="P369" s="2" t="s">
        <v>1830</v>
      </c>
      <c r="Q369" s="2">
        <v>0</v>
      </c>
      <c r="R369" s="29" t="e">
        <f>IF(INDEX(#REF!,MATCH('data '!$B369,#REF!,0),MATCH('data '!R$3,#REF!,0))=0,"",INDEX(#REF!,MATCH('data '!$B369,#REF!,0),MATCH('data '!R$3,#REF!,0)))</f>
        <v>#REF!</v>
      </c>
      <c r="S369" s="29" t="e">
        <f>IF(INDEX(#REF!,MATCH('data '!$B369,#REF!,0),MATCH('data '!S$3,#REF!,0))=0,"",INDEX(#REF!,MATCH('data '!$B369,#REF!,0),MATCH('data '!S$3,#REF!,0)))</f>
        <v>#REF!</v>
      </c>
      <c r="T369" s="29" t="e">
        <f>IF(INDEX(#REF!,MATCH('data '!$B369,#REF!,0),MATCH('data '!T$3,#REF!,0))=0,"",INDEX(#REF!,MATCH('data '!$B369,#REF!,0),MATCH('data '!T$3,#REF!,0)))</f>
        <v>#REF!</v>
      </c>
      <c r="V369" s="25" t="s">
        <v>656</v>
      </c>
      <c r="W369" s="25">
        <v>0</v>
      </c>
      <c r="AC369" s="8" t="e">
        <f>VLOOKUP(B369,#REF!,19,0)</f>
        <v>#REF!</v>
      </c>
      <c r="AP369" s="8" t="str">
        <f t="shared" si="14"/>
        <v>Not yet endorsed</v>
      </c>
      <c r="AQ369" s="10" t="b" cm="1">
        <f t="array" aca="1" ref="AQ369" ca="1">IF(AM369&gt;0,(TODAY()-AM369),IF(AL369&gt;0,(TODAY()-AL369),IF(AK369&gt;0,(TODAY()-AK369,IF(AI369&gt;0,(TODAY()-AI369),IF(AG369&gt;0,(TODAY()-AG369),IF(AF369&gt;0,(TODAY()-AF369),IF(X369&gt;0,(TODAY()-X369)," "))))))))</f>
        <v>0</v>
      </c>
      <c r="BD369" s="2" t="str">
        <f t="shared" si="15"/>
        <v>Not yet endorsed</v>
      </c>
      <c r="BE369" s="2" t="s">
        <v>75</v>
      </c>
      <c r="BG369" s="2" t="e">
        <v>#N/A</v>
      </c>
      <c r="BH369" s="2" t="e" vm="1">
        <v>#REF!</v>
      </c>
    </row>
    <row r="370" spans="1:60" hidden="1" x14ac:dyDescent="0.25">
      <c r="B370" s="7" t="s">
        <v>1831</v>
      </c>
      <c r="C370" s="2" t="s">
        <v>1832</v>
      </c>
      <c r="D370" s="44" t="s">
        <v>1833</v>
      </c>
      <c r="E370" s="2" t="s">
        <v>3</v>
      </c>
      <c r="F370" s="2" t="s">
        <v>279</v>
      </c>
      <c r="G370" s="2" t="s">
        <v>1</v>
      </c>
      <c r="H370" s="2" t="s">
        <v>139</v>
      </c>
      <c r="I370" s="2" t="s">
        <v>140</v>
      </c>
      <c r="J370" s="2" t="s">
        <v>141</v>
      </c>
      <c r="K370" s="2" t="s">
        <v>280</v>
      </c>
      <c r="L370" s="2" t="s">
        <v>1834</v>
      </c>
      <c r="M370" s="2">
        <v>0</v>
      </c>
      <c r="N370" s="2">
        <v>17.964746999999999</v>
      </c>
      <c r="O370" s="2">
        <v>120.71025400000001</v>
      </c>
      <c r="P370" s="2" t="s">
        <v>87</v>
      </c>
      <c r="Q370" s="2" t="s">
        <v>227</v>
      </c>
      <c r="R370" s="29" t="e">
        <f>IF(INDEX(#REF!,MATCH('data '!$B370,#REF!,0),MATCH('data '!R$3,#REF!,0))=0,"",INDEX(#REF!,MATCH('data '!$B370,#REF!,0),MATCH('data '!R$3,#REF!,0)))</f>
        <v>#REF!</v>
      </c>
      <c r="S370" s="29" t="e">
        <f>IF(INDEX(#REF!,MATCH('data '!$B370,#REF!,0),MATCH('data '!S$3,#REF!,0))=0,"",INDEX(#REF!,MATCH('data '!$B370,#REF!,0),MATCH('data '!S$3,#REF!,0)))</f>
        <v>#REF!</v>
      </c>
      <c r="T370" s="29" t="e">
        <f>IF(INDEX(#REF!,MATCH('data '!$B370,#REF!,0),MATCH('data '!T$3,#REF!,0))=0,"",INDEX(#REF!,MATCH('data '!$B370,#REF!,0),MATCH('data '!T$3,#REF!,0)))</f>
        <v>#REF!</v>
      </c>
      <c r="U370" s="8" t="s">
        <v>25</v>
      </c>
      <c r="V370" s="25" t="s">
        <v>160</v>
      </c>
      <c r="W370" s="25" t="s">
        <v>144</v>
      </c>
      <c r="X370" s="9" t="s">
        <v>25</v>
      </c>
      <c r="Y370" s="9">
        <v>45911</v>
      </c>
      <c r="AC370" s="8" t="e">
        <f>VLOOKUP(B370,#REF!,19,0)</f>
        <v>#REF!</v>
      </c>
      <c r="AE370" s="8" t="s">
        <v>145</v>
      </c>
      <c r="AF370" s="8">
        <v>45938</v>
      </c>
      <c r="AG370" s="8">
        <v>45939</v>
      </c>
      <c r="AH370" s="8" t="s">
        <v>146</v>
      </c>
      <c r="AI370" s="8">
        <v>45943</v>
      </c>
      <c r="AJ370" s="8" t="s">
        <v>147</v>
      </c>
      <c r="AK370" s="8">
        <v>45950</v>
      </c>
      <c r="AL370" s="8">
        <v>45971</v>
      </c>
      <c r="AM370" s="8">
        <v>45981</v>
      </c>
      <c r="AP370" s="8" t="str">
        <f t="shared" si="14"/>
        <v>Tempo Energized</v>
      </c>
      <c r="AQ370" s="10" cm="1">
        <f t="array" aca="1" ref="AQ370" ca="1">IF(AM370&gt;0,(TODAY()-AM370),IF(AL370&gt;0,(TODAY()-AL370),IF(AK370&gt;0,(TODAY()-AK370,IF(AI370&gt;0,(TODAY()-AI370),IF(AG370&gt;0,(TODAY()-AG370),IF(AF370&gt;0,(TODAY()-AF370),IF(X370&gt;0,(TODAY()-X370)," "))))))))</f>
        <v>125</v>
      </c>
      <c r="AT370" s="8">
        <v>45994</v>
      </c>
      <c r="AU370" s="11"/>
      <c r="AV370" s="11"/>
      <c r="AW370" s="11"/>
      <c r="AX370" s="11"/>
      <c r="AY370" s="11"/>
      <c r="BD370" s="2" t="str">
        <f t="shared" si="15"/>
        <v>BoQ Submitted</v>
      </c>
      <c r="BE370" s="2">
        <v>2</v>
      </c>
      <c r="BG370" s="2" t="s">
        <v>149</v>
      </c>
      <c r="BH370" s="2" t="e" vm="1">
        <v>#REF!</v>
      </c>
    </row>
    <row r="371" spans="1:60" hidden="1" x14ac:dyDescent="0.25">
      <c r="B371" s="2" t="s">
        <v>1835</v>
      </c>
      <c r="C371" s="2" t="s">
        <v>1836</v>
      </c>
      <c r="D371" s="44" t="s">
        <v>1837</v>
      </c>
      <c r="F371" s="2">
        <v>0</v>
      </c>
      <c r="G371" s="2" t="s">
        <v>1</v>
      </c>
      <c r="H371" s="2" t="s">
        <v>120</v>
      </c>
      <c r="I371" s="2" t="s">
        <v>121</v>
      </c>
      <c r="J371" s="2" t="e">
        <v>#N/A</v>
      </c>
      <c r="K371" s="2" t="e">
        <v>#N/A</v>
      </c>
      <c r="L371" s="2" t="e">
        <v>#N/A</v>
      </c>
      <c r="M371" s="2" t="e">
        <v>#N/A</v>
      </c>
      <c r="N371" s="2" t="e">
        <v>#N/A</v>
      </c>
      <c r="O371" s="2" t="e">
        <v>#N/A</v>
      </c>
      <c r="P371" s="2" t="s">
        <v>568</v>
      </c>
      <c r="Q371" s="2">
        <v>0</v>
      </c>
      <c r="R371" s="29" t="e">
        <f>IF(INDEX(#REF!,MATCH('data '!$B371,#REF!,0),MATCH('data '!R$3,#REF!,0))=0,"",INDEX(#REF!,MATCH('data '!$B371,#REF!,0),MATCH('data '!R$3,#REF!,0)))</f>
        <v>#REF!</v>
      </c>
      <c r="S371" s="29" t="e">
        <f>IF(INDEX(#REF!,MATCH('data '!$B371,#REF!,0),MATCH('data '!S$3,#REF!,0))=0,"",INDEX(#REF!,MATCH('data '!$B371,#REF!,0),MATCH('data '!S$3,#REF!,0)))</f>
        <v>#REF!</v>
      </c>
      <c r="T371" s="29" t="e">
        <f>IF(INDEX(#REF!,MATCH('data '!$B371,#REF!,0),MATCH('data '!T$3,#REF!,0))=0,"",INDEX(#REF!,MATCH('data '!$B371,#REF!,0),MATCH('data '!T$3,#REF!,0)))</f>
        <v>#REF!</v>
      </c>
      <c r="V371" s="25" t="s">
        <v>204</v>
      </c>
      <c r="W371" s="25">
        <v>0</v>
      </c>
      <c r="AC371" s="8" t="e">
        <f>VLOOKUP(B371,#REF!,19,0)</f>
        <v>#REF!</v>
      </c>
      <c r="AP371" s="8" t="str">
        <f t="shared" si="14"/>
        <v>Not yet endorsed</v>
      </c>
      <c r="AQ371" s="10" t="b" cm="1">
        <f t="array" aca="1" ref="AQ371" ca="1">IF(AM371&gt;0,(TODAY()-AM371),IF(AL371&gt;0,(TODAY()-AL371),IF(AK371&gt;0,(TODAY()-AK371,IF(AI371&gt;0,(TODAY()-AI371),IF(AG371&gt;0,(TODAY()-AG371),IF(AF371&gt;0,(TODAY()-AF371),IF(X371&gt;0,(TODAY()-X371)," "))))))))</f>
        <v>0</v>
      </c>
      <c r="BD371" s="2" t="str">
        <f t="shared" si="15"/>
        <v>Not yet endorsed</v>
      </c>
      <c r="BE371" s="2" t="s">
        <v>75</v>
      </c>
      <c r="BG371" s="2" t="e">
        <v>#N/A</v>
      </c>
    </row>
    <row r="372" spans="1:60" ht="75" hidden="1" x14ac:dyDescent="0.25">
      <c r="B372" s="42" t="s">
        <v>1838</v>
      </c>
      <c r="C372" s="2" t="s">
        <v>1839</v>
      </c>
      <c r="D372" s="45" t="s">
        <v>1840</v>
      </c>
      <c r="E372" s="2" t="s">
        <v>5</v>
      </c>
      <c r="F372" s="14" t="s">
        <v>912</v>
      </c>
      <c r="G372" s="2" t="s">
        <v>1</v>
      </c>
      <c r="H372" s="2" t="s">
        <v>139</v>
      </c>
      <c r="I372" s="2" t="s">
        <v>140</v>
      </c>
      <c r="J372" s="2" t="s">
        <v>224</v>
      </c>
      <c r="K372" s="2" t="s">
        <v>913</v>
      </c>
      <c r="L372" s="2" t="s">
        <v>1572</v>
      </c>
      <c r="M372" s="2">
        <v>0</v>
      </c>
      <c r="N372" s="2">
        <v>17.231303499999999</v>
      </c>
      <c r="O372" s="2">
        <v>121.6077428</v>
      </c>
      <c r="P372" s="2" t="s">
        <v>87</v>
      </c>
      <c r="Q372" s="2" t="s">
        <v>265</v>
      </c>
      <c r="R372" s="29" t="e">
        <f>IF(INDEX(#REF!,MATCH('data '!$B372,#REF!,0),MATCH('data '!R$3,#REF!,0))=0,"",INDEX(#REF!,MATCH('data '!$B372,#REF!,0),MATCH('data '!R$3,#REF!,0)))</f>
        <v>#REF!</v>
      </c>
      <c r="S372" s="29" t="e">
        <f>IF(INDEX(#REF!,MATCH('data '!$B372,#REF!,0),MATCH('data '!S$3,#REF!,0))=0,"",INDEX(#REF!,MATCH('data '!$B372,#REF!,0),MATCH('data '!S$3,#REF!,0)))</f>
        <v>#REF!</v>
      </c>
      <c r="T372" s="29" t="e">
        <f>IF(INDEX(#REF!,MATCH('data '!$B372,#REF!,0),MATCH('data '!T$3,#REF!,0))=0,"",INDEX(#REF!,MATCH('data '!$B372,#REF!,0),MATCH('data '!T$3,#REF!,0)))</f>
        <v>#REF!</v>
      </c>
      <c r="U372" s="8" t="s">
        <v>25</v>
      </c>
      <c r="V372" s="25" t="s">
        <v>383</v>
      </c>
      <c r="W372" s="25" t="s">
        <v>144</v>
      </c>
      <c r="X372" s="9" t="s">
        <v>25</v>
      </c>
      <c r="Y372" s="9">
        <v>45798</v>
      </c>
      <c r="AC372" s="8" t="e">
        <f>VLOOKUP(B372,#REF!,19,0)</f>
        <v>#REF!</v>
      </c>
      <c r="AE372" s="8" t="s">
        <v>438</v>
      </c>
      <c r="AF372" s="8">
        <v>45912</v>
      </c>
      <c r="AG372" s="8">
        <v>45943</v>
      </c>
      <c r="AH372" s="8" t="s">
        <v>915</v>
      </c>
      <c r="AI372" s="8">
        <v>45945</v>
      </c>
      <c r="AJ372" s="8" t="s">
        <v>916</v>
      </c>
      <c r="AK372" s="8">
        <v>45936</v>
      </c>
      <c r="AL372" s="8">
        <v>45945</v>
      </c>
      <c r="AM372" s="8">
        <v>45978</v>
      </c>
      <c r="AP372" s="8" t="str">
        <f t="shared" si="14"/>
        <v>Tempo Energized</v>
      </c>
      <c r="AQ372" s="10" cm="1">
        <f t="array" aca="1" ref="AQ372" ca="1">IF(AM372&gt;0,(TODAY()-AM372),IF(AL372&gt;0,(TODAY()-AL372),IF(AK372&gt;0,(TODAY()-AK372,IF(AI372&gt;0,(TODAY()-AI372),IF(AG372&gt;0,(TODAY()-AG372),IF(AF372&gt;0,(TODAY()-AF372),IF(X372&gt;0,(TODAY()-X372)," "))))))))</f>
        <v>128</v>
      </c>
      <c r="AR372" s="10" t="s">
        <v>1841</v>
      </c>
      <c r="AS372" s="50" t="s">
        <v>1842</v>
      </c>
      <c r="AT372" s="8">
        <v>45924</v>
      </c>
      <c r="AU372" s="8">
        <v>45950</v>
      </c>
      <c r="AV372" s="8">
        <v>45950</v>
      </c>
      <c r="AW372" s="8" t="s">
        <v>927</v>
      </c>
      <c r="AX372" s="8">
        <v>45950</v>
      </c>
      <c r="AY372" s="8" t="s">
        <v>928</v>
      </c>
      <c r="AZ372" s="8">
        <v>45960</v>
      </c>
      <c r="BA372" s="8">
        <v>45968</v>
      </c>
      <c r="BB372" s="8">
        <v>45971</v>
      </c>
      <c r="BD372" s="2" t="str">
        <f t="shared" si="15"/>
        <v>Bill deposit Paid</v>
      </c>
      <c r="BE372" s="2">
        <v>21</v>
      </c>
      <c r="BF372" s="2" t="s">
        <v>1843</v>
      </c>
      <c r="BG372" s="2" t="e">
        <v>#N/A</v>
      </c>
      <c r="BH372" s="2" t="e" vm="1">
        <v>#REF!</v>
      </c>
    </row>
    <row r="373" spans="1:60" hidden="1" x14ac:dyDescent="0.25">
      <c r="B373" s="58" t="s">
        <v>1844</v>
      </c>
      <c r="C373" s="2" t="s">
        <v>1845</v>
      </c>
      <c r="D373" s="44" t="s">
        <v>1846</v>
      </c>
      <c r="E373" s="2" t="s">
        <v>5</v>
      </c>
      <c r="F373" s="14" t="s">
        <v>912</v>
      </c>
      <c r="G373" s="2" t="s">
        <v>1</v>
      </c>
      <c r="H373" s="2" t="s">
        <v>139</v>
      </c>
      <c r="I373" s="2" t="s">
        <v>140</v>
      </c>
      <c r="J373" s="2" t="s">
        <v>224</v>
      </c>
      <c r="K373" s="2" t="s">
        <v>913</v>
      </c>
      <c r="L373" s="2" t="s">
        <v>1847</v>
      </c>
      <c r="M373" s="2">
        <v>0</v>
      </c>
      <c r="N373" s="2">
        <v>16.947879</v>
      </c>
      <c r="O373" s="2">
        <v>121.559387</v>
      </c>
      <c r="P373" s="2" t="s">
        <v>87</v>
      </c>
      <c r="Q373" s="2" t="s">
        <v>227</v>
      </c>
      <c r="R373" s="29" t="e">
        <f>IF(INDEX(#REF!,MATCH('data '!$B373,#REF!,0),MATCH('data '!R$3,#REF!,0))=0,"",INDEX(#REF!,MATCH('data '!$B373,#REF!,0),MATCH('data '!R$3,#REF!,0)))</f>
        <v>#REF!</v>
      </c>
      <c r="S373" s="29" t="e">
        <f>IF(INDEX(#REF!,MATCH('data '!$B373,#REF!,0),MATCH('data '!S$3,#REF!,0))=0,"",INDEX(#REF!,MATCH('data '!$B373,#REF!,0),MATCH('data '!S$3,#REF!,0)))</f>
        <v>#REF!</v>
      </c>
      <c r="T373" s="29" t="e">
        <f>IF(INDEX(#REF!,MATCH('data '!$B373,#REF!,0),MATCH('data '!T$3,#REF!,0))=0,"",INDEX(#REF!,MATCH('data '!$B373,#REF!,0),MATCH('data '!T$3,#REF!,0)))</f>
        <v>#REF!</v>
      </c>
      <c r="U373" s="8" t="s">
        <v>25</v>
      </c>
      <c r="V373" s="25" t="s">
        <v>560</v>
      </c>
      <c r="W373" s="25" t="s">
        <v>103</v>
      </c>
      <c r="X373" s="43" t="s">
        <v>25</v>
      </c>
      <c r="Y373" s="43">
        <v>45897</v>
      </c>
      <c r="AC373" s="8" t="e">
        <f>VLOOKUP(B373,#REF!,19,0)</f>
        <v>#REF!</v>
      </c>
      <c r="AE373" s="8" t="s">
        <v>438</v>
      </c>
      <c r="AF373" s="8">
        <v>45908</v>
      </c>
      <c r="AG373" s="8">
        <v>45908</v>
      </c>
      <c r="AH373" s="8" t="s">
        <v>641</v>
      </c>
      <c r="AI373" s="8">
        <v>45909</v>
      </c>
      <c r="AJ373" s="8" t="s">
        <v>642</v>
      </c>
      <c r="AK373" s="8">
        <v>45916</v>
      </c>
      <c r="AO373" s="8" t="s">
        <v>25</v>
      </c>
      <c r="AP373" s="8" t="str">
        <f t="shared" si="14"/>
        <v>COOP Surveyed</v>
      </c>
      <c r="AS373" s="8" t="s">
        <v>1848</v>
      </c>
      <c r="AT373" s="11"/>
      <c r="AU373" s="11"/>
      <c r="AV373" s="11"/>
      <c r="AW373" s="11"/>
      <c r="AX373" s="11"/>
      <c r="AY373" s="11"/>
      <c r="BD373" s="2" t="str">
        <f t="shared" si="15"/>
        <v>Vendor Allocated</v>
      </c>
      <c r="BE373" s="2">
        <v>32</v>
      </c>
      <c r="BF373" s="2" t="s">
        <v>1849</v>
      </c>
      <c r="BG373" s="2" t="e">
        <v>#N/A</v>
      </c>
      <c r="BH373" s="2" t="e" vm="1">
        <v>#REF!</v>
      </c>
    </row>
    <row r="374" spans="1:60" hidden="1" x14ac:dyDescent="0.25">
      <c r="B374" s="2" t="s">
        <v>1850</v>
      </c>
      <c r="C374" s="2" t="s">
        <v>1851</v>
      </c>
      <c r="D374" s="44" t="s">
        <v>1852</v>
      </c>
      <c r="E374" s="2" t="s">
        <v>5</v>
      </c>
      <c r="F374" s="2" t="s">
        <v>1336</v>
      </c>
      <c r="G374" s="2" t="s">
        <v>1</v>
      </c>
      <c r="H374" s="2" t="s">
        <v>139</v>
      </c>
      <c r="I374" s="2" t="s">
        <v>140</v>
      </c>
      <c r="J374" s="2" t="s">
        <v>209</v>
      </c>
      <c r="K374" s="2" t="s">
        <v>1853</v>
      </c>
      <c r="L374" s="2" t="s">
        <v>1854</v>
      </c>
      <c r="M374" s="2">
        <v>0</v>
      </c>
      <c r="N374" s="2">
        <v>0</v>
      </c>
      <c r="O374" s="2">
        <v>0</v>
      </c>
      <c r="P374" s="2" t="s">
        <v>1319</v>
      </c>
      <c r="Q374" s="2" t="s">
        <v>73</v>
      </c>
      <c r="R374" s="29" t="e">
        <f>IF(INDEX(#REF!,MATCH('data '!$B374,#REF!,0),MATCH('data '!R$3,#REF!,0))=0,"",INDEX(#REF!,MATCH('data '!$B374,#REF!,0),MATCH('data '!R$3,#REF!,0)))</f>
        <v>#REF!</v>
      </c>
      <c r="S374" s="29" t="e">
        <f>IF(INDEX(#REF!,MATCH('data '!$B374,#REF!,0),MATCH('data '!S$3,#REF!,0))=0,"",INDEX(#REF!,MATCH('data '!$B374,#REF!,0),MATCH('data '!S$3,#REF!,0)))</f>
        <v>#REF!</v>
      </c>
      <c r="T374" s="29" t="e">
        <f>IF(INDEX(#REF!,MATCH('data '!$B374,#REF!,0),MATCH('data '!T$3,#REF!,0))=0,"",INDEX(#REF!,MATCH('data '!$B374,#REF!,0),MATCH('data '!T$3,#REF!,0)))</f>
        <v>#REF!</v>
      </c>
      <c r="V374" s="25" t="s">
        <v>125</v>
      </c>
      <c r="W374" s="25">
        <v>0</v>
      </c>
      <c r="AC374" s="8" t="e">
        <f>VLOOKUP(B374,#REF!,19,0)</f>
        <v>#REF!</v>
      </c>
      <c r="AE374" s="8" t="s">
        <v>212</v>
      </c>
      <c r="AP374" s="8" t="str">
        <f>IF(AM374&gt;0,"Tempo Energized",IF(AL374&gt;0,"Tempo Permit Released",IF(AK374&gt;0,"COOP Surveyed",IF(AI374&gt;0,"PO Issued",IF(AG374&gt;0,"PQ Raised",IF(AE374&gt;0,"Vendor Allocated",IF(X374&gt;0,"BP Secured","Not yet endorsed")))))))</f>
        <v>Vendor Allocated</v>
      </c>
      <c r="AQ374" s="10" t="b" cm="1">
        <f t="array" aca="1" ref="AQ374" ca="1">IF(AM374&gt;0,(TODAY()-AM374),IF(AL374&gt;0,(TODAY()-AL374),IF(AK374&gt;0,(TODAY()-AK374,IF(AI374&gt;0,(TODAY()-AI374),IF(AG374&gt;0,(TODAY()-AG374),IF(AE374&gt;0,(TODAY()-AE374),IF(X374&gt;0,(TODAY()-X374)," "))))))))</f>
        <v>0</v>
      </c>
      <c r="BD374" s="2" t="str">
        <f>IF(BC374&gt;0,"Permanent Energized",IF(BB374&gt;0,"Bill deposit Paid",IF(BA374&gt;0,"Line Construction Completed",IF(AZ374&gt;0,"Line Construction Started",IF(AX374&gt;0,"PO Issued",IF(AV374&gt;0,"PQ Raised",IF(AU374&gt;0,"BoQ Approved",IF(AT374&gt;0,"BoQ Submitted",IF(AE374&gt;0,"Vendor Allocated",IF(X374&gt;0,"BP Secured",IF(U374&gt;0,"TSSR Approved","Not yet endorsed")))))))))))</f>
        <v>Vendor Allocated</v>
      </c>
      <c r="BE374" s="2" t="s">
        <v>75</v>
      </c>
      <c r="BG374" s="2" t="e">
        <v>#N/A</v>
      </c>
      <c r="BH374" s="2" t="e" vm="1">
        <v>#REF!</v>
      </c>
    </row>
    <row r="375" spans="1:60" hidden="1" x14ac:dyDescent="0.25">
      <c r="B375" s="2" t="s">
        <v>1855</v>
      </c>
      <c r="C375" s="2" t="s">
        <v>1856</v>
      </c>
      <c r="D375" s="44" t="s">
        <v>1857</v>
      </c>
      <c r="E375" s="2" t="s">
        <v>5</v>
      </c>
      <c r="F375" s="2" t="s">
        <v>1587</v>
      </c>
      <c r="G375" s="2" t="s">
        <v>1</v>
      </c>
      <c r="H375" s="2" t="s">
        <v>120</v>
      </c>
      <c r="I375" s="2" t="s">
        <v>140</v>
      </c>
      <c r="J375" s="2" t="s">
        <v>209</v>
      </c>
      <c r="K375" s="2" t="s">
        <v>1588</v>
      </c>
      <c r="L375" s="2" t="s">
        <v>1858</v>
      </c>
      <c r="M375" s="2">
        <v>0</v>
      </c>
      <c r="N375" s="2">
        <v>0</v>
      </c>
      <c r="O375" s="2">
        <v>0</v>
      </c>
      <c r="P375" s="2" t="s">
        <v>72</v>
      </c>
      <c r="Q375" s="2" t="s">
        <v>73</v>
      </c>
      <c r="R375" s="29" t="e">
        <f>IF(INDEX(#REF!,MATCH('data '!$B375,#REF!,0),MATCH('data '!R$3,#REF!,0))=0,"",INDEX(#REF!,MATCH('data '!$B375,#REF!,0),MATCH('data '!R$3,#REF!,0)))</f>
        <v>#REF!</v>
      </c>
      <c r="S375" s="29" t="e">
        <f>IF(INDEX(#REF!,MATCH('data '!$B375,#REF!,0),MATCH('data '!S$3,#REF!,0))=0,"",INDEX(#REF!,MATCH('data '!$B375,#REF!,0),MATCH('data '!S$3,#REF!,0)))</f>
        <v>#REF!</v>
      </c>
      <c r="T375" s="29" t="e">
        <f>IF(INDEX(#REF!,MATCH('data '!$B375,#REF!,0),MATCH('data '!T$3,#REF!,0))=0,"",INDEX(#REF!,MATCH('data '!$B375,#REF!,0),MATCH('data '!T$3,#REF!,0)))</f>
        <v>#REF!</v>
      </c>
      <c r="V375" s="25" t="s">
        <v>74</v>
      </c>
      <c r="W375" s="25">
        <v>0</v>
      </c>
      <c r="AC375" s="8" t="e">
        <f>VLOOKUP(B375,#REF!,19,0)</f>
        <v>#REF!</v>
      </c>
      <c r="AE375" s="8" t="s">
        <v>228</v>
      </c>
      <c r="AG375" s="8">
        <v>46021</v>
      </c>
      <c r="AH375" s="8" t="s">
        <v>1590</v>
      </c>
      <c r="AI375" s="8">
        <v>46028</v>
      </c>
      <c r="AJ375" s="8" t="s">
        <v>1591</v>
      </c>
      <c r="AP375" s="8" t="str">
        <f t="shared" si="14"/>
        <v>PO Issued</v>
      </c>
      <c r="AQ375" s="10" t="b" cm="1">
        <f t="array" aca="1" ref="AQ375" ca="1">IF(AM375&gt;0,(TODAY()-AM375),IF(AL375&gt;0,(TODAY()-AL375),IF(AK375&gt;0,(TODAY()-AK375,IF(AI375&gt;0,(TODAY()-AI375),IF(AG375&gt;0,(TODAY()-AG375),IF(AF375&gt;0,(TODAY()-AF375),IF(X375&gt;0,(TODAY()-X375)," "))))))))</f>
        <v>0</v>
      </c>
      <c r="BD375" s="2" t="str">
        <f t="shared" si="15"/>
        <v>Not yet endorsed</v>
      </c>
      <c r="BE375" s="2" t="s">
        <v>75</v>
      </c>
      <c r="BG375" s="2" t="e">
        <v>#N/A</v>
      </c>
      <c r="BH375" s="2" t="e" vm="1">
        <v>#REF!</v>
      </c>
    </row>
    <row r="376" spans="1:60" ht="60" hidden="1" x14ac:dyDescent="0.25">
      <c r="B376" s="26" t="s">
        <v>1859</v>
      </c>
      <c r="C376" s="2" t="s">
        <v>1860</v>
      </c>
      <c r="D376" s="52" t="s">
        <v>1861</v>
      </c>
      <c r="E376" s="2" t="s">
        <v>5</v>
      </c>
      <c r="F376" s="58" t="s">
        <v>912</v>
      </c>
      <c r="G376" s="2" t="s">
        <v>1</v>
      </c>
      <c r="H376" s="2" t="s">
        <v>139</v>
      </c>
      <c r="I376" s="2" t="s">
        <v>140</v>
      </c>
      <c r="J376" s="2" t="s">
        <v>224</v>
      </c>
      <c r="K376" s="2" t="s">
        <v>913</v>
      </c>
      <c r="L376" s="2" t="s">
        <v>1862</v>
      </c>
      <c r="M376" s="2">
        <v>0</v>
      </c>
      <c r="N376" s="2">
        <v>17.382100000000001</v>
      </c>
      <c r="O376" s="2">
        <v>121.8532</v>
      </c>
      <c r="P376" s="2" t="s">
        <v>87</v>
      </c>
      <c r="Q376" s="2" t="s">
        <v>265</v>
      </c>
      <c r="R376" s="29" t="e">
        <f>IF(INDEX(#REF!,MATCH('data '!$B376,#REF!,0),MATCH('data '!R$3,#REF!,0))=0,"",INDEX(#REF!,MATCH('data '!$B376,#REF!,0),MATCH('data '!R$3,#REF!,0)))</f>
        <v>#REF!</v>
      </c>
      <c r="S376" s="29" t="e">
        <f>IF(INDEX(#REF!,MATCH('data '!$B376,#REF!,0),MATCH('data '!S$3,#REF!,0))=0,"",INDEX(#REF!,MATCH('data '!$B376,#REF!,0),MATCH('data '!S$3,#REF!,0)))</f>
        <v>#REF!</v>
      </c>
      <c r="T376" s="29" t="e">
        <f>IF(INDEX(#REF!,MATCH('data '!$B376,#REF!,0),MATCH('data '!T$3,#REF!,0))=0,"",INDEX(#REF!,MATCH('data '!$B376,#REF!,0),MATCH('data '!T$3,#REF!,0)))</f>
        <v>#REF!</v>
      </c>
      <c r="U376" s="8" t="s">
        <v>25</v>
      </c>
      <c r="V376" s="25" t="s">
        <v>266</v>
      </c>
      <c r="W376" s="25" t="s">
        <v>144</v>
      </c>
      <c r="X376" s="9" t="s">
        <v>25</v>
      </c>
      <c r="Y376" s="9">
        <v>45797</v>
      </c>
      <c r="AB376" s="8">
        <v>45996</v>
      </c>
      <c r="AC376" s="8" t="e">
        <f>VLOOKUP(B376,#REF!,19,0)</f>
        <v>#REF!</v>
      </c>
      <c r="AE376" s="8" t="s">
        <v>438</v>
      </c>
      <c r="AF376" s="8">
        <v>45901</v>
      </c>
      <c r="AG376" s="8">
        <v>45943</v>
      </c>
      <c r="AH376" s="8" t="s">
        <v>924</v>
      </c>
      <c r="AI376" s="8">
        <v>45945</v>
      </c>
      <c r="AJ376" s="8" t="s">
        <v>925</v>
      </c>
      <c r="AK376" s="8">
        <v>45933</v>
      </c>
      <c r="AL376" s="8">
        <v>45971</v>
      </c>
      <c r="AP376" s="8" t="str">
        <f t="shared" si="14"/>
        <v>Tempo Permit Released</v>
      </c>
      <c r="AQ376" s="10" cm="1">
        <f t="array" aca="1" ref="AQ376" ca="1">IF(AM376&gt;0,(TODAY()-AM376),IF(AL376&gt;0,(TODAY()-AL376),IF(AK376&gt;0,(TODAY()-AK376,IF(AI376&gt;0,(TODAY()-AI376),IF(AG376&gt;0,(TODAY()-AG376),IF(AF376&gt;0,(TODAY()-AF376),IF(X376&gt;0,(TODAY()-X376)," "))))))))</f>
        <v>135</v>
      </c>
      <c r="AR376" s="10" t="s">
        <v>917</v>
      </c>
      <c r="AS376" s="50" t="s">
        <v>1863</v>
      </c>
      <c r="AT376" s="8">
        <v>45908</v>
      </c>
      <c r="AU376" s="8">
        <v>45919</v>
      </c>
      <c r="AV376" s="8">
        <v>45926</v>
      </c>
      <c r="AW376" s="20" t="s">
        <v>1803</v>
      </c>
      <c r="AX376" s="8">
        <v>45929</v>
      </c>
      <c r="AY376" s="20" t="s">
        <v>1804</v>
      </c>
      <c r="AZ376" s="8">
        <v>45943</v>
      </c>
      <c r="BA376" s="8">
        <v>45968</v>
      </c>
      <c r="BD376" s="2" t="str">
        <f t="shared" si="15"/>
        <v>Line Construction Completed</v>
      </c>
      <c r="BE376" s="2">
        <v>11</v>
      </c>
      <c r="BF376" s="2" t="s">
        <v>1864</v>
      </c>
      <c r="BG376" s="2" t="e">
        <v>#N/A</v>
      </c>
      <c r="BH376" s="2" t="e" vm="1">
        <v>#REF!</v>
      </c>
    </row>
    <row r="377" spans="1:60" hidden="1" x14ac:dyDescent="0.25">
      <c r="B377" s="2" t="s">
        <v>1865</v>
      </c>
      <c r="C377" s="2" t="s">
        <v>1866</v>
      </c>
      <c r="D377" s="44" t="s">
        <v>1867</v>
      </c>
      <c r="E377" s="2" t="s">
        <v>5</v>
      </c>
      <c r="F377" s="2" t="s">
        <v>912</v>
      </c>
      <c r="G377" s="2" t="s">
        <v>1</v>
      </c>
      <c r="H377" s="2" t="s">
        <v>139</v>
      </c>
      <c r="I377" s="2" t="s">
        <v>140</v>
      </c>
      <c r="J377" s="2" t="s">
        <v>224</v>
      </c>
      <c r="K377" s="2" t="s">
        <v>913</v>
      </c>
      <c r="L377" s="2" t="s">
        <v>1868</v>
      </c>
      <c r="M377" s="2">
        <v>0</v>
      </c>
      <c r="N377" s="2">
        <v>0</v>
      </c>
      <c r="O377" s="2">
        <v>0</v>
      </c>
      <c r="P377" s="2" t="s">
        <v>82</v>
      </c>
      <c r="Q377" s="2" t="s">
        <v>73</v>
      </c>
      <c r="R377" s="29" t="e">
        <f>IF(INDEX(#REF!,MATCH('data '!$B377,#REF!,0),MATCH('data '!R$3,#REF!,0))=0,"",INDEX(#REF!,MATCH('data '!$B377,#REF!,0),MATCH('data '!R$3,#REF!,0)))</f>
        <v>#REF!</v>
      </c>
      <c r="S377" s="29" t="e">
        <f>IF(INDEX(#REF!,MATCH('data '!$B377,#REF!,0),MATCH('data '!S$3,#REF!,0))=0,"",INDEX(#REF!,MATCH('data '!$B377,#REF!,0),MATCH('data '!S$3,#REF!,0)))</f>
        <v>#REF!</v>
      </c>
      <c r="T377" s="29" t="e">
        <f>IF(INDEX(#REF!,MATCH('data '!$B377,#REF!,0),MATCH('data '!T$3,#REF!,0))=0,"",INDEX(#REF!,MATCH('data '!$B377,#REF!,0),MATCH('data '!T$3,#REF!,0)))</f>
        <v>#REF!</v>
      </c>
      <c r="U377" s="8" t="s">
        <v>25</v>
      </c>
      <c r="V377" s="25" t="s">
        <v>87</v>
      </c>
      <c r="W377" s="25" t="s">
        <v>144</v>
      </c>
      <c r="X377" s="9" t="s">
        <v>25</v>
      </c>
      <c r="Y377" s="53">
        <v>45982</v>
      </c>
      <c r="AC377" s="8" t="e">
        <f>VLOOKUP(B377,#REF!,19,0)</f>
        <v>#REF!</v>
      </c>
      <c r="AE377" s="8" t="s">
        <v>212</v>
      </c>
      <c r="AF377" s="21">
        <v>45938</v>
      </c>
      <c r="AP377" s="8" t="str">
        <f t="shared" si="14"/>
        <v>Vendor Allocated</v>
      </c>
      <c r="AQ377" s="10" t="b" cm="1">
        <f t="array" aca="1" ref="AQ377" ca="1">IF(AM377&gt;0,(TODAY()-AM377),IF(AL377&gt;0,(TODAY()-AL377),IF(AK377&gt;0,(TODAY()-AK377,IF(AI377&gt;0,(TODAY()-AI377),IF(AG377&gt;0,(TODAY()-AG377),IF(AF377&gt;0,(TODAY()-AF377),IF(X377&gt;0,(TODAY()-X377)," "))))))))</f>
        <v>0</v>
      </c>
      <c r="BD377" s="2" t="str">
        <f t="shared" si="15"/>
        <v>Vendor Allocated</v>
      </c>
      <c r="BE377" s="2">
        <v>2</v>
      </c>
      <c r="BG377" s="2" t="s">
        <v>1869</v>
      </c>
      <c r="BH377" s="2" t="e" vm="1">
        <v>#REF!</v>
      </c>
    </row>
    <row r="378" spans="1:60" hidden="1" x14ac:dyDescent="0.25">
      <c r="A378" s="48"/>
      <c r="B378" s="7" t="s">
        <v>1870</v>
      </c>
      <c r="C378" s="2" t="s">
        <v>1871</v>
      </c>
      <c r="D378" s="44" t="s">
        <v>1872</v>
      </c>
      <c r="E378" s="2" t="s">
        <v>3</v>
      </c>
      <c r="F378" s="2" t="s">
        <v>279</v>
      </c>
      <c r="G378" s="2" t="s">
        <v>1</v>
      </c>
      <c r="H378" s="2" t="s">
        <v>139</v>
      </c>
      <c r="I378" s="2" t="s">
        <v>140</v>
      </c>
      <c r="J378" s="2" t="s">
        <v>141</v>
      </c>
      <c r="K378" s="2" t="s">
        <v>280</v>
      </c>
      <c r="L378" s="2" t="s">
        <v>1809</v>
      </c>
      <c r="M378" s="2">
        <v>0</v>
      </c>
      <c r="N378" s="2">
        <v>0</v>
      </c>
      <c r="O378" s="2">
        <v>0</v>
      </c>
      <c r="P378" s="2" t="s">
        <v>133</v>
      </c>
      <c r="Q378" s="2" t="s">
        <v>73</v>
      </c>
      <c r="R378" s="29" t="e">
        <f>IF(INDEX(#REF!,MATCH('data '!$B378,#REF!,0),MATCH('data '!R$3,#REF!,0))=0,"",INDEX(#REF!,MATCH('data '!$B378,#REF!,0),MATCH('data '!R$3,#REF!,0)))</f>
        <v>#REF!</v>
      </c>
      <c r="S378" s="29" t="e">
        <f>IF(INDEX(#REF!,MATCH('data '!$B378,#REF!,0),MATCH('data '!S$3,#REF!,0))=0,"",INDEX(#REF!,MATCH('data '!$B378,#REF!,0),MATCH('data '!S$3,#REF!,0)))</f>
        <v>#REF!</v>
      </c>
      <c r="T378" s="29" t="e">
        <f>IF(INDEX(#REF!,MATCH('data '!$B378,#REF!,0),MATCH('data '!T$3,#REF!,0))=0,"",INDEX(#REF!,MATCH('data '!$B378,#REF!,0),MATCH('data '!T$3,#REF!,0)))</f>
        <v>#REF!</v>
      </c>
      <c r="U378" s="8" t="s">
        <v>25</v>
      </c>
      <c r="V378" s="25" t="s">
        <v>160</v>
      </c>
      <c r="W378" s="25" t="s">
        <v>144</v>
      </c>
      <c r="X378" s="9" t="s">
        <v>25</v>
      </c>
      <c r="AC378" s="8" t="e">
        <f>VLOOKUP(B378,#REF!,19,0)</f>
        <v>#REF!</v>
      </c>
      <c r="AE378" s="8" t="s">
        <v>145</v>
      </c>
      <c r="AF378" s="21">
        <v>45938</v>
      </c>
      <c r="AG378" s="8">
        <v>45975</v>
      </c>
      <c r="AH378" s="8" t="s">
        <v>1873</v>
      </c>
      <c r="AI378" s="8">
        <v>45979</v>
      </c>
      <c r="AJ378" s="8" t="s">
        <v>1874</v>
      </c>
      <c r="AK378" s="8">
        <v>45973</v>
      </c>
      <c r="AL378" s="8">
        <v>45978</v>
      </c>
      <c r="AM378" s="8">
        <v>45988</v>
      </c>
      <c r="AP378" s="8" t="str">
        <f t="shared" si="14"/>
        <v>Tempo Energized</v>
      </c>
      <c r="AQ378" s="10" cm="1">
        <f t="array" aca="1" ref="AQ378" ca="1">IF(AM378&gt;0,(TODAY()-AM378),IF(AL378&gt;0,(TODAY()-AL378),IF(AK378&gt;0,(TODAY()-AK378,IF(AI378&gt;0,(TODAY()-AI378),IF(AG378&gt;0,(TODAY()-AG378),IF(AF378&gt;0,(TODAY()-AF378),IF(X378&gt;0,(TODAY()-X378)," "))))))))</f>
        <v>118</v>
      </c>
      <c r="AT378" s="8">
        <v>45994</v>
      </c>
      <c r="AU378" s="11"/>
      <c r="AV378" s="11"/>
      <c r="AW378" s="11"/>
      <c r="AX378" s="11"/>
      <c r="AY378" s="11"/>
      <c r="BD378" s="2" t="str">
        <f t="shared" si="15"/>
        <v>BoQ Submitted</v>
      </c>
      <c r="BE378" s="2">
        <v>2</v>
      </c>
      <c r="BG378" s="2" t="s">
        <v>149</v>
      </c>
      <c r="BH378" s="2" t="e" vm="1">
        <v>#REF!</v>
      </c>
    </row>
    <row r="379" spans="1:60" hidden="1" x14ac:dyDescent="0.25">
      <c r="B379" s="2" t="s">
        <v>1875</v>
      </c>
      <c r="C379" s="2" t="s">
        <v>1876</v>
      </c>
      <c r="D379" s="44" t="s">
        <v>1877</v>
      </c>
      <c r="E379" s="2" t="s">
        <v>5</v>
      </c>
      <c r="F379" s="14" t="s">
        <v>1878</v>
      </c>
      <c r="G379" s="2" t="s">
        <v>1</v>
      </c>
      <c r="H379" s="2" t="s">
        <v>139</v>
      </c>
      <c r="I379" s="2" t="s">
        <v>140</v>
      </c>
      <c r="J379" s="2" t="s">
        <v>224</v>
      </c>
      <c r="K379" s="2" t="s">
        <v>913</v>
      </c>
      <c r="L379" s="2" t="s">
        <v>1879</v>
      </c>
      <c r="M379" s="2">
        <v>0</v>
      </c>
      <c r="N379" s="2">
        <v>16.79438</v>
      </c>
      <c r="O379" s="2">
        <v>121.94816</v>
      </c>
      <c r="P379" s="2" t="s">
        <v>87</v>
      </c>
      <c r="Q379" s="2" t="s">
        <v>73</v>
      </c>
      <c r="R379" s="29" t="e">
        <f>IF(INDEX(#REF!,MATCH('data '!$B379,#REF!,0),MATCH('data '!R$3,#REF!,0))=0,"",INDEX(#REF!,MATCH('data '!$B379,#REF!,0),MATCH('data '!R$3,#REF!,0)))</f>
        <v>#REF!</v>
      </c>
      <c r="S379" s="29" t="e">
        <f>IF(INDEX(#REF!,MATCH('data '!$B379,#REF!,0),MATCH('data '!S$3,#REF!,0))=0,"",INDEX(#REF!,MATCH('data '!$B379,#REF!,0),MATCH('data '!S$3,#REF!,0)))</f>
        <v>#REF!</v>
      </c>
      <c r="T379" s="29" t="e">
        <f>IF(INDEX(#REF!,MATCH('data '!$B379,#REF!,0),MATCH('data '!T$3,#REF!,0))=0,"",INDEX(#REF!,MATCH('data '!$B379,#REF!,0),MATCH('data '!T$3,#REF!,0)))</f>
        <v>#REF!</v>
      </c>
      <c r="U379" s="8" t="s">
        <v>25</v>
      </c>
      <c r="V379" s="25" t="s">
        <v>95</v>
      </c>
      <c r="W379" s="25">
        <v>0</v>
      </c>
      <c r="AC379" s="8" t="e">
        <f>VLOOKUP(B379,#REF!,19,0)</f>
        <v>#REF!</v>
      </c>
      <c r="AE379" s="8" t="s">
        <v>438</v>
      </c>
      <c r="AF379" s="8">
        <v>45908</v>
      </c>
      <c r="AG379" s="8">
        <v>45908</v>
      </c>
      <c r="AH379" s="8" t="s">
        <v>641</v>
      </c>
      <c r="AI379" s="8">
        <v>45909</v>
      </c>
      <c r="AJ379" s="8" t="s">
        <v>642</v>
      </c>
      <c r="AK379" s="8">
        <v>45916</v>
      </c>
      <c r="AO379" s="8" t="s">
        <v>25</v>
      </c>
      <c r="AP379" s="8" t="str">
        <f t="shared" si="14"/>
        <v>COOP Surveyed</v>
      </c>
      <c r="AS379" s="8" t="s">
        <v>1880</v>
      </c>
      <c r="AT379" s="8">
        <v>45943</v>
      </c>
      <c r="AU379" s="11"/>
      <c r="AV379" s="11"/>
      <c r="AW379" s="11"/>
      <c r="AX379" s="11"/>
      <c r="AY379" s="11"/>
      <c r="BD379" s="2" t="str">
        <f t="shared" si="15"/>
        <v>BoQ Submitted</v>
      </c>
      <c r="BE379" s="2">
        <v>32</v>
      </c>
      <c r="BF379" s="2" t="s">
        <v>1881</v>
      </c>
      <c r="BG379" s="2" t="e">
        <v>#N/A</v>
      </c>
      <c r="BH379" s="2" t="e" vm="1">
        <v>#REF!</v>
      </c>
    </row>
    <row r="380" spans="1:60" hidden="1" x14ac:dyDescent="0.25">
      <c r="B380" s="2" t="s">
        <v>1882</v>
      </c>
      <c r="C380" s="2" t="s">
        <v>1883</v>
      </c>
      <c r="D380" s="44" t="s">
        <v>1884</v>
      </c>
      <c r="E380" s="2" t="s">
        <v>3</v>
      </c>
      <c r="F380" s="2" t="s">
        <v>565</v>
      </c>
      <c r="G380" s="2" t="s">
        <v>1</v>
      </c>
      <c r="H380" s="2" t="s">
        <v>120</v>
      </c>
      <c r="I380" s="2" t="s">
        <v>140</v>
      </c>
      <c r="J380" s="2" t="s">
        <v>209</v>
      </c>
      <c r="K380" s="2" t="s">
        <v>566</v>
      </c>
      <c r="L380" s="2" t="s">
        <v>1885</v>
      </c>
      <c r="M380" s="2">
        <v>0</v>
      </c>
      <c r="N380" s="2">
        <v>0</v>
      </c>
      <c r="O380" s="2">
        <v>0</v>
      </c>
      <c r="P380" s="2" t="s">
        <v>568</v>
      </c>
      <c r="Q380" s="2" t="s">
        <v>73</v>
      </c>
      <c r="R380" s="29" t="e">
        <f>IF(INDEX(#REF!,MATCH('data '!$B380,#REF!,0),MATCH('data '!R$3,#REF!,0))=0,"",INDEX(#REF!,MATCH('data '!$B380,#REF!,0),MATCH('data '!R$3,#REF!,0)))</f>
        <v>#REF!</v>
      </c>
      <c r="S380" s="29" t="e">
        <f>IF(INDEX(#REF!,MATCH('data '!$B380,#REF!,0),MATCH('data '!S$3,#REF!,0))=0,"",INDEX(#REF!,MATCH('data '!$B380,#REF!,0),MATCH('data '!S$3,#REF!,0)))</f>
        <v>#REF!</v>
      </c>
      <c r="T380" s="29" t="e">
        <f>IF(INDEX(#REF!,MATCH('data '!$B380,#REF!,0),MATCH('data '!T$3,#REF!,0))=0,"",INDEX(#REF!,MATCH('data '!$B380,#REF!,0),MATCH('data '!T$3,#REF!,0)))</f>
        <v>#REF!</v>
      </c>
      <c r="V380" s="25" t="s">
        <v>204</v>
      </c>
      <c r="W380" s="25">
        <v>0</v>
      </c>
      <c r="AC380" s="8" t="e">
        <f>VLOOKUP(B380,#REF!,19,0)</f>
        <v>#REF!</v>
      </c>
      <c r="AP380" s="8" t="str">
        <f t="shared" si="14"/>
        <v>Not yet endorsed</v>
      </c>
      <c r="AQ380" s="10" t="b" cm="1">
        <f t="array" aca="1" ref="AQ380" ca="1">IF(AM380&gt;0,(TODAY()-AM380),IF(AL380&gt;0,(TODAY()-AL380),IF(AK380&gt;0,(TODAY()-AK380,IF(AI380&gt;0,(TODAY()-AI380),IF(AG380&gt;0,(TODAY()-AG380),IF(AF380&gt;0,(TODAY()-AF380),IF(X380&gt;0,(TODAY()-X380)," "))))))))</f>
        <v>0</v>
      </c>
      <c r="BD380" s="2" t="str">
        <f t="shared" si="15"/>
        <v>Not yet endorsed</v>
      </c>
      <c r="BE380" s="2" t="s">
        <v>75</v>
      </c>
      <c r="BG380" s="2" t="e">
        <v>#N/A</v>
      </c>
      <c r="BH380" s="2" t="e" vm="1">
        <v>#REF!</v>
      </c>
    </row>
    <row r="381" spans="1:60" ht="60" hidden="1" x14ac:dyDescent="0.25">
      <c r="B381" s="42" t="s">
        <v>1886</v>
      </c>
      <c r="C381" s="2" t="s">
        <v>1887</v>
      </c>
      <c r="D381" s="45" t="s">
        <v>1888</v>
      </c>
      <c r="E381" s="2" t="s">
        <v>5</v>
      </c>
      <c r="F381" s="14" t="s">
        <v>912</v>
      </c>
      <c r="G381" s="2" t="s">
        <v>1</v>
      </c>
      <c r="H381" s="2" t="s">
        <v>139</v>
      </c>
      <c r="I381" s="2" t="s">
        <v>140</v>
      </c>
      <c r="J381" s="2" t="s">
        <v>224</v>
      </c>
      <c r="K381" s="2" t="s">
        <v>913</v>
      </c>
      <c r="L381" s="2" t="s">
        <v>1572</v>
      </c>
      <c r="M381" s="2">
        <v>0</v>
      </c>
      <c r="N381" s="2">
        <v>17.258565999999998</v>
      </c>
      <c r="O381" s="2">
        <v>121.63379999999999</v>
      </c>
      <c r="P381" s="2" t="s">
        <v>87</v>
      </c>
      <c r="Q381" s="2" t="s">
        <v>265</v>
      </c>
      <c r="R381" s="29" t="e">
        <f>IF(INDEX(#REF!,MATCH('data '!$B381,#REF!,0),MATCH('data '!R$3,#REF!,0))=0,"",INDEX(#REF!,MATCH('data '!$B381,#REF!,0),MATCH('data '!R$3,#REF!,0)))</f>
        <v>#REF!</v>
      </c>
      <c r="S381" s="29" t="e">
        <f>IF(INDEX(#REF!,MATCH('data '!$B381,#REF!,0),MATCH('data '!S$3,#REF!,0))=0,"",INDEX(#REF!,MATCH('data '!$B381,#REF!,0),MATCH('data '!S$3,#REF!,0)))</f>
        <v>#REF!</v>
      </c>
      <c r="T381" s="29" t="e">
        <f>IF(INDEX(#REF!,MATCH('data '!$B381,#REF!,0),MATCH('data '!T$3,#REF!,0))=0,"",INDEX(#REF!,MATCH('data '!$B381,#REF!,0),MATCH('data '!T$3,#REF!,0)))</f>
        <v>#REF!</v>
      </c>
      <c r="U381" s="8" t="s">
        <v>25</v>
      </c>
      <c r="V381" s="25" t="s">
        <v>266</v>
      </c>
      <c r="W381" s="25" t="s">
        <v>144</v>
      </c>
      <c r="X381" s="9" t="s">
        <v>25</v>
      </c>
      <c r="Y381" s="9">
        <v>45822</v>
      </c>
      <c r="Z381" s="8">
        <v>45876</v>
      </c>
      <c r="AC381" s="8" t="e">
        <f>VLOOKUP(B381,#REF!,19,0)</f>
        <v>#REF!</v>
      </c>
      <c r="AE381" s="8" t="s">
        <v>438</v>
      </c>
      <c r="AF381" s="8">
        <v>45912</v>
      </c>
      <c r="AG381" s="8">
        <v>45943</v>
      </c>
      <c r="AH381" s="8" t="s">
        <v>924</v>
      </c>
      <c r="AI381" s="8">
        <v>45945</v>
      </c>
      <c r="AJ381" s="8" t="s">
        <v>925</v>
      </c>
      <c r="AK381" s="8">
        <v>45936</v>
      </c>
      <c r="AL381" s="8">
        <v>45950</v>
      </c>
      <c r="AM381" s="8">
        <v>45978</v>
      </c>
      <c r="AP381" s="8" t="str">
        <f t="shared" si="14"/>
        <v>Tempo Energized</v>
      </c>
      <c r="AQ381" s="10" cm="1">
        <f t="array" aca="1" ref="AQ381" ca="1">IF(AM381&gt;0,(TODAY()-AM381),IF(AL381&gt;0,(TODAY()-AL381),IF(AK381&gt;0,(TODAY()-AK381,IF(AI381&gt;0,(TODAY()-AI381),IF(AG381&gt;0,(TODAY()-AG381),IF(AF381&gt;0,(TODAY()-AF381),IF(X381&gt;0,(TODAY()-X381)," "))))))))</f>
        <v>128</v>
      </c>
      <c r="AR381" s="10" t="s">
        <v>1841</v>
      </c>
      <c r="AS381" s="50" t="s">
        <v>1889</v>
      </c>
      <c r="AT381" s="8">
        <v>45919</v>
      </c>
      <c r="AU381" s="8">
        <v>45950</v>
      </c>
      <c r="AV381" s="8">
        <v>45950</v>
      </c>
      <c r="AW381" s="8" t="s">
        <v>927</v>
      </c>
      <c r="AX381" s="8">
        <v>45950</v>
      </c>
      <c r="AY381" s="8" t="s">
        <v>928</v>
      </c>
      <c r="AZ381" s="8">
        <v>45960</v>
      </c>
      <c r="BA381" s="8">
        <v>45968</v>
      </c>
      <c r="BB381" s="8">
        <v>45971</v>
      </c>
      <c r="BD381" s="2" t="str">
        <f t="shared" si="15"/>
        <v>Bill deposit Paid</v>
      </c>
      <c r="BE381" s="2">
        <v>21</v>
      </c>
      <c r="BF381" s="2" t="s">
        <v>1890</v>
      </c>
      <c r="BG381" s="2" t="e">
        <v>#N/A</v>
      </c>
      <c r="BH381" s="2" t="e" vm="1">
        <v>#REF!</v>
      </c>
    </row>
    <row r="382" spans="1:60" hidden="1" x14ac:dyDescent="0.25">
      <c r="B382" s="42" t="s">
        <v>1891</v>
      </c>
      <c r="C382" s="42" t="s">
        <v>1892</v>
      </c>
      <c r="D382" s="44" t="s">
        <v>1893</v>
      </c>
      <c r="E382" s="2" t="s">
        <v>5</v>
      </c>
      <c r="F382" s="2" t="s">
        <v>1647</v>
      </c>
      <c r="G382" s="2" t="s">
        <v>1</v>
      </c>
      <c r="H382" s="2" t="s">
        <v>139</v>
      </c>
      <c r="I382" s="2" t="s">
        <v>140</v>
      </c>
      <c r="J382" s="2" t="s">
        <v>224</v>
      </c>
      <c r="K382" s="2" t="s">
        <v>225</v>
      </c>
      <c r="L382" s="2" t="s">
        <v>1894</v>
      </c>
      <c r="M382" s="2">
        <v>0</v>
      </c>
      <c r="N382" s="2">
        <v>17.945504589999999</v>
      </c>
      <c r="O382" s="2">
        <v>121.6457106</v>
      </c>
      <c r="P382" s="2" t="s">
        <v>87</v>
      </c>
      <c r="Q382" s="2" t="s">
        <v>219</v>
      </c>
      <c r="R382" s="29" t="e">
        <f>IF(INDEX(#REF!,MATCH('data '!$B382,#REF!,0),MATCH('data '!R$3,#REF!,0))=0,"",INDEX(#REF!,MATCH('data '!$B382,#REF!,0),MATCH('data '!R$3,#REF!,0)))</f>
        <v>#REF!</v>
      </c>
      <c r="S382" s="29" t="e">
        <f>IF(INDEX(#REF!,MATCH('data '!$B382,#REF!,0),MATCH('data '!S$3,#REF!,0))=0,"",INDEX(#REF!,MATCH('data '!$B382,#REF!,0),MATCH('data '!S$3,#REF!,0)))</f>
        <v>#REF!</v>
      </c>
      <c r="T382" s="29" t="e">
        <f>IF(INDEX(#REF!,MATCH('data '!$B382,#REF!,0),MATCH('data '!T$3,#REF!,0))=0,"",INDEX(#REF!,MATCH('data '!$B382,#REF!,0),MATCH('data '!T$3,#REF!,0)))</f>
        <v>#REF!</v>
      </c>
      <c r="V382" s="25" t="s">
        <v>266</v>
      </c>
      <c r="W382" s="25" t="s">
        <v>144</v>
      </c>
      <c r="X382" s="9" t="s">
        <v>25</v>
      </c>
      <c r="Y382" s="9">
        <v>45863</v>
      </c>
      <c r="AC382" s="8" t="e">
        <f>VLOOKUP(B382,#REF!,19,0)</f>
        <v>#REF!</v>
      </c>
      <c r="AE382" s="8" t="s">
        <v>420</v>
      </c>
      <c r="AF382" s="8">
        <v>45908</v>
      </c>
      <c r="AG382" s="8">
        <v>45908</v>
      </c>
      <c r="AH382" s="8" t="s">
        <v>1895</v>
      </c>
      <c r="AI382" s="8">
        <v>45909</v>
      </c>
      <c r="AJ382" s="8" t="s">
        <v>1896</v>
      </c>
      <c r="AK382" s="8">
        <v>45916</v>
      </c>
      <c r="AL382" s="8">
        <v>45930</v>
      </c>
      <c r="AM382" s="8">
        <v>45937</v>
      </c>
      <c r="AP382" s="8" t="str">
        <f t="shared" si="14"/>
        <v>Tempo Energized</v>
      </c>
      <c r="AS382" s="8" t="s">
        <v>1897</v>
      </c>
      <c r="AT382" s="8">
        <v>45915</v>
      </c>
      <c r="AU382" s="11"/>
      <c r="AV382" s="11"/>
      <c r="AW382" s="11"/>
      <c r="AX382" s="11"/>
      <c r="AY382" s="11"/>
      <c r="BD382" s="2" t="str">
        <f t="shared" si="15"/>
        <v>BoQ Submitted</v>
      </c>
      <c r="BE382" s="2">
        <v>25</v>
      </c>
      <c r="BG382" s="2" t="e">
        <v>#N/A</v>
      </c>
      <c r="BH382" s="2" t="e" vm="1">
        <v>#REF!</v>
      </c>
    </row>
    <row r="383" spans="1:60" hidden="1" x14ac:dyDescent="0.25">
      <c r="B383" s="2" t="s">
        <v>1898</v>
      </c>
      <c r="C383" s="2" t="s">
        <v>1899</v>
      </c>
      <c r="D383" s="44" t="s">
        <v>1900</v>
      </c>
      <c r="E383" s="2" t="s">
        <v>3</v>
      </c>
      <c r="F383" s="2" t="s">
        <v>138</v>
      </c>
      <c r="G383" s="2" t="s">
        <v>1</v>
      </c>
      <c r="H383" s="2" t="s">
        <v>139</v>
      </c>
      <c r="I383" s="2" t="s">
        <v>140</v>
      </c>
      <c r="J383" s="2" t="s">
        <v>141</v>
      </c>
      <c r="K383" s="2" t="s">
        <v>142</v>
      </c>
      <c r="L383" s="7" t="s">
        <v>1901</v>
      </c>
      <c r="M383" s="2">
        <v>0</v>
      </c>
      <c r="N383" s="2">
        <v>17.2499</v>
      </c>
      <c r="O383" s="2">
        <v>120.5215</v>
      </c>
      <c r="P383" s="2" t="s">
        <v>87</v>
      </c>
      <c r="Q383" s="2" t="s">
        <v>198</v>
      </c>
      <c r="R383" s="29" t="e">
        <f>IF(INDEX(#REF!,MATCH('data '!$B383,#REF!,0),MATCH('data '!R$3,#REF!,0))=0,"",INDEX(#REF!,MATCH('data '!$B383,#REF!,0),MATCH('data '!R$3,#REF!,0)))</f>
        <v>#REF!</v>
      </c>
      <c r="S383" s="29" t="e">
        <f>IF(INDEX(#REF!,MATCH('data '!$B383,#REF!,0),MATCH('data '!S$3,#REF!,0))=0,"",INDEX(#REF!,MATCH('data '!$B383,#REF!,0),MATCH('data '!S$3,#REF!,0)))</f>
        <v>#REF!</v>
      </c>
      <c r="T383" s="29" t="e">
        <f>IF(INDEX(#REF!,MATCH('data '!$B383,#REF!,0),MATCH('data '!T$3,#REF!,0))=0,"",INDEX(#REF!,MATCH('data '!$B383,#REF!,0),MATCH('data '!T$3,#REF!,0)))</f>
        <v>#REF!</v>
      </c>
      <c r="U383" s="8" t="s">
        <v>25</v>
      </c>
      <c r="V383" s="25" t="s">
        <v>185</v>
      </c>
      <c r="W383" s="25" t="s">
        <v>144</v>
      </c>
      <c r="X383" s="9" t="s">
        <v>25</v>
      </c>
      <c r="Y383" s="9">
        <v>45894</v>
      </c>
      <c r="AC383" s="8" t="e">
        <f>VLOOKUP(B383,#REF!,19,0)</f>
        <v>#REF!</v>
      </c>
      <c r="AE383" s="8" t="s">
        <v>145</v>
      </c>
      <c r="AF383" s="8">
        <v>45908</v>
      </c>
      <c r="AG383" s="8">
        <v>45908</v>
      </c>
      <c r="AH383" s="8" t="s">
        <v>398</v>
      </c>
      <c r="AI383" s="8">
        <v>45909</v>
      </c>
      <c r="AJ383" s="8" t="s">
        <v>399</v>
      </c>
      <c r="AK383" s="8">
        <v>45916</v>
      </c>
      <c r="AL383" s="8">
        <v>45952</v>
      </c>
      <c r="AM383" s="8">
        <v>45959</v>
      </c>
      <c r="AP383" s="8" t="str">
        <f t="shared" si="14"/>
        <v>Tempo Energized</v>
      </c>
      <c r="AS383" s="8" t="s">
        <v>400</v>
      </c>
      <c r="AT383" s="8">
        <v>45945</v>
      </c>
      <c r="AU383" s="8">
        <v>45968</v>
      </c>
      <c r="AV383" s="8">
        <v>45968</v>
      </c>
      <c r="AW383" s="8" t="s">
        <v>1902</v>
      </c>
      <c r="AX383" s="8">
        <v>45971</v>
      </c>
      <c r="AY383" s="8" t="s">
        <v>1903</v>
      </c>
      <c r="BD383" s="2" t="str">
        <f t="shared" si="15"/>
        <v>PO Issued</v>
      </c>
      <c r="BE383" s="2">
        <v>32</v>
      </c>
      <c r="BG383" s="2" t="e">
        <v>#N/A</v>
      </c>
      <c r="BH383" s="2" t="e" vm="1">
        <v>#REF!</v>
      </c>
    </row>
    <row r="384" spans="1:60" hidden="1" x14ac:dyDescent="0.25">
      <c r="B384" s="2" t="s">
        <v>1904</v>
      </c>
      <c r="C384" s="2" t="s">
        <v>1905</v>
      </c>
      <c r="D384" s="44" t="s">
        <v>1906</v>
      </c>
      <c r="E384" s="2" t="s">
        <v>3</v>
      </c>
      <c r="F384" s="2" t="s">
        <v>279</v>
      </c>
      <c r="G384" s="2" t="s">
        <v>1</v>
      </c>
      <c r="H384" s="2" t="s">
        <v>139</v>
      </c>
      <c r="I384" s="2" t="s">
        <v>140</v>
      </c>
      <c r="J384" s="2" t="s">
        <v>141</v>
      </c>
      <c r="K384" s="2" t="s">
        <v>280</v>
      </c>
      <c r="L384" s="2" t="s">
        <v>1749</v>
      </c>
      <c r="M384" s="2">
        <v>0</v>
      </c>
      <c r="N384" s="2">
        <v>0</v>
      </c>
      <c r="O384" s="2">
        <v>0</v>
      </c>
      <c r="P384" s="2" t="s">
        <v>82</v>
      </c>
      <c r="Q384" s="2" t="s">
        <v>73</v>
      </c>
      <c r="R384" s="29" t="e">
        <f>IF(INDEX(#REF!,MATCH('data '!$B384,#REF!,0),MATCH('data '!R$3,#REF!,0))=0,"",INDEX(#REF!,MATCH('data '!$B384,#REF!,0),MATCH('data '!R$3,#REF!,0)))</f>
        <v>#REF!</v>
      </c>
      <c r="S384" s="29" t="e">
        <f>IF(INDEX(#REF!,MATCH('data '!$B384,#REF!,0),MATCH('data '!S$3,#REF!,0))=0,"",INDEX(#REF!,MATCH('data '!$B384,#REF!,0),MATCH('data '!S$3,#REF!,0)))</f>
        <v>#REF!</v>
      </c>
      <c r="T384" s="29" t="e">
        <f>IF(INDEX(#REF!,MATCH('data '!$B384,#REF!,0),MATCH('data '!T$3,#REF!,0))=0,"",INDEX(#REF!,MATCH('data '!$B384,#REF!,0),MATCH('data '!T$3,#REF!,0)))</f>
        <v>#REF!</v>
      </c>
      <c r="V384" s="25" t="s">
        <v>82</v>
      </c>
      <c r="W384" s="25" t="s">
        <v>83</v>
      </c>
      <c r="AC384" s="8" t="e">
        <f>VLOOKUP(B384,#REF!,19,0)</f>
        <v>#REF!</v>
      </c>
      <c r="AE384" s="8" t="s">
        <v>145</v>
      </c>
      <c r="AF384" s="21">
        <v>45938</v>
      </c>
      <c r="AP384" s="8" t="str">
        <f t="shared" ref="AP384:AP415" si="16">IF(AM384&gt;0,"Tempo Energized",IF(AL384&gt;0,"Tempo Permit Released",IF(AK384&gt;0,"COOP Surveyed",IF(AI384&gt;0,"PO Issued",IF(AG384&gt;0,"PQ Raised",IF(AF384&gt;0,"Vendor Allocated",IF(X384&gt;0,"BP Secured","Not yet endorsed")))))))</f>
        <v>Vendor Allocated</v>
      </c>
      <c r="AQ384" s="10" t="b" cm="1">
        <f t="array" aca="1" ref="AQ384" ca="1">IF(AM384&gt;0,(TODAY()-AM384),IF(AL384&gt;0,(TODAY()-AL384),IF(AK384&gt;0,(TODAY()-AK384,IF(AI384&gt;0,(TODAY()-AI384),IF(AG384&gt;0,(TODAY()-AG384),IF(AF384&gt;0,(TODAY()-AF384),IF(X384&gt;0,(TODAY()-X384)," "))))))))</f>
        <v>0</v>
      </c>
      <c r="BD384" s="2" t="str">
        <f t="shared" ref="BD384:BD415" si="17">IF(BC384&gt;0,"Permanent Energized",IF(BB384&gt;0,"Bill deposit Paid",IF(BA384&gt;0,"Line Construction Completed",IF(AZ384&gt;0,"Line Construction Started",IF(AX384&gt;0,"PO Issued",IF(AV384&gt;0,"PQ Raised",IF(AU384&gt;0,"BoQ Approved",IF(AT384&gt;0,"BoQ Submitted",IF(AF384&gt;0,"Vendor Allocated",IF(X384&gt;0,"BP Secured",IF(U384&gt;0,"TSSR Approved","Not yet endorsed")))))))))))</f>
        <v>Vendor Allocated</v>
      </c>
      <c r="BE384" s="2">
        <v>2</v>
      </c>
      <c r="BG384" s="2" t="s">
        <v>149</v>
      </c>
      <c r="BH384" s="2" t="e" vm="1">
        <v>#REF!</v>
      </c>
    </row>
    <row r="385" spans="2:60" hidden="1" x14ac:dyDescent="0.25">
      <c r="B385" s="7" t="s">
        <v>1907</v>
      </c>
      <c r="C385" s="2" t="s">
        <v>1908</v>
      </c>
      <c r="D385" s="44" t="s">
        <v>1909</v>
      </c>
      <c r="E385" s="2" t="s">
        <v>3</v>
      </c>
      <c r="F385" s="2" t="s">
        <v>279</v>
      </c>
      <c r="G385" s="2" t="s">
        <v>1</v>
      </c>
      <c r="H385" s="2" t="s">
        <v>139</v>
      </c>
      <c r="I385" s="2" t="s">
        <v>140</v>
      </c>
      <c r="J385" s="2" t="s">
        <v>141</v>
      </c>
      <c r="K385" s="2" t="s">
        <v>280</v>
      </c>
      <c r="L385" s="2" t="s">
        <v>1809</v>
      </c>
      <c r="M385" s="2">
        <v>0</v>
      </c>
      <c r="N385" s="2">
        <v>0</v>
      </c>
      <c r="O385" s="2">
        <v>0</v>
      </c>
      <c r="P385" s="2" t="s">
        <v>87</v>
      </c>
      <c r="Q385" s="2" t="s">
        <v>73</v>
      </c>
      <c r="R385" s="29" t="e">
        <f>IF(INDEX(#REF!,MATCH('data '!$B385,#REF!,0),MATCH('data '!R$3,#REF!,0))=0,"",INDEX(#REF!,MATCH('data '!$B385,#REF!,0),MATCH('data '!R$3,#REF!,0)))</f>
        <v>#REF!</v>
      </c>
      <c r="S385" s="29" t="e">
        <f>IF(INDEX(#REF!,MATCH('data '!$B385,#REF!,0),MATCH('data '!S$3,#REF!,0))=0,"",INDEX(#REF!,MATCH('data '!$B385,#REF!,0),MATCH('data '!S$3,#REF!,0)))</f>
        <v>#REF!</v>
      </c>
      <c r="T385" s="29" t="e">
        <f>IF(INDEX(#REF!,MATCH('data '!$B385,#REF!,0),MATCH('data '!T$3,#REF!,0))=0,"",INDEX(#REF!,MATCH('data '!$B385,#REF!,0),MATCH('data '!T$3,#REF!,0)))</f>
        <v>#REF!</v>
      </c>
      <c r="U385" s="8" t="s">
        <v>25</v>
      </c>
      <c r="V385" s="25" t="s">
        <v>160</v>
      </c>
      <c r="W385" s="25" t="s">
        <v>144</v>
      </c>
      <c r="X385" s="43" t="s">
        <v>25</v>
      </c>
      <c r="Y385" s="43">
        <v>45932</v>
      </c>
      <c r="AC385" s="8" t="e">
        <f>VLOOKUP(B385,#REF!,19,0)</f>
        <v>#REF!</v>
      </c>
      <c r="AE385" s="8" t="s">
        <v>145</v>
      </c>
      <c r="AF385" s="8">
        <v>45938</v>
      </c>
      <c r="AG385" s="8">
        <v>45939</v>
      </c>
      <c r="AH385" s="8" t="s">
        <v>146</v>
      </c>
      <c r="AI385" s="8">
        <v>45943</v>
      </c>
      <c r="AJ385" s="8" t="s">
        <v>147</v>
      </c>
      <c r="AK385" s="8">
        <v>45953</v>
      </c>
      <c r="AL385" s="8">
        <v>45966</v>
      </c>
      <c r="AM385" s="8">
        <v>45979</v>
      </c>
      <c r="AP385" s="8" t="str">
        <f t="shared" si="16"/>
        <v>Tempo Energized</v>
      </c>
      <c r="AQ385" s="10" cm="1">
        <f t="array" aca="1" ref="AQ385" ca="1">IF(AM385&gt;0,(TODAY()-AM385),IF(AL385&gt;0,(TODAY()-AL385),IF(AK385&gt;0,(TODAY()-AK385,IF(AI385&gt;0,(TODAY()-AI385),IF(AG385&gt;0,(TODAY()-AG385),IF(AF385&gt;0,(TODAY()-AF385),IF(X385&gt;0,(TODAY()-X385)," "))))))))</f>
        <v>127</v>
      </c>
      <c r="AT385" s="8">
        <v>45994</v>
      </c>
      <c r="AU385" s="11"/>
      <c r="AV385" s="11"/>
      <c r="AW385" s="11"/>
      <c r="AX385" s="11"/>
      <c r="AY385" s="11"/>
      <c r="BD385" s="2" t="str">
        <f t="shared" si="17"/>
        <v>BoQ Submitted</v>
      </c>
      <c r="BE385" s="2">
        <v>2</v>
      </c>
      <c r="BG385" s="2" t="s">
        <v>149</v>
      </c>
      <c r="BH385" s="2" t="e" vm="1">
        <v>#REF!</v>
      </c>
    </row>
    <row r="386" spans="2:60" hidden="1" x14ac:dyDescent="0.25">
      <c r="B386" s="2" t="s">
        <v>1910</v>
      </c>
      <c r="C386" s="2" t="s">
        <v>1911</v>
      </c>
      <c r="D386" s="44" t="s">
        <v>1912</v>
      </c>
      <c r="E386" s="2" t="s">
        <v>3</v>
      </c>
      <c r="F386" s="2" t="s">
        <v>138</v>
      </c>
      <c r="G386" s="2" t="s">
        <v>1</v>
      </c>
      <c r="H386" s="2" t="s">
        <v>139</v>
      </c>
      <c r="I386" s="2" t="s">
        <v>140</v>
      </c>
      <c r="J386" s="2" t="s">
        <v>141</v>
      </c>
      <c r="K386" s="2" t="s">
        <v>142</v>
      </c>
      <c r="L386" s="2" t="s">
        <v>406</v>
      </c>
      <c r="M386" s="2">
        <v>0</v>
      </c>
      <c r="N386" s="2">
        <v>0</v>
      </c>
      <c r="O386" s="2">
        <v>0</v>
      </c>
      <c r="P386" s="2" t="s">
        <v>789</v>
      </c>
      <c r="Q386" s="2" t="s">
        <v>73</v>
      </c>
      <c r="R386" s="29" t="e">
        <f>IF(INDEX(#REF!,MATCH('data '!$B386,#REF!,0),MATCH('data '!R$3,#REF!,0))=0,"",INDEX(#REF!,MATCH('data '!$B386,#REF!,0),MATCH('data '!R$3,#REF!,0)))</f>
        <v>#REF!</v>
      </c>
      <c r="S386" s="29" t="e">
        <f>IF(INDEX(#REF!,MATCH('data '!$B386,#REF!,0),MATCH('data '!S$3,#REF!,0))=0,"",INDEX(#REF!,MATCH('data '!$B386,#REF!,0),MATCH('data '!S$3,#REF!,0)))</f>
        <v>#REF!</v>
      </c>
      <c r="T386" s="29" t="e">
        <f>IF(INDEX(#REF!,MATCH('data '!$B386,#REF!,0),MATCH('data '!T$3,#REF!,0))=0,"",INDEX(#REF!,MATCH('data '!$B386,#REF!,0),MATCH('data '!T$3,#REF!,0)))</f>
        <v>#REF!</v>
      </c>
      <c r="V386" s="25" t="s">
        <v>204</v>
      </c>
      <c r="W386" s="25">
        <v>0</v>
      </c>
      <c r="AC386" s="8" t="e">
        <f>VLOOKUP(B386,#REF!,19,0)</f>
        <v>#REF!</v>
      </c>
      <c r="AP386" s="8" t="str">
        <f t="shared" si="16"/>
        <v>Not yet endorsed</v>
      </c>
      <c r="AQ386" s="10" t="b" cm="1">
        <f t="array" aca="1" ref="AQ386" ca="1">IF(AM386&gt;0,(TODAY()-AM386),IF(AL386&gt;0,(TODAY()-AL386),IF(AK386&gt;0,(TODAY()-AK386,IF(AI386&gt;0,(TODAY()-AI386),IF(AG386&gt;0,(TODAY()-AG386),IF(AF386&gt;0,(TODAY()-AF386),IF(X386&gt;0,(TODAY()-X386)," "))))))))</f>
        <v>0</v>
      </c>
      <c r="BD386" s="2" t="str">
        <f t="shared" si="17"/>
        <v>Not yet endorsed</v>
      </c>
      <c r="BE386" s="2" t="s">
        <v>75</v>
      </c>
      <c r="BG386" s="2" t="e">
        <v>#N/A</v>
      </c>
      <c r="BH386" s="2" t="e" vm="1">
        <v>#REF!</v>
      </c>
    </row>
    <row r="387" spans="2:60" hidden="1" x14ac:dyDescent="0.25">
      <c r="B387" s="2" t="s">
        <v>1913</v>
      </c>
      <c r="C387" s="2" t="s">
        <v>1914</v>
      </c>
      <c r="D387" s="44" t="s">
        <v>1915</v>
      </c>
      <c r="E387" s="2" t="s">
        <v>5</v>
      </c>
      <c r="F387" s="2" t="s">
        <v>1916</v>
      </c>
      <c r="G387" s="2" t="s">
        <v>1</v>
      </c>
      <c r="H387" s="2" t="s">
        <v>120</v>
      </c>
      <c r="I387" s="2" t="s">
        <v>140</v>
      </c>
      <c r="J387" s="2" t="s">
        <v>141</v>
      </c>
      <c r="K387" s="2" t="s">
        <v>370</v>
      </c>
      <c r="L387" s="2" t="s">
        <v>1917</v>
      </c>
      <c r="M387" s="2">
        <v>0</v>
      </c>
      <c r="N387" s="2">
        <v>16.15822</v>
      </c>
      <c r="O387" s="2">
        <v>120.49503</v>
      </c>
      <c r="P387" s="2" t="s">
        <v>87</v>
      </c>
      <c r="Q387" s="2" t="s">
        <v>265</v>
      </c>
      <c r="R387" s="29" t="e">
        <f>IF(INDEX(#REF!,MATCH('data '!$B387,#REF!,0),MATCH('data '!R$3,#REF!,0))=0,"",INDEX(#REF!,MATCH('data '!$B387,#REF!,0),MATCH('data '!R$3,#REF!,0)))</f>
        <v>#REF!</v>
      </c>
      <c r="S387" s="29" t="e">
        <f>IF(INDEX(#REF!,MATCH('data '!$B387,#REF!,0),MATCH('data '!S$3,#REF!,0))=0,"",INDEX(#REF!,MATCH('data '!$B387,#REF!,0),MATCH('data '!S$3,#REF!,0)))</f>
        <v>#REF!</v>
      </c>
      <c r="T387" s="29" t="e">
        <f>IF(INDEX(#REF!,MATCH('data '!$B387,#REF!,0),MATCH('data '!T$3,#REF!,0))=0,"",INDEX(#REF!,MATCH('data '!$B387,#REF!,0),MATCH('data '!T$3,#REF!,0)))</f>
        <v>#REF!</v>
      </c>
      <c r="U387" s="8" t="s">
        <v>25</v>
      </c>
      <c r="V387" s="25" t="s">
        <v>266</v>
      </c>
      <c r="W387" s="25" t="s">
        <v>144</v>
      </c>
      <c r="X387" s="9" t="s">
        <v>25</v>
      </c>
      <c r="Y387" s="9">
        <v>45838</v>
      </c>
      <c r="Z387" s="8">
        <v>45697</v>
      </c>
      <c r="AA387" s="8">
        <v>45667</v>
      </c>
      <c r="AC387" s="8" t="e">
        <f>VLOOKUP(B387,#REF!,19,0)</f>
        <v>#REF!</v>
      </c>
      <c r="AE387" s="8" t="s">
        <v>295</v>
      </c>
      <c r="AF387" s="8">
        <v>45908</v>
      </c>
      <c r="AG387" s="8">
        <v>45908</v>
      </c>
      <c r="AH387" s="8" t="s">
        <v>373</v>
      </c>
      <c r="AI387" s="8">
        <v>45909</v>
      </c>
      <c r="AJ387" s="8" t="s">
        <v>374</v>
      </c>
      <c r="AK387" s="8">
        <v>45916</v>
      </c>
      <c r="AL387" s="8">
        <v>45915</v>
      </c>
      <c r="AM387" s="8">
        <v>45941</v>
      </c>
      <c r="AP387" s="8" t="str">
        <f t="shared" si="16"/>
        <v>Tempo Energized</v>
      </c>
      <c r="AS387" s="8" t="s">
        <v>1897</v>
      </c>
      <c r="AT387" s="8">
        <v>45915</v>
      </c>
      <c r="AU387" s="8">
        <v>45924</v>
      </c>
      <c r="AV387" s="8">
        <v>45936</v>
      </c>
      <c r="AW387" s="8" t="s">
        <v>377</v>
      </c>
      <c r="AX387" s="8">
        <v>45939</v>
      </c>
      <c r="AY387" s="8" t="s">
        <v>378</v>
      </c>
      <c r="AZ387" s="8">
        <v>45923</v>
      </c>
      <c r="BA387" s="8">
        <v>45929</v>
      </c>
      <c r="BD387" s="2" t="str">
        <f t="shared" si="17"/>
        <v>Line Construction Completed</v>
      </c>
      <c r="BE387" s="2">
        <v>11</v>
      </c>
      <c r="BG387" s="2" t="e">
        <v>#N/A</v>
      </c>
      <c r="BH387" s="2" t="e" vm="1">
        <v>#REF!</v>
      </c>
    </row>
    <row r="388" spans="2:60" hidden="1" x14ac:dyDescent="0.25">
      <c r="B388" s="2" t="s">
        <v>1918</v>
      </c>
      <c r="C388" s="2" t="s">
        <v>1919</v>
      </c>
      <c r="D388" s="44" t="s">
        <v>1920</v>
      </c>
      <c r="E388" s="2" t="s">
        <v>3</v>
      </c>
      <c r="F388" s="2" t="s">
        <v>797</v>
      </c>
      <c r="G388" s="2" t="s">
        <v>1</v>
      </c>
      <c r="H388" s="2" t="s">
        <v>139</v>
      </c>
      <c r="I388" s="2" t="s">
        <v>140</v>
      </c>
      <c r="J388" s="2" t="s">
        <v>209</v>
      </c>
      <c r="K388" s="2" t="s">
        <v>1733</v>
      </c>
      <c r="L388" s="2" t="s">
        <v>1921</v>
      </c>
      <c r="M388" s="2">
        <v>0</v>
      </c>
      <c r="N388" s="2">
        <v>17.461527</v>
      </c>
      <c r="O388" s="2">
        <v>120.60136799999999</v>
      </c>
      <c r="P388" s="2" t="s">
        <v>87</v>
      </c>
      <c r="Q388" s="2" t="s">
        <v>198</v>
      </c>
      <c r="R388" s="29" t="e">
        <f>IF(INDEX(#REF!,MATCH('data '!$B388,#REF!,0),MATCH('data '!R$3,#REF!,0))=0,"",INDEX(#REF!,MATCH('data '!$B388,#REF!,0),MATCH('data '!R$3,#REF!,0)))</f>
        <v>#REF!</v>
      </c>
      <c r="S388" s="29" t="e">
        <f>IF(INDEX(#REF!,MATCH('data '!$B388,#REF!,0),MATCH('data '!S$3,#REF!,0))=0,"",INDEX(#REF!,MATCH('data '!$B388,#REF!,0),MATCH('data '!S$3,#REF!,0)))</f>
        <v>#REF!</v>
      </c>
      <c r="T388" s="29" t="e">
        <f>IF(INDEX(#REF!,MATCH('data '!$B388,#REF!,0),MATCH('data '!T$3,#REF!,0))=0,"",INDEX(#REF!,MATCH('data '!$B388,#REF!,0),MATCH('data '!T$3,#REF!,0)))</f>
        <v>#REF!</v>
      </c>
      <c r="U388" s="8" t="s">
        <v>25</v>
      </c>
      <c r="V388" s="25" t="s">
        <v>185</v>
      </c>
      <c r="W388" s="25" t="s">
        <v>144</v>
      </c>
      <c r="X388" s="9" t="s">
        <v>25</v>
      </c>
      <c r="Y388" s="9">
        <v>45821</v>
      </c>
      <c r="Z388" s="8">
        <v>45665</v>
      </c>
      <c r="AC388" s="8" t="e">
        <f>VLOOKUP(B388,#REF!,19,0)</f>
        <v>#REF!</v>
      </c>
      <c r="AE388" s="8" t="s">
        <v>145</v>
      </c>
      <c r="AF388" s="8">
        <v>45908</v>
      </c>
      <c r="AG388" s="8">
        <v>45908</v>
      </c>
      <c r="AH388" s="8" t="s">
        <v>398</v>
      </c>
      <c r="AI388" s="8">
        <v>45909</v>
      </c>
      <c r="AJ388" s="8" t="s">
        <v>399</v>
      </c>
      <c r="AK388" s="8">
        <v>45916</v>
      </c>
      <c r="AL388" s="8">
        <v>45923</v>
      </c>
      <c r="AM388" s="8">
        <v>45953</v>
      </c>
      <c r="AP388" s="8" t="str">
        <f t="shared" si="16"/>
        <v>Tempo Energized</v>
      </c>
      <c r="AS388" s="8" t="s">
        <v>1735</v>
      </c>
      <c r="AT388" s="8">
        <v>45979</v>
      </c>
      <c r="AU388" s="8">
        <v>46001</v>
      </c>
      <c r="AV388" s="8">
        <v>46001</v>
      </c>
      <c r="AW388" s="8" t="s">
        <v>800</v>
      </c>
      <c r="AX388" s="8">
        <v>46003</v>
      </c>
      <c r="AY388" s="8" t="s">
        <v>801</v>
      </c>
      <c r="BD388" s="2" t="str">
        <f t="shared" si="17"/>
        <v>PO Issued</v>
      </c>
      <c r="BE388" s="2">
        <v>28</v>
      </c>
      <c r="BF388" s="2" t="s">
        <v>1152</v>
      </c>
      <c r="BG388" s="2" t="e">
        <v>#N/A</v>
      </c>
      <c r="BH388" s="2" t="e" vm="1">
        <v>#REF!</v>
      </c>
    </row>
    <row r="389" spans="2:60" hidden="1" x14ac:dyDescent="0.25">
      <c r="B389" s="2" t="s">
        <v>1922</v>
      </c>
      <c r="C389" s="2" t="s">
        <v>1923</v>
      </c>
      <c r="D389" s="44" t="s">
        <v>1924</v>
      </c>
      <c r="E389" s="2" t="s">
        <v>5</v>
      </c>
      <c r="F389" s="2" t="s">
        <v>1647</v>
      </c>
      <c r="G389" s="2" t="s">
        <v>1</v>
      </c>
      <c r="H389" s="2" t="s">
        <v>139</v>
      </c>
      <c r="I389" s="2" t="s">
        <v>140</v>
      </c>
      <c r="J389" s="2" t="s">
        <v>224</v>
      </c>
      <c r="K389" s="2" t="s">
        <v>225</v>
      </c>
      <c r="L389" s="2" t="s">
        <v>1813</v>
      </c>
      <c r="M389" s="2">
        <v>0</v>
      </c>
      <c r="N389" s="2">
        <v>0</v>
      </c>
      <c r="O389" s="2">
        <v>0</v>
      </c>
      <c r="P389" s="2" t="s">
        <v>1157</v>
      </c>
      <c r="Q389" s="2" t="s">
        <v>73</v>
      </c>
      <c r="R389" s="29" t="e">
        <f>IF(INDEX(#REF!,MATCH('data '!$B389,#REF!,0),MATCH('data '!R$3,#REF!,0))=0,"",INDEX(#REF!,MATCH('data '!$B389,#REF!,0),MATCH('data '!R$3,#REF!,0)))</f>
        <v>#REF!</v>
      </c>
      <c r="S389" s="29" t="e">
        <f>IF(INDEX(#REF!,MATCH('data '!$B389,#REF!,0),MATCH('data '!S$3,#REF!,0))=0,"",INDEX(#REF!,MATCH('data '!$B389,#REF!,0),MATCH('data '!S$3,#REF!,0)))</f>
        <v>#REF!</v>
      </c>
      <c r="T389" s="29" t="e">
        <f>IF(INDEX(#REF!,MATCH('data '!$B389,#REF!,0),MATCH('data '!T$3,#REF!,0))=0,"",INDEX(#REF!,MATCH('data '!$B389,#REF!,0),MATCH('data '!T$3,#REF!,0)))</f>
        <v>#REF!</v>
      </c>
      <c r="V389" s="25" t="s">
        <v>204</v>
      </c>
      <c r="W389" s="25">
        <v>0</v>
      </c>
      <c r="AC389" s="8" t="e">
        <f>VLOOKUP(B389,#REF!,19,0)</f>
        <v>#REF!</v>
      </c>
      <c r="AE389" s="8" t="s">
        <v>228</v>
      </c>
      <c r="AG389" s="8">
        <v>46021</v>
      </c>
      <c r="AH389" s="8" t="s">
        <v>1590</v>
      </c>
      <c r="AI389" s="8">
        <v>46028</v>
      </c>
      <c r="AJ389" s="8" t="s">
        <v>1591</v>
      </c>
      <c r="AP389" s="8" t="str">
        <f t="shared" si="16"/>
        <v>PO Issued</v>
      </c>
      <c r="AQ389" s="10" t="b" cm="1">
        <f t="array" aca="1" ref="AQ389" ca="1">IF(AM389&gt;0,(TODAY()-AM389),IF(AL389&gt;0,(TODAY()-AL389),IF(AK389&gt;0,(TODAY()-AK389,IF(AI389&gt;0,(TODAY()-AI389),IF(AG389&gt;0,(TODAY()-AG389),IF(AF389&gt;0,(TODAY()-AF389),IF(X389&gt;0,(TODAY()-X389)," "))))))))</f>
        <v>0</v>
      </c>
      <c r="BD389" s="2" t="str">
        <f t="shared" si="17"/>
        <v>Not yet endorsed</v>
      </c>
      <c r="BE389" s="2" t="s">
        <v>75</v>
      </c>
      <c r="BG389" s="2" t="e">
        <v>#N/A</v>
      </c>
      <c r="BH389" s="2" t="e" vm="1">
        <v>#REF!</v>
      </c>
    </row>
    <row r="390" spans="2:60" hidden="1" x14ac:dyDescent="0.25">
      <c r="B390" s="2" t="s">
        <v>1925</v>
      </c>
      <c r="C390" s="2" t="s">
        <v>1926</v>
      </c>
      <c r="D390" s="44" t="s">
        <v>1927</v>
      </c>
      <c r="E390" s="2" t="s">
        <v>3</v>
      </c>
      <c r="F390" s="2" t="s">
        <v>279</v>
      </c>
      <c r="G390" s="2" t="s">
        <v>1</v>
      </c>
      <c r="H390" s="2" t="s">
        <v>139</v>
      </c>
      <c r="I390" s="2" t="s">
        <v>140</v>
      </c>
      <c r="J390" s="2" t="s">
        <v>141</v>
      </c>
      <c r="K390" s="2" t="s">
        <v>280</v>
      </c>
      <c r="L390" s="2" t="s">
        <v>1928</v>
      </c>
      <c r="M390" s="2">
        <v>0</v>
      </c>
      <c r="N390" s="2">
        <v>0</v>
      </c>
      <c r="O390" s="2">
        <v>0</v>
      </c>
      <c r="P390" s="2" t="s">
        <v>87</v>
      </c>
      <c r="Q390" s="2" t="s">
        <v>73</v>
      </c>
      <c r="R390" s="29" t="e">
        <f>IF(INDEX(#REF!,MATCH('data '!$B390,#REF!,0),MATCH('data '!R$3,#REF!,0))=0,"",INDEX(#REF!,MATCH('data '!$B390,#REF!,0),MATCH('data '!R$3,#REF!,0)))</f>
        <v>#REF!</v>
      </c>
      <c r="S390" s="29" t="e">
        <f>IF(INDEX(#REF!,MATCH('data '!$B390,#REF!,0),MATCH('data '!S$3,#REF!,0))=0,"",INDEX(#REF!,MATCH('data '!$B390,#REF!,0),MATCH('data '!S$3,#REF!,0)))</f>
        <v>#REF!</v>
      </c>
      <c r="T390" s="29" t="e">
        <f>IF(INDEX(#REF!,MATCH('data '!$B390,#REF!,0),MATCH('data '!T$3,#REF!,0))=0,"",INDEX(#REF!,MATCH('data '!$B390,#REF!,0),MATCH('data '!T$3,#REF!,0)))</f>
        <v>#REF!</v>
      </c>
      <c r="U390" s="8" t="s">
        <v>25</v>
      </c>
      <c r="V390" s="25" t="s">
        <v>383</v>
      </c>
      <c r="W390" s="25" t="s">
        <v>144</v>
      </c>
      <c r="X390" s="9" t="s">
        <v>25</v>
      </c>
      <c r="Y390" s="9">
        <v>45932</v>
      </c>
      <c r="AC390" s="8" t="e">
        <f>VLOOKUP(B390,#REF!,19,0)</f>
        <v>#REF!</v>
      </c>
      <c r="AE390" s="8" t="s">
        <v>145</v>
      </c>
      <c r="AF390" s="8">
        <v>45938</v>
      </c>
      <c r="AG390" s="8">
        <v>45939</v>
      </c>
      <c r="AH390" s="8" t="s">
        <v>146</v>
      </c>
      <c r="AI390" s="8">
        <v>45943</v>
      </c>
      <c r="AJ390" s="8" t="s">
        <v>147</v>
      </c>
      <c r="AK390" s="8">
        <v>45950</v>
      </c>
      <c r="AL390" s="8">
        <v>45978</v>
      </c>
      <c r="AM390" s="8">
        <v>45989</v>
      </c>
      <c r="AP390" s="8" t="str">
        <f t="shared" si="16"/>
        <v>Tempo Energized</v>
      </c>
      <c r="AQ390" s="10" cm="1">
        <f t="array" aca="1" ref="AQ390" ca="1">IF(AM390&gt;0,(TODAY()-AM390),IF(AL390&gt;0,(TODAY()-AL390),IF(AK390&gt;0,(TODAY()-AK390,IF(AI390&gt;0,(TODAY()-AI390),IF(AG390&gt;0,(TODAY()-AG390),IF(AF390&gt;0,(TODAY()-AF390),IF(X390&gt;0,(TODAY()-X390)," "))))))))</f>
        <v>117</v>
      </c>
      <c r="AT390" s="8">
        <v>45994</v>
      </c>
      <c r="AU390" s="11"/>
      <c r="AV390" s="11"/>
      <c r="AW390" s="11"/>
      <c r="AX390" s="11"/>
      <c r="AY390" s="11"/>
      <c r="BD390" s="2" t="str">
        <f t="shared" si="17"/>
        <v>BoQ Submitted</v>
      </c>
      <c r="BE390" s="2">
        <v>2</v>
      </c>
      <c r="BG390" s="2" t="s">
        <v>149</v>
      </c>
      <c r="BH390" s="2" t="e" vm="1">
        <v>#REF!</v>
      </c>
    </row>
    <row r="391" spans="2:60" hidden="1" x14ac:dyDescent="0.25">
      <c r="B391" s="2" t="s">
        <v>1929</v>
      </c>
      <c r="C391" s="2" t="s">
        <v>1930</v>
      </c>
      <c r="D391" s="44" t="s">
        <v>1931</v>
      </c>
      <c r="E391" s="2" t="s">
        <v>3</v>
      </c>
      <c r="F391" s="2" t="s">
        <v>138</v>
      </c>
      <c r="G391" s="2" t="s">
        <v>1</v>
      </c>
      <c r="H391" s="2" t="s">
        <v>139</v>
      </c>
      <c r="I391" s="2" t="s">
        <v>140</v>
      </c>
      <c r="J391" s="2" t="s">
        <v>141</v>
      </c>
      <c r="K391" s="2" t="s">
        <v>142</v>
      </c>
      <c r="L391" s="2" t="s">
        <v>1932</v>
      </c>
      <c r="M391" s="2">
        <v>0</v>
      </c>
      <c r="N391" s="2">
        <v>0</v>
      </c>
      <c r="O391" s="2">
        <v>0</v>
      </c>
      <c r="P391" s="2" t="s">
        <v>204</v>
      </c>
      <c r="Q391" s="2" t="s">
        <v>73</v>
      </c>
      <c r="R391" s="29" t="e">
        <f>IF(INDEX(#REF!,MATCH('data '!$B391,#REF!,0),MATCH('data '!R$3,#REF!,0))=0,"",INDEX(#REF!,MATCH('data '!$B391,#REF!,0),MATCH('data '!R$3,#REF!,0)))</f>
        <v>#REF!</v>
      </c>
      <c r="S391" s="29" t="e">
        <f>IF(INDEX(#REF!,MATCH('data '!$B391,#REF!,0),MATCH('data '!S$3,#REF!,0))=0,"",INDEX(#REF!,MATCH('data '!$B391,#REF!,0),MATCH('data '!S$3,#REF!,0)))</f>
        <v>#REF!</v>
      </c>
      <c r="T391" s="29" t="e">
        <f>IF(INDEX(#REF!,MATCH('data '!$B391,#REF!,0),MATCH('data '!T$3,#REF!,0))=0,"",INDEX(#REF!,MATCH('data '!$B391,#REF!,0),MATCH('data '!T$3,#REF!,0)))</f>
        <v>#REF!</v>
      </c>
      <c r="V391" s="25" t="s">
        <v>204</v>
      </c>
      <c r="W391" s="25">
        <v>0</v>
      </c>
      <c r="AC391" s="8" t="e">
        <f>VLOOKUP(B391,#REF!,19,0)</f>
        <v>#REF!</v>
      </c>
      <c r="AP391" s="8" t="str">
        <f t="shared" si="16"/>
        <v>Not yet endorsed</v>
      </c>
      <c r="AQ391" s="10" t="b" cm="1">
        <f t="array" aca="1" ref="AQ391" ca="1">IF(AM391&gt;0,(TODAY()-AM391),IF(AL391&gt;0,(TODAY()-AL391),IF(AK391&gt;0,(TODAY()-AK391,IF(AI391&gt;0,(TODAY()-AI391),IF(AG391&gt;0,(TODAY()-AG391),IF(AF391&gt;0,(TODAY()-AF391),IF(X391&gt;0,(TODAY()-X391)," "))))))))</f>
        <v>0</v>
      </c>
      <c r="BD391" s="2" t="str">
        <f t="shared" si="17"/>
        <v>Not yet endorsed</v>
      </c>
      <c r="BE391" s="2" t="s">
        <v>75</v>
      </c>
      <c r="BG391" s="2" t="e">
        <v>#N/A</v>
      </c>
      <c r="BH391" s="2" t="e" vm="1">
        <v>#REF!</v>
      </c>
    </row>
    <row r="392" spans="2:60" hidden="1" x14ac:dyDescent="0.25">
      <c r="B392" s="2" t="s">
        <v>1933</v>
      </c>
      <c r="C392" s="2" t="s">
        <v>1934</v>
      </c>
      <c r="D392" s="44" t="s">
        <v>1935</v>
      </c>
      <c r="E392" s="2" t="s">
        <v>3</v>
      </c>
      <c r="F392" s="2">
        <v>0</v>
      </c>
      <c r="G392" s="2" t="s">
        <v>1</v>
      </c>
      <c r="H392" s="2" t="s">
        <v>120</v>
      </c>
      <c r="I392" s="2" t="s">
        <v>121</v>
      </c>
      <c r="J392" s="2" t="s">
        <v>141</v>
      </c>
      <c r="K392" s="2" t="s">
        <v>370</v>
      </c>
      <c r="L392" s="2" t="s">
        <v>1673</v>
      </c>
      <c r="M392" s="2">
        <v>0</v>
      </c>
      <c r="N392" s="2">
        <v>0</v>
      </c>
      <c r="O392" s="2">
        <v>0</v>
      </c>
      <c r="P392" s="2" t="s">
        <v>125</v>
      </c>
      <c r="Q392" s="2">
        <v>0</v>
      </c>
      <c r="R392" s="29" t="e">
        <f>IF(INDEX(#REF!,MATCH('data '!$B392,#REF!,0),MATCH('data '!R$3,#REF!,0))=0,"",INDEX(#REF!,MATCH('data '!$B392,#REF!,0),MATCH('data '!R$3,#REF!,0)))</f>
        <v>#REF!</v>
      </c>
      <c r="S392" s="29" t="e">
        <f>IF(INDEX(#REF!,MATCH('data '!$B392,#REF!,0),MATCH('data '!S$3,#REF!,0))=0,"",INDEX(#REF!,MATCH('data '!$B392,#REF!,0),MATCH('data '!S$3,#REF!,0)))</f>
        <v>#REF!</v>
      </c>
      <c r="T392" s="29" t="e">
        <f>IF(INDEX(#REF!,MATCH('data '!$B392,#REF!,0),MATCH('data '!T$3,#REF!,0))=0,"",INDEX(#REF!,MATCH('data '!$B392,#REF!,0),MATCH('data '!T$3,#REF!,0)))</f>
        <v>#REF!</v>
      </c>
      <c r="V392" s="25" t="s">
        <v>656</v>
      </c>
      <c r="W392" s="25">
        <v>0</v>
      </c>
      <c r="AC392" s="8" t="e">
        <f>VLOOKUP(B392,#REF!,19,0)</f>
        <v>#REF!</v>
      </c>
      <c r="AP392" s="8" t="str">
        <f t="shared" si="16"/>
        <v>Not yet endorsed</v>
      </c>
      <c r="AQ392" s="10" t="b" cm="1">
        <f t="array" aca="1" ref="AQ392" ca="1">IF(AM392&gt;0,(TODAY()-AM392),IF(AL392&gt;0,(TODAY()-AL392),IF(AK392&gt;0,(TODAY()-AK392,IF(AI392&gt;0,(TODAY()-AI392),IF(AG392&gt;0,(TODAY()-AG392),IF(AF392&gt;0,(TODAY()-AF392),IF(X392&gt;0,(TODAY()-X392)," "))))))))</f>
        <v>0</v>
      </c>
      <c r="BD392" s="2" t="str">
        <f t="shared" si="17"/>
        <v>Not yet endorsed</v>
      </c>
      <c r="BE392" s="2" t="s">
        <v>75</v>
      </c>
      <c r="BG392" s="2" t="e">
        <v>#N/A</v>
      </c>
      <c r="BH392" s="2" t="e" vm="1">
        <v>#REF!</v>
      </c>
    </row>
    <row r="393" spans="2:60" hidden="1" x14ac:dyDescent="0.25">
      <c r="B393" s="2" t="s">
        <v>1936</v>
      </c>
      <c r="C393" s="2" t="s">
        <v>1937</v>
      </c>
      <c r="D393" s="44" t="s">
        <v>1938</v>
      </c>
      <c r="E393" s="2" t="s">
        <v>3</v>
      </c>
      <c r="F393" s="2" t="s">
        <v>138</v>
      </c>
      <c r="G393" s="2" t="s">
        <v>1</v>
      </c>
      <c r="H393" s="2" t="s">
        <v>139</v>
      </c>
      <c r="I393" s="2" t="s">
        <v>140</v>
      </c>
      <c r="J393" s="2" t="s">
        <v>141</v>
      </c>
      <c r="K393" s="2" t="s">
        <v>142</v>
      </c>
      <c r="L393" s="2" t="s">
        <v>1111</v>
      </c>
      <c r="M393" s="2">
        <v>0</v>
      </c>
      <c r="N393" s="2">
        <v>0</v>
      </c>
      <c r="O393" s="2">
        <v>0</v>
      </c>
      <c r="P393" s="2" t="s">
        <v>1939</v>
      </c>
      <c r="Q393" s="2" t="s">
        <v>73</v>
      </c>
      <c r="R393" s="29" t="e">
        <f>IF(INDEX(#REF!,MATCH('data '!$B393,#REF!,0),MATCH('data '!R$3,#REF!,0))=0,"",INDEX(#REF!,MATCH('data '!$B393,#REF!,0),MATCH('data '!R$3,#REF!,0)))</f>
        <v>#REF!</v>
      </c>
      <c r="S393" s="29" t="e">
        <f>IF(INDEX(#REF!,MATCH('data '!$B393,#REF!,0),MATCH('data '!S$3,#REF!,0))=0,"",INDEX(#REF!,MATCH('data '!$B393,#REF!,0),MATCH('data '!S$3,#REF!,0)))</f>
        <v>#REF!</v>
      </c>
      <c r="T393" s="29" t="e">
        <f>IF(INDEX(#REF!,MATCH('data '!$B393,#REF!,0),MATCH('data '!T$3,#REF!,0))=0,"",INDEX(#REF!,MATCH('data '!$B393,#REF!,0),MATCH('data '!T$3,#REF!,0)))</f>
        <v>#REF!</v>
      </c>
      <c r="U393" s="8" t="s">
        <v>25</v>
      </c>
      <c r="V393" s="25" t="s">
        <v>204</v>
      </c>
      <c r="W393" s="25">
        <v>0</v>
      </c>
      <c r="AC393" s="8" t="e">
        <f>VLOOKUP(B393,#REF!,19,0)</f>
        <v>#REF!</v>
      </c>
      <c r="AP393" s="8" t="str">
        <f t="shared" si="16"/>
        <v>Not yet endorsed</v>
      </c>
      <c r="AQ393" s="10" t="b" cm="1">
        <f t="array" aca="1" ref="AQ393" ca="1">IF(AM393&gt;0,(TODAY()-AM393),IF(AL393&gt;0,(TODAY()-AL393),IF(AK393&gt;0,(TODAY()-AK393,IF(AI393&gt;0,(TODAY()-AI393),IF(AG393&gt;0,(TODAY()-AG393),IF(AF393&gt;0,(TODAY()-AF393),IF(X393&gt;0,(TODAY()-X393)," "))))))))</f>
        <v>0</v>
      </c>
      <c r="BD393" s="2" t="str">
        <f t="shared" si="17"/>
        <v>TSSR Approved</v>
      </c>
      <c r="BE393" s="2" t="e">
        <v>#VALUE!</v>
      </c>
      <c r="BG393" s="2" t="e">
        <v>#N/A</v>
      </c>
      <c r="BH393" s="2" t="e" vm="1">
        <v>#REF!</v>
      </c>
    </row>
    <row r="394" spans="2:60" hidden="1" x14ac:dyDescent="0.25">
      <c r="B394" s="2" t="s">
        <v>1940</v>
      </c>
      <c r="C394" s="2" t="s">
        <v>1941</v>
      </c>
      <c r="D394" s="44" t="s">
        <v>1942</v>
      </c>
      <c r="E394" s="2" t="s">
        <v>3</v>
      </c>
      <c r="F394" s="2" t="s">
        <v>138</v>
      </c>
      <c r="G394" s="2" t="s">
        <v>1</v>
      </c>
      <c r="H394" s="2" t="s">
        <v>139</v>
      </c>
      <c r="I394" s="2" t="s">
        <v>140</v>
      </c>
      <c r="J394" s="2" t="s">
        <v>141</v>
      </c>
      <c r="K394" s="2" t="s">
        <v>142</v>
      </c>
      <c r="L394" s="2" t="s">
        <v>1943</v>
      </c>
      <c r="M394" s="2">
        <v>0</v>
      </c>
      <c r="N394" s="2">
        <v>17.753900000000002</v>
      </c>
      <c r="O394" s="2">
        <v>120.4315</v>
      </c>
      <c r="P394" s="2" t="s">
        <v>87</v>
      </c>
      <c r="Q394" s="2" t="s">
        <v>265</v>
      </c>
      <c r="R394" s="29" t="e">
        <f>IF(INDEX(#REF!,MATCH('data '!$B394,#REF!,0),MATCH('data '!R$3,#REF!,0))=0,"",INDEX(#REF!,MATCH('data '!$B394,#REF!,0),MATCH('data '!R$3,#REF!,0)))</f>
        <v>#REF!</v>
      </c>
      <c r="S394" s="29" t="e">
        <f>IF(INDEX(#REF!,MATCH('data '!$B394,#REF!,0),MATCH('data '!S$3,#REF!,0))=0,"",INDEX(#REF!,MATCH('data '!$B394,#REF!,0),MATCH('data '!S$3,#REF!,0)))</f>
        <v>#REF!</v>
      </c>
      <c r="T394" s="29" t="e">
        <f>IF(INDEX(#REF!,MATCH('data '!$B394,#REF!,0),MATCH('data '!T$3,#REF!,0))=0,"",INDEX(#REF!,MATCH('data '!$B394,#REF!,0),MATCH('data '!T$3,#REF!,0)))</f>
        <v>#REF!</v>
      </c>
      <c r="U394" s="8" t="s">
        <v>25</v>
      </c>
      <c r="V394" s="25" t="s">
        <v>266</v>
      </c>
      <c r="W394" s="25" t="s">
        <v>144</v>
      </c>
      <c r="X394" s="9" t="s">
        <v>25</v>
      </c>
      <c r="Y394" s="9">
        <v>45786</v>
      </c>
      <c r="Z394" s="8">
        <v>45875</v>
      </c>
      <c r="AA394" s="8" t="s">
        <v>1944</v>
      </c>
      <c r="AC394" s="8" t="e">
        <f>VLOOKUP(B394,#REF!,19,0)</f>
        <v>#REF!</v>
      </c>
      <c r="AE394" s="8" t="s">
        <v>540</v>
      </c>
      <c r="AF394" s="8">
        <v>45908</v>
      </c>
      <c r="AG394" s="8">
        <v>45952</v>
      </c>
      <c r="AH394" s="8" t="s">
        <v>815</v>
      </c>
      <c r="AI394" s="8">
        <v>45958</v>
      </c>
      <c r="AJ394" s="8" t="s">
        <v>816</v>
      </c>
      <c r="AK394" s="8">
        <v>45951</v>
      </c>
      <c r="AL394" s="8">
        <v>45953</v>
      </c>
      <c r="AM394" s="8">
        <v>45960</v>
      </c>
      <c r="AP394" s="8" t="str">
        <f t="shared" si="16"/>
        <v>Tempo Energized</v>
      </c>
      <c r="AQ394" s="10" cm="1">
        <f t="array" aca="1" ref="AQ394" ca="1">IF(AM394&gt;0,(TODAY()-AM394),IF(AL394&gt;0,(TODAY()-AL394),IF(AK394&gt;0,(TODAY()-AK394,IF(AI394&gt;0,(TODAY()-AI394),IF(AG394&gt;0,(TODAY()-AG394),IF(AF394&gt;0,(TODAY()-AF394),IF(X394&gt;0,(TODAY()-X394)," "))))))))</f>
        <v>146</v>
      </c>
      <c r="AT394" s="8">
        <v>45915</v>
      </c>
      <c r="AU394" s="8">
        <v>45925</v>
      </c>
      <c r="AV394" s="8">
        <v>45930</v>
      </c>
      <c r="AW394" s="8" t="s">
        <v>807</v>
      </c>
      <c r="AX394" s="8">
        <v>45933</v>
      </c>
      <c r="AY394" s="8" t="s">
        <v>808</v>
      </c>
      <c r="BD394" s="2" t="str">
        <f t="shared" si="17"/>
        <v>PO Issued</v>
      </c>
      <c r="BE394" s="2">
        <v>7</v>
      </c>
      <c r="BG394" s="2" t="e">
        <v>#N/A</v>
      </c>
      <c r="BH394" s="2" t="e" vm="1">
        <v>#REF!</v>
      </c>
    </row>
    <row r="395" spans="2:60" hidden="1" x14ac:dyDescent="0.25">
      <c r="B395" s="2" t="s">
        <v>1945</v>
      </c>
      <c r="C395" s="2" t="s">
        <v>1946</v>
      </c>
      <c r="D395" s="44" t="s">
        <v>1947</v>
      </c>
      <c r="E395" s="2" t="s">
        <v>3</v>
      </c>
      <c r="F395" s="2">
        <v>0</v>
      </c>
      <c r="G395" s="2" t="s">
        <v>1</v>
      </c>
      <c r="H395" s="2" t="s">
        <v>120</v>
      </c>
      <c r="I395" s="2" t="s">
        <v>121</v>
      </c>
      <c r="J395" s="2" t="s">
        <v>209</v>
      </c>
      <c r="K395" s="2" t="s">
        <v>566</v>
      </c>
      <c r="L395" s="2" t="s">
        <v>1829</v>
      </c>
      <c r="M395" s="2">
        <v>0</v>
      </c>
      <c r="N395" s="2">
        <v>0</v>
      </c>
      <c r="O395" s="2">
        <v>0</v>
      </c>
      <c r="P395" s="2" t="s">
        <v>1157</v>
      </c>
      <c r="Q395" s="2">
        <v>0</v>
      </c>
      <c r="R395" s="29" t="e">
        <f>IF(INDEX(#REF!,MATCH('data '!$B395,#REF!,0),MATCH('data '!R$3,#REF!,0))=0,"",INDEX(#REF!,MATCH('data '!$B395,#REF!,0),MATCH('data '!R$3,#REF!,0)))</f>
        <v>#REF!</v>
      </c>
      <c r="S395" s="29" t="e">
        <f>IF(INDEX(#REF!,MATCH('data '!$B395,#REF!,0),MATCH('data '!S$3,#REF!,0))=0,"",INDEX(#REF!,MATCH('data '!$B395,#REF!,0),MATCH('data '!S$3,#REF!,0)))</f>
        <v>#REF!</v>
      </c>
      <c r="T395" s="29" t="e">
        <f>IF(INDEX(#REF!,MATCH('data '!$B395,#REF!,0),MATCH('data '!T$3,#REF!,0))=0,"",INDEX(#REF!,MATCH('data '!$B395,#REF!,0),MATCH('data '!T$3,#REF!,0)))</f>
        <v>#REF!</v>
      </c>
      <c r="V395" s="25" t="s">
        <v>249</v>
      </c>
      <c r="W395" s="25">
        <v>0</v>
      </c>
      <c r="AC395" s="8" t="e">
        <f>VLOOKUP(B395,#REF!,19,0)</f>
        <v>#REF!</v>
      </c>
      <c r="AP395" s="8" t="str">
        <f t="shared" si="16"/>
        <v>Not yet endorsed</v>
      </c>
      <c r="AQ395" s="10" t="b" cm="1">
        <f t="array" aca="1" ref="AQ395" ca="1">IF(AM395&gt;0,(TODAY()-AM395),IF(AL395&gt;0,(TODAY()-AL395),IF(AK395&gt;0,(TODAY()-AK395,IF(AI395&gt;0,(TODAY()-AI395),IF(AG395&gt;0,(TODAY()-AG395),IF(AF395&gt;0,(TODAY()-AF395),IF(X395&gt;0,(TODAY()-X395)," "))))))))</f>
        <v>0</v>
      </c>
      <c r="BD395" s="2" t="str">
        <f t="shared" si="17"/>
        <v>Not yet endorsed</v>
      </c>
      <c r="BE395" s="2" t="s">
        <v>75</v>
      </c>
      <c r="BG395" s="2" t="e">
        <v>#N/A</v>
      </c>
      <c r="BH395" s="2" t="e" vm="1">
        <v>#REF!</v>
      </c>
    </row>
    <row r="396" spans="2:60" x14ac:dyDescent="0.25">
      <c r="B396" s="7" t="s">
        <v>1948</v>
      </c>
      <c r="C396" s="2" t="s">
        <v>1949</v>
      </c>
      <c r="D396" s="44" t="s">
        <v>1950</v>
      </c>
      <c r="E396" s="2" t="s">
        <v>3</v>
      </c>
      <c r="F396" s="2" t="s">
        <v>223</v>
      </c>
      <c r="G396" s="2" t="s">
        <v>1</v>
      </c>
      <c r="H396" s="2" t="s">
        <v>139</v>
      </c>
      <c r="I396" s="2" t="s">
        <v>140</v>
      </c>
      <c r="J396" s="2" t="s">
        <v>224</v>
      </c>
      <c r="K396" s="2" t="s">
        <v>225</v>
      </c>
      <c r="L396" s="2" t="s">
        <v>1755</v>
      </c>
      <c r="M396" s="2">
        <v>0</v>
      </c>
      <c r="N396" s="2">
        <v>18.325061000000002</v>
      </c>
      <c r="O396" s="2">
        <v>121.73308400000001</v>
      </c>
      <c r="P396" s="2" t="s">
        <v>87</v>
      </c>
      <c r="Q396" s="2" t="s">
        <v>219</v>
      </c>
      <c r="R396" s="29" t="e">
        <f>IF(INDEX(#REF!,MATCH('data '!$B396,#REF!,0),MATCH('data '!R$3,#REF!,0))=0,"",INDEX(#REF!,MATCH('data '!$B396,#REF!,0),MATCH('data '!R$3,#REF!,0)))</f>
        <v>#REF!</v>
      </c>
      <c r="S396" s="29" t="e">
        <f>IF(INDEX(#REF!,MATCH('data '!$B396,#REF!,0),MATCH('data '!S$3,#REF!,0))=0,"",INDEX(#REF!,MATCH('data '!$B396,#REF!,0),MATCH('data '!S$3,#REF!,0)))</f>
        <v>#REF!</v>
      </c>
      <c r="T396" s="29" t="e">
        <f>IF(INDEX(#REF!,MATCH('data '!$B396,#REF!,0),MATCH('data '!T$3,#REF!,0))=0,"",INDEX(#REF!,MATCH('data '!$B396,#REF!,0),MATCH('data '!T$3,#REF!,0)))</f>
        <v>#REF!</v>
      </c>
      <c r="U396" s="8" t="s">
        <v>25</v>
      </c>
      <c r="V396" s="25" t="s">
        <v>266</v>
      </c>
      <c r="W396" s="25" t="s">
        <v>144</v>
      </c>
      <c r="X396" s="9" t="s">
        <v>25</v>
      </c>
      <c r="Y396" s="9">
        <v>45819</v>
      </c>
      <c r="AC396" s="8" t="e">
        <f>VLOOKUP(B396,#REF!,19,0)</f>
        <v>#REF!</v>
      </c>
      <c r="AE396" s="8" t="s">
        <v>228</v>
      </c>
      <c r="AF396" s="8">
        <v>45908</v>
      </c>
      <c r="AG396" s="8">
        <v>45908</v>
      </c>
      <c r="AH396" s="8" t="s">
        <v>229</v>
      </c>
      <c r="AI396" s="8">
        <v>45936</v>
      </c>
      <c r="AJ396" s="8" t="s">
        <v>230</v>
      </c>
      <c r="AL396" s="8">
        <v>45915</v>
      </c>
      <c r="AM396" s="8">
        <v>45941</v>
      </c>
      <c r="AP396" s="8" t="str">
        <f t="shared" si="16"/>
        <v>Tempo Energized</v>
      </c>
      <c r="AS396" s="8" t="s">
        <v>231</v>
      </c>
      <c r="AT396" s="8">
        <v>45931</v>
      </c>
      <c r="AU396" s="8">
        <v>45945</v>
      </c>
      <c r="AV396" s="8">
        <v>45945</v>
      </c>
      <c r="AW396" s="8" t="s">
        <v>232</v>
      </c>
      <c r="AX396" s="8">
        <v>45958</v>
      </c>
      <c r="AY396" s="8" t="s">
        <v>233</v>
      </c>
      <c r="BD396" s="2" t="str">
        <f t="shared" si="17"/>
        <v>PO Issued</v>
      </c>
      <c r="BE396" s="2">
        <v>9</v>
      </c>
      <c r="BF396" s="2" t="s">
        <v>234</v>
      </c>
      <c r="BG396" s="2" t="e">
        <v>#N/A</v>
      </c>
      <c r="BH396" s="2" t="e" vm="1">
        <v>#REF!</v>
      </c>
    </row>
    <row r="397" spans="2:60" hidden="1" x14ac:dyDescent="0.25">
      <c r="B397" s="2" t="s">
        <v>1951</v>
      </c>
      <c r="C397" s="2" t="s">
        <v>1952</v>
      </c>
      <c r="D397" s="44" t="s">
        <v>1953</v>
      </c>
      <c r="E397" s="2" t="s">
        <v>3</v>
      </c>
      <c r="F397" s="2">
        <v>0</v>
      </c>
      <c r="G397" s="2" t="s">
        <v>1</v>
      </c>
      <c r="H397" s="2" t="s">
        <v>120</v>
      </c>
      <c r="I397" s="2" t="s">
        <v>121</v>
      </c>
      <c r="J397" s="2" t="s">
        <v>209</v>
      </c>
      <c r="K397" s="2" t="s">
        <v>566</v>
      </c>
      <c r="L397" s="2" t="s">
        <v>1954</v>
      </c>
      <c r="M397" s="2">
        <v>0</v>
      </c>
      <c r="N397" s="2">
        <v>0</v>
      </c>
      <c r="O397" s="2">
        <v>0</v>
      </c>
      <c r="P397" s="2" t="s">
        <v>1157</v>
      </c>
      <c r="Q397" s="2">
        <v>0</v>
      </c>
      <c r="R397" s="29" t="e">
        <f>IF(INDEX(#REF!,MATCH('data '!$B397,#REF!,0),MATCH('data '!R$3,#REF!,0))=0,"",INDEX(#REF!,MATCH('data '!$B397,#REF!,0),MATCH('data '!R$3,#REF!,0)))</f>
        <v>#REF!</v>
      </c>
      <c r="S397" s="29" t="e">
        <f>IF(INDEX(#REF!,MATCH('data '!$B397,#REF!,0),MATCH('data '!S$3,#REF!,0))=0,"",INDEX(#REF!,MATCH('data '!$B397,#REF!,0),MATCH('data '!S$3,#REF!,0)))</f>
        <v>#REF!</v>
      </c>
      <c r="T397" s="29" t="e">
        <f>IF(INDEX(#REF!,MATCH('data '!$B397,#REF!,0),MATCH('data '!T$3,#REF!,0))=0,"",INDEX(#REF!,MATCH('data '!$B397,#REF!,0),MATCH('data '!T$3,#REF!,0)))</f>
        <v>#REF!</v>
      </c>
      <c r="V397" s="25" t="s">
        <v>249</v>
      </c>
      <c r="W397" s="25">
        <v>0</v>
      </c>
      <c r="AC397" s="8" t="e">
        <f>VLOOKUP(B397,#REF!,19,0)</f>
        <v>#REF!</v>
      </c>
      <c r="AP397" s="8" t="str">
        <f t="shared" si="16"/>
        <v>Not yet endorsed</v>
      </c>
      <c r="AQ397" s="10" t="b" cm="1">
        <f t="array" aca="1" ref="AQ397" ca="1">IF(AM397&gt;0,(TODAY()-AM397),IF(AL397&gt;0,(TODAY()-AL397),IF(AK397&gt;0,(TODAY()-AK397,IF(AI397&gt;0,(TODAY()-AI397),IF(AG397&gt;0,(TODAY()-AG397),IF(AF397&gt;0,(TODAY()-AF397),IF(X397&gt;0,(TODAY()-X397)," "))))))))</f>
        <v>0</v>
      </c>
      <c r="BD397" s="2" t="str">
        <f t="shared" si="17"/>
        <v>Not yet endorsed</v>
      </c>
      <c r="BE397" s="2" t="s">
        <v>75</v>
      </c>
      <c r="BG397" s="2" t="e">
        <v>#N/A</v>
      </c>
      <c r="BH397" s="2" t="e" vm="1">
        <v>#REF!</v>
      </c>
    </row>
    <row r="398" spans="2:60" hidden="1" x14ac:dyDescent="0.25">
      <c r="B398" s="2" t="s">
        <v>1955</v>
      </c>
      <c r="C398" s="2" t="s">
        <v>1956</v>
      </c>
      <c r="D398" s="44" t="s">
        <v>1957</v>
      </c>
      <c r="E398" s="2" t="s">
        <v>5</v>
      </c>
      <c r="F398" s="2">
        <v>0</v>
      </c>
      <c r="G398" s="2" t="s">
        <v>1</v>
      </c>
      <c r="H398" s="2" t="s">
        <v>120</v>
      </c>
      <c r="I398" s="2" t="s">
        <v>121</v>
      </c>
      <c r="J398" s="2" t="s">
        <v>141</v>
      </c>
      <c r="K398" s="2" t="s">
        <v>370</v>
      </c>
      <c r="L398" s="2" t="s">
        <v>836</v>
      </c>
      <c r="M398" s="2">
        <v>0</v>
      </c>
      <c r="N398" s="2">
        <v>0</v>
      </c>
      <c r="O398" s="2">
        <v>0</v>
      </c>
      <c r="P398" s="2" t="s">
        <v>248</v>
      </c>
      <c r="Q398" s="2">
        <v>0</v>
      </c>
      <c r="R398" s="29" t="e">
        <f>IF(INDEX(#REF!,MATCH('data '!$B398,#REF!,0),MATCH('data '!R$3,#REF!,0))=0,"",INDEX(#REF!,MATCH('data '!$B398,#REF!,0),MATCH('data '!R$3,#REF!,0)))</f>
        <v>#REF!</v>
      </c>
      <c r="S398" s="29" t="e">
        <f>IF(INDEX(#REF!,MATCH('data '!$B398,#REF!,0),MATCH('data '!S$3,#REF!,0))=0,"",INDEX(#REF!,MATCH('data '!$B398,#REF!,0),MATCH('data '!S$3,#REF!,0)))</f>
        <v>#REF!</v>
      </c>
      <c r="T398" s="29" t="e">
        <f>IF(INDEX(#REF!,MATCH('data '!$B398,#REF!,0),MATCH('data '!T$3,#REF!,0))=0,"",INDEX(#REF!,MATCH('data '!$B398,#REF!,0),MATCH('data '!T$3,#REF!,0)))</f>
        <v>#REF!</v>
      </c>
      <c r="V398" s="25" t="s">
        <v>204</v>
      </c>
      <c r="W398" s="25">
        <v>0</v>
      </c>
      <c r="AC398" s="8" t="e">
        <f>VLOOKUP(B398,#REF!,19,0)</f>
        <v>#REF!</v>
      </c>
      <c r="AP398" s="8" t="str">
        <f t="shared" si="16"/>
        <v>Not yet endorsed</v>
      </c>
      <c r="AQ398" s="10" t="b" cm="1">
        <f t="array" aca="1" ref="AQ398" ca="1">IF(AM398&gt;0,(TODAY()-AM398),IF(AL398&gt;0,(TODAY()-AL398),IF(AK398&gt;0,(TODAY()-AK398,IF(AI398&gt;0,(TODAY()-AI398),IF(AG398&gt;0,(TODAY()-AG398),IF(AF398&gt;0,(TODAY()-AF398),IF(X398&gt;0,(TODAY()-X398)," "))))))))</f>
        <v>0</v>
      </c>
      <c r="BD398" s="2" t="str">
        <f t="shared" si="17"/>
        <v>Not yet endorsed</v>
      </c>
      <c r="BE398" s="2" t="s">
        <v>75</v>
      </c>
      <c r="BG398" s="2" t="e">
        <v>#N/A</v>
      </c>
      <c r="BH398" s="2" t="e" vm="1">
        <v>#REF!</v>
      </c>
    </row>
    <row r="399" spans="2:60" hidden="1" x14ac:dyDescent="0.25">
      <c r="B399" s="2" t="s">
        <v>1958</v>
      </c>
      <c r="C399" s="2" t="s">
        <v>1959</v>
      </c>
      <c r="D399" s="44" t="s">
        <v>1960</v>
      </c>
      <c r="E399" s="2" t="s">
        <v>4</v>
      </c>
      <c r="F399" s="2" t="s">
        <v>1961</v>
      </c>
      <c r="G399" s="2" t="s">
        <v>1</v>
      </c>
      <c r="H399" s="2" t="s">
        <v>139</v>
      </c>
      <c r="I399" s="2" t="s">
        <v>140</v>
      </c>
      <c r="J399" s="2" t="s">
        <v>122</v>
      </c>
      <c r="K399" s="2" t="s">
        <v>637</v>
      </c>
      <c r="L399" s="2" t="s">
        <v>1962</v>
      </c>
      <c r="M399" s="2">
        <v>0</v>
      </c>
      <c r="N399" s="2">
        <v>15.467203</v>
      </c>
      <c r="O399" s="2">
        <v>120.653482</v>
      </c>
      <c r="P399" s="2" t="s">
        <v>87</v>
      </c>
      <c r="Q399" s="2" t="s">
        <v>265</v>
      </c>
      <c r="R399" s="29" t="e">
        <f>IF(INDEX(#REF!,MATCH('data '!$B399,#REF!,0),MATCH('data '!R$3,#REF!,0))=0,"",INDEX(#REF!,MATCH('data '!$B399,#REF!,0),MATCH('data '!R$3,#REF!,0)))</f>
        <v>#REF!</v>
      </c>
      <c r="S399" s="29" t="e">
        <f>IF(INDEX(#REF!,MATCH('data '!$B399,#REF!,0),MATCH('data '!S$3,#REF!,0))=0,"",INDEX(#REF!,MATCH('data '!$B399,#REF!,0),MATCH('data '!S$3,#REF!,0)))</f>
        <v>#REF!</v>
      </c>
      <c r="T399" s="29" t="e">
        <f>IF(INDEX(#REF!,MATCH('data '!$B399,#REF!,0),MATCH('data '!T$3,#REF!,0))=0,"",INDEX(#REF!,MATCH('data '!$B399,#REF!,0),MATCH('data '!T$3,#REF!,0)))</f>
        <v>#REF!</v>
      </c>
      <c r="U399" s="8" t="s">
        <v>25</v>
      </c>
      <c r="V399" s="25" t="s">
        <v>266</v>
      </c>
      <c r="W399" s="25" t="s">
        <v>144</v>
      </c>
      <c r="X399" s="9" t="s">
        <v>25</v>
      </c>
      <c r="Y399" s="9">
        <v>45761</v>
      </c>
      <c r="Z399" s="8">
        <v>45721</v>
      </c>
      <c r="AA399" s="8">
        <v>45694</v>
      </c>
      <c r="AB399" s="8">
        <v>45874</v>
      </c>
      <c r="AC399" s="8" t="e">
        <f>VLOOKUP(B399,#REF!,19,0)</f>
        <v>#REF!</v>
      </c>
      <c r="AE399" s="8" t="s">
        <v>361</v>
      </c>
      <c r="AF399" s="8">
        <v>45768</v>
      </c>
      <c r="AH399" s="8" t="s">
        <v>362</v>
      </c>
      <c r="AP399" s="8" t="str">
        <f t="shared" si="16"/>
        <v>Vendor Allocated</v>
      </c>
      <c r="AQ399" s="10" t="b" cm="1">
        <f t="array" aca="1" ref="AQ399" ca="1">IF(AM399&gt;0,(TODAY()-AM399),IF(AL399&gt;0,(TODAY()-AL399),IF(AK399&gt;0,(TODAY()-AK399,IF(AI399&gt;0,(TODAY()-AI399),IF(AG399&gt;0,(TODAY()-AG399),IF(AF399&gt;0,(TODAY()-AF399),IF(X399&gt;0,(TODAY()-X399)," "))))))))</f>
        <v>0</v>
      </c>
      <c r="AT399" s="8">
        <v>45916</v>
      </c>
      <c r="AU399" s="8">
        <v>45916</v>
      </c>
      <c r="AV399" s="8">
        <v>45917</v>
      </c>
      <c r="AW399" s="8" t="s">
        <v>1963</v>
      </c>
      <c r="AX399" s="8">
        <v>45923</v>
      </c>
      <c r="AY399" s="8" t="s">
        <v>1964</v>
      </c>
      <c r="AZ399" s="8">
        <v>45936</v>
      </c>
      <c r="BA399" s="8">
        <v>45937</v>
      </c>
      <c r="BB399" s="8">
        <v>45923</v>
      </c>
      <c r="BC399" s="8">
        <v>45938</v>
      </c>
      <c r="BD399" s="2" t="str">
        <f t="shared" si="17"/>
        <v>Permanent Energized</v>
      </c>
      <c r="BE399" s="2">
        <v>172</v>
      </c>
      <c r="BF399" s="2" t="s">
        <v>1965</v>
      </c>
      <c r="BG399" s="2" t="e">
        <v>#N/A</v>
      </c>
    </row>
    <row r="400" spans="2:60" hidden="1" x14ac:dyDescent="0.25">
      <c r="B400" s="2" t="s">
        <v>1966</v>
      </c>
      <c r="C400" s="2" t="s">
        <v>1967</v>
      </c>
      <c r="D400" s="44" t="s">
        <v>1968</v>
      </c>
      <c r="E400" s="2" t="s">
        <v>3</v>
      </c>
      <c r="F400" s="2" t="s">
        <v>797</v>
      </c>
      <c r="G400" s="2" t="s">
        <v>1</v>
      </c>
      <c r="H400" s="2" t="s">
        <v>139</v>
      </c>
      <c r="I400" s="2" t="s">
        <v>140</v>
      </c>
      <c r="J400" s="2" t="s">
        <v>209</v>
      </c>
      <c r="K400" s="2" t="s">
        <v>1733</v>
      </c>
      <c r="L400" s="2" t="s">
        <v>1943</v>
      </c>
      <c r="M400" s="2">
        <v>0</v>
      </c>
      <c r="N400" s="2">
        <v>0</v>
      </c>
      <c r="O400" s="2">
        <v>0</v>
      </c>
      <c r="P400" s="2" t="s">
        <v>87</v>
      </c>
      <c r="Q400" s="2" t="s">
        <v>73</v>
      </c>
      <c r="R400" s="29" t="e">
        <f>IF(INDEX(#REF!,MATCH('data '!$B400,#REF!,0),MATCH('data '!R$3,#REF!,0))=0,"",INDEX(#REF!,MATCH('data '!$B400,#REF!,0),MATCH('data '!R$3,#REF!,0)))</f>
        <v>#REF!</v>
      </c>
      <c r="S400" s="29" t="e">
        <f>IF(INDEX(#REF!,MATCH('data '!$B400,#REF!,0),MATCH('data '!S$3,#REF!,0))=0,"",INDEX(#REF!,MATCH('data '!$B400,#REF!,0),MATCH('data '!S$3,#REF!,0)))</f>
        <v>#REF!</v>
      </c>
      <c r="T400" s="29" t="e">
        <f>IF(INDEX(#REF!,MATCH('data '!$B400,#REF!,0),MATCH('data '!T$3,#REF!,0))=0,"",INDEX(#REF!,MATCH('data '!$B400,#REF!,0),MATCH('data '!T$3,#REF!,0)))</f>
        <v>#REF!</v>
      </c>
      <c r="U400" s="8" t="s">
        <v>25</v>
      </c>
      <c r="V400" s="25" t="s">
        <v>87</v>
      </c>
      <c r="W400" s="25" t="s">
        <v>144</v>
      </c>
      <c r="X400" s="9" t="s">
        <v>25</v>
      </c>
      <c r="Y400" s="9">
        <v>45926</v>
      </c>
      <c r="AC400" s="8" t="e">
        <f>VLOOKUP(B400,#REF!,19,0)</f>
        <v>#REF!</v>
      </c>
      <c r="AE400" s="8" t="s">
        <v>145</v>
      </c>
      <c r="AF400" s="8">
        <v>45938</v>
      </c>
      <c r="AG400" s="8">
        <v>45939</v>
      </c>
      <c r="AH400" s="8" t="s">
        <v>146</v>
      </c>
      <c r="AI400" s="8">
        <v>45943</v>
      </c>
      <c r="AJ400" s="8" t="s">
        <v>147</v>
      </c>
      <c r="AK400" s="8">
        <v>45945</v>
      </c>
      <c r="AL400" s="8">
        <v>45987</v>
      </c>
      <c r="AM400" s="8">
        <v>46001</v>
      </c>
      <c r="AP400" s="8" t="str">
        <f t="shared" si="16"/>
        <v>Tempo Energized</v>
      </c>
      <c r="AQ400" s="10" cm="1">
        <f t="array" aca="1" ref="AQ400" ca="1">IF(AM400&gt;0,(TODAY()-AM400),IF(AL400&gt;0,(TODAY()-AL400),IF(AK400&gt;0,(TODAY()-AK400,IF(AI400&gt;0,(TODAY()-AI400),IF(AG400&gt;0,(TODAY()-AG400),IF(AF400&gt;0,(TODAY()-AF400),IF(X400&gt;0,(TODAY()-X400)," "))))))))</f>
        <v>105</v>
      </c>
      <c r="AT400" s="8">
        <v>45979</v>
      </c>
      <c r="AU400" s="8">
        <v>46001</v>
      </c>
      <c r="AV400" s="8">
        <v>46001</v>
      </c>
      <c r="AW400" s="8" t="s">
        <v>800</v>
      </c>
      <c r="AX400" s="8">
        <v>46003</v>
      </c>
      <c r="AY400" s="8" t="s">
        <v>801</v>
      </c>
      <c r="BD400" s="2" t="str">
        <f t="shared" si="17"/>
        <v>PO Issued</v>
      </c>
      <c r="BE400" s="2">
        <v>2</v>
      </c>
      <c r="BG400" s="2" t="s">
        <v>149</v>
      </c>
      <c r="BH400" s="2" t="e" vm="1">
        <v>#REF!</v>
      </c>
    </row>
    <row r="401" spans="2:60" hidden="1" x14ac:dyDescent="0.25">
      <c r="B401" s="2" t="s">
        <v>1969</v>
      </c>
      <c r="C401" s="2" t="s">
        <v>1970</v>
      </c>
      <c r="D401" s="44" t="s">
        <v>1971</v>
      </c>
      <c r="E401" s="2" t="s">
        <v>3</v>
      </c>
      <c r="F401" s="2" t="s">
        <v>138</v>
      </c>
      <c r="G401" s="2" t="s">
        <v>1</v>
      </c>
      <c r="H401" s="2" t="s">
        <v>139</v>
      </c>
      <c r="I401" s="2" t="s">
        <v>140</v>
      </c>
      <c r="J401" s="2" t="s">
        <v>141</v>
      </c>
      <c r="K401" s="2" t="s">
        <v>142</v>
      </c>
      <c r="L401" s="2" t="s">
        <v>1668</v>
      </c>
      <c r="M401" s="2">
        <v>0</v>
      </c>
      <c r="N401" s="2">
        <v>17.683900000000001</v>
      </c>
      <c r="O401" s="2">
        <v>120.35850000000001</v>
      </c>
      <c r="P401" s="2" t="s">
        <v>87</v>
      </c>
      <c r="Q401" s="2" t="s">
        <v>265</v>
      </c>
      <c r="R401" s="29" t="e">
        <f>IF(INDEX(#REF!,MATCH('data '!$B401,#REF!,0),MATCH('data '!R$3,#REF!,0))=0,"",INDEX(#REF!,MATCH('data '!$B401,#REF!,0),MATCH('data '!R$3,#REF!,0)))</f>
        <v>#REF!</v>
      </c>
      <c r="S401" s="29" t="e">
        <f>IF(INDEX(#REF!,MATCH('data '!$B401,#REF!,0),MATCH('data '!S$3,#REF!,0))=0,"",INDEX(#REF!,MATCH('data '!$B401,#REF!,0),MATCH('data '!S$3,#REF!,0)))</f>
        <v>#REF!</v>
      </c>
      <c r="T401" s="29" t="e">
        <f>IF(INDEX(#REF!,MATCH('data '!$B401,#REF!,0),MATCH('data '!T$3,#REF!,0))=0,"",INDEX(#REF!,MATCH('data '!$B401,#REF!,0),MATCH('data '!T$3,#REF!,0)))</f>
        <v>#REF!</v>
      </c>
      <c r="U401" s="8" t="s">
        <v>25</v>
      </c>
      <c r="V401" s="25" t="s">
        <v>266</v>
      </c>
      <c r="W401" s="25" t="s">
        <v>144</v>
      </c>
      <c r="X401" s="9" t="s">
        <v>25</v>
      </c>
      <c r="Y401" s="9">
        <v>45776</v>
      </c>
      <c r="AA401" s="8" t="s">
        <v>1972</v>
      </c>
      <c r="AB401" s="8">
        <v>45889</v>
      </c>
      <c r="AC401" s="8" t="e">
        <f>VLOOKUP(B401,#REF!,19,0)</f>
        <v>#REF!</v>
      </c>
      <c r="AE401" s="8" t="s">
        <v>145</v>
      </c>
      <c r="AF401" s="8">
        <v>45867</v>
      </c>
      <c r="AG401" s="8">
        <v>45946</v>
      </c>
      <c r="AH401" s="8" t="s">
        <v>283</v>
      </c>
      <c r="AI401" s="8">
        <v>45950</v>
      </c>
      <c r="AJ401" s="8" t="s">
        <v>284</v>
      </c>
      <c r="AK401" s="8">
        <v>45953</v>
      </c>
      <c r="AL401" s="8">
        <v>45960</v>
      </c>
      <c r="AM401" s="8">
        <v>45967</v>
      </c>
      <c r="AP401" s="8" t="str">
        <f t="shared" si="16"/>
        <v>Tempo Energized</v>
      </c>
      <c r="AQ401" s="10" cm="1">
        <f t="array" aca="1" ref="AQ401" ca="1">IF(AM401&gt;0,(TODAY()-AM401),IF(AL401&gt;0,(TODAY()-AL401),IF(AK401&gt;0,(TODAY()-AK401,IF(AI401&gt;0,(TODAY()-AI401),IF(AG401&gt;0,(TODAY()-AG401),IF(AF401&gt;0,(TODAY()-AF401),IF(X401&gt;0,(TODAY()-X401)," "))))))))</f>
        <v>139</v>
      </c>
      <c r="AT401" s="8">
        <v>45874</v>
      </c>
      <c r="AU401" s="8">
        <v>45904</v>
      </c>
      <c r="AV401" s="8">
        <v>45905</v>
      </c>
      <c r="AW401" s="8" t="s">
        <v>1973</v>
      </c>
      <c r="AX401" s="8">
        <v>45908</v>
      </c>
      <c r="AY401" s="8" t="s">
        <v>1974</v>
      </c>
      <c r="AZ401" s="8">
        <v>45938</v>
      </c>
      <c r="BA401" s="8">
        <v>45946</v>
      </c>
      <c r="BB401" s="8">
        <v>45985</v>
      </c>
      <c r="BC401" s="8">
        <v>45988</v>
      </c>
      <c r="BD401" s="2" t="str">
        <f t="shared" si="17"/>
        <v>Permanent Energized</v>
      </c>
      <c r="BE401" s="2">
        <v>32</v>
      </c>
      <c r="BF401" s="2" t="s">
        <v>1975</v>
      </c>
      <c r="BG401" s="2" t="e">
        <v>#N/A</v>
      </c>
      <c r="BH401" s="2" t="e" vm="1">
        <v>#REF!</v>
      </c>
    </row>
    <row r="402" spans="2:60" hidden="1" x14ac:dyDescent="0.25">
      <c r="B402" s="2" t="s">
        <v>1976</v>
      </c>
      <c r="C402" s="2" t="s">
        <v>1977</v>
      </c>
      <c r="D402" s="44" t="s">
        <v>1978</v>
      </c>
      <c r="E402" s="2" t="s">
        <v>3</v>
      </c>
      <c r="F402" s="2">
        <v>0</v>
      </c>
      <c r="G402" s="2" t="s">
        <v>1</v>
      </c>
      <c r="H402" s="2" t="s">
        <v>120</v>
      </c>
      <c r="I402" s="2" t="s">
        <v>121</v>
      </c>
      <c r="J402" s="2" t="s">
        <v>141</v>
      </c>
      <c r="K402" s="2" t="s">
        <v>370</v>
      </c>
      <c r="L402" s="2" t="s">
        <v>1979</v>
      </c>
      <c r="M402" s="2">
        <v>0</v>
      </c>
      <c r="N402" s="2">
        <v>0</v>
      </c>
      <c r="O402" s="2">
        <v>0</v>
      </c>
      <c r="P402" s="2" t="s">
        <v>248</v>
      </c>
      <c r="Q402" s="2">
        <v>0</v>
      </c>
      <c r="R402" s="29" t="e">
        <f>IF(INDEX(#REF!,MATCH('data '!$B402,#REF!,0),MATCH('data '!R$3,#REF!,0))=0,"",INDEX(#REF!,MATCH('data '!$B402,#REF!,0),MATCH('data '!R$3,#REF!,0)))</f>
        <v>#REF!</v>
      </c>
      <c r="S402" s="29" t="e">
        <f>IF(INDEX(#REF!,MATCH('data '!$B402,#REF!,0),MATCH('data '!S$3,#REF!,0))=0,"",INDEX(#REF!,MATCH('data '!$B402,#REF!,0),MATCH('data '!S$3,#REF!,0)))</f>
        <v>#REF!</v>
      </c>
      <c r="T402" s="29" t="e">
        <f>IF(INDEX(#REF!,MATCH('data '!$B402,#REF!,0),MATCH('data '!T$3,#REF!,0))=0,"",INDEX(#REF!,MATCH('data '!$B402,#REF!,0),MATCH('data '!T$3,#REF!,0)))</f>
        <v>#REF!</v>
      </c>
      <c r="V402" s="25" t="s">
        <v>82</v>
      </c>
      <c r="W402" s="25" t="s">
        <v>83</v>
      </c>
      <c r="AC402" s="8" t="e">
        <f>VLOOKUP(B402,#REF!,19,0)</f>
        <v>#REF!</v>
      </c>
      <c r="AP402" s="8" t="str">
        <f t="shared" si="16"/>
        <v>Not yet endorsed</v>
      </c>
      <c r="AQ402" s="10" t="b" cm="1">
        <f t="array" aca="1" ref="AQ402" ca="1">IF(AM402&gt;0,(TODAY()-AM402),IF(AL402&gt;0,(TODAY()-AL402),IF(AK402&gt;0,(TODAY()-AK402,IF(AI402&gt;0,(TODAY()-AI402),IF(AG402&gt;0,(TODAY()-AG402),IF(AF402&gt;0,(TODAY()-AF402),IF(X402&gt;0,(TODAY()-X402)," "))))))))</f>
        <v>0</v>
      </c>
      <c r="BD402" s="2" t="str">
        <f t="shared" si="17"/>
        <v>Not yet endorsed</v>
      </c>
      <c r="BE402" s="2" t="s">
        <v>75</v>
      </c>
      <c r="BG402" s="2" t="e">
        <v>#N/A</v>
      </c>
      <c r="BH402" s="2" t="e" vm="1">
        <v>#REF!</v>
      </c>
    </row>
    <row r="403" spans="2:60" hidden="1" x14ac:dyDescent="0.25">
      <c r="B403" s="7" t="s">
        <v>1980</v>
      </c>
      <c r="C403" s="2" t="s">
        <v>1981</v>
      </c>
      <c r="D403" s="44" t="s">
        <v>1982</v>
      </c>
      <c r="E403" s="2" t="s">
        <v>4</v>
      </c>
      <c r="F403" s="2" t="s">
        <v>358</v>
      </c>
      <c r="G403" s="2" t="s">
        <v>1</v>
      </c>
      <c r="H403" s="2" t="s">
        <v>139</v>
      </c>
      <c r="I403" s="2" t="s">
        <v>140</v>
      </c>
      <c r="J403" s="2" t="s">
        <v>122</v>
      </c>
      <c r="K403" s="2" t="s">
        <v>359</v>
      </c>
      <c r="L403" s="2" t="s">
        <v>1983</v>
      </c>
      <c r="M403" s="2">
        <v>0</v>
      </c>
      <c r="N403" s="2">
        <v>15.49865475</v>
      </c>
      <c r="O403" s="2">
        <v>120.5134484</v>
      </c>
      <c r="P403" s="2" t="s">
        <v>87</v>
      </c>
      <c r="Q403" s="2" t="s">
        <v>265</v>
      </c>
      <c r="R403" s="29" t="e">
        <f>IF(INDEX(#REF!,MATCH('data '!$B403,#REF!,0),MATCH('data '!R$3,#REF!,0))=0,"",INDEX(#REF!,MATCH('data '!$B403,#REF!,0),MATCH('data '!R$3,#REF!,0)))</f>
        <v>#REF!</v>
      </c>
      <c r="S403" s="29" t="e">
        <f>IF(INDEX(#REF!,MATCH('data '!$B403,#REF!,0),MATCH('data '!S$3,#REF!,0))=0,"",INDEX(#REF!,MATCH('data '!$B403,#REF!,0),MATCH('data '!S$3,#REF!,0)))</f>
        <v>#REF!</v>
      </c>
      <c r="T403" s="29" t="e">
        <f>IF(INDEX(#REF!,MATCH('data '!$B403,#REF!,0),MATCH('data '!T$3,#REF!,0))=0,"",INDEX(#REF!,MATCH('data '!$B403,#REF!,0),MATCH('data '!T$3,#REF!,0)))</f>
        <v>#REF!</v>
      </c>
      <c r="U403" s="8" t="s">
        <v>25</v>
      </c>
      <c r="V403" s="25" t="s">
        <v>266</v>
      </c>
      <c r="W403" s="25" t="s">
        <v>144</v>
      </c>
      <c r="X403" s="9" t="s">
        <v>25</v>
      </c>
      <c r="Y403" s="9">
        <v>45749</v>
      </c>
      <c r="AA403" s="8" t="s">
        <v>1693</v>
      </c>
      <c r="AC403" s="8" t="e">
        <f>VLOOKUP(B403,#REF!,19,0)</f>
        <v>#REF!</v>
      </c>
      <c r="AE403" s="8" t="s">
        <v>547</v>
      </c>
      <c r="AF403" s="8">
        <v>45756</v>
      </c>
      <c r="AH403" s="8" t="s">
        <v>362</v>
      </c>
      <c r="AP403" s="8" t="str">
        <f t="shared" si="16"/>
        <v>Vendor Allocated</v>
      </c>
      <c r="AQ403" s="10" t="b" cm="1">
        <f t="array" aca="1" ref="AQ403" ca="1">IF(AM403&gt;0,(TODAY()-AM403),IF(AL403&gt;0,(TODAY()-AL403),IF(AK403&gt;0,(TODAY()-AK403,IF(AI403&gt;0,(TODAY()-AI403),IF(AG403&gt;0,(TODAY()-AG403),IF(AF403&gt;0,(TODAY()-AF403),IF(X403&gt;0,(TODAY()-X403)," "))))))))</f>
        <v>0</v>
      </c>
      <c r="AT403" s="8">
        <v>45975</v>
      </c>
      <c r="AU403" s="8">
        <v>46006</v>
      </c>
      <c r="AV403" s="8">
        <v>46006</v>
      </c>
      <c r="AW403" s="8" t="s">
        <v>548</v>
      </c>
      <c r="AX403" s="8">
        <v>46009</v>
      </c>
      <c r="AY403" s="8" t="s">
        <v>549</v>
      </c>
      <c r="BD403" s="2" t="str">
        <f t="shared" si="17"/>
        <v>PO Issued</v>
      </c>
      <c r="BE403" s="2">
        <v>184</v>
      </c>
      <c r="BF403" s="2" t="s">
        <v>534</v>
      </c>
      <c r="BG403" s="2" t="e">
        <v>#N/A</v>
      </c>
    </row>
    <row r="404" spans="2:60" x14ac:dyDescent="0.25">
      <c r="B404" s="18" t="s">
        <v>1984</v>
      </c>
      <c r="C404" s="18" t="s">
        <v>1985</v>
      </c>
      <c r="D404" s="44" t="s">
        <v>1986</v>
      </c>
      <c r="E404" s="2" t="s">
        <v>3</v>
      </c>
      <c r="F404" s="2" t="s">
        <v>223</v>
      </c>
      <c r="G404" s="2" t="s">
        <v>1</v>
      </c>
      <c r="H404" s="2" t="s">
        <v>139</v>
      </c>
      <c r="I404" s="2" t="s">
        <v>140</v>
      </c>
      <c r="J404" s="2" t="s">
        <v>224</v>
      </c>
      <c r="K404" s="2" t="s">
        <v>225</v>
      </c>
      <c r="L404" s="2" t="s">
        <v>1459</v>
      </c>
      <c r="M404" s="2">
        <v>0</v>
      </c>
      <c r="N404" s="2">
        <v>18.608864000000001</v>
      </c>
      <c r="O404" s="2">
        <v>121.087419</v>
      </c>
      <c r="P404" s="2" t="s">
        <v>87</v>
      </c>
      <c r="Q404" s="2" t="s">
        <v>265</v>
      </c>
      <c r="R404" s="29" t="e">
        <f>IF(INDEX(#REF!,MATCH('data '!$B404,#REF!,0),MATCH('data '!R$3,#REF!,0))=0,"",INDEX(#REF!,MATCH('data '!$B404,#REF!,0),MATCH('data '!R$3,#REF!,0)))</f>
        <v>#REF!</v>
      </c>
      <c r="S404" s="29" t="e">
        <f>IF(INDEX(#REF!,MATCH('data '!$B404,#REF!,0),MATCH('data '!S$3,#REF!,0))=0,"",INDEX(#REF!,MATCH('data '!$B404,#REF!,0),MATCH('data '!S$3,#REF!,0)))</f>
        <v>#REF!</v>
      </c>
      <c r="T404" s="29" t="e">
        <f>IF(INDEX(#REF!,MATCH('data '!$B404,#REF!,0),MATCH('data '!T$3,#REF!,0))=0,"",INDEX(#REF!,MATCH('data '!$B404,#REF!,0),MATCH('data '!T$3,#REF!,0)))</f>
        <v>#REF!</v>
      </c>
      <c r="U404" s="8" t="s">
        <v>25</v>
      </c>
      <c r="V404" s="25" t="s">
        <v>266</v>
      </c>
      <c r="W404" s="25" t="s">
        <v>144</v>
      </c>
      <c r="X404" s="9" t="s">
        <v>25</v>
      </c>
      <c r="Y404" s="9">
        <v>45826</v>
      </c>
      <c r="Z404" s="8">
        <v>45968</v>
      </c>
      <c r="AA404" s="8">
        <v>45756</v>
      </c>
      <c r="AC404" s="8" t="e">
        <f>VLOOKUP(B404,#REF!,19,0)</f>
        <v>#REF!</v>
      </c>
      <c r="AE404" s="8" t="s">
        <v>228</v>
      </c>
      <c r="AF404" s="8">
        <v>45908</v>
      </c>
      <c r="AG404" s="8">
        <v>45946</v>
      </c>
      <c r="AH404" s="8" t="s">
        <v>1649</v>
      </c>
      <c r="AI404" s="8">
        <v>45950</v>
      </c>
      <c r="AJ404" s="8" t="s">
        <v>1650</v>
      </c>
      <c r="AK404" s="8">
        <v>45947</v>
      </c>
      <c r="AL404" s="8">
        <v>45979</v>
      </c>
      <c r="AM404" s="8">
        <v>45986</v>
      </c>
      <c r="AP404" s="8" t="str">
        <f t="shared" si="16"/>
        <v>Tempo Energized</v>
      </c>
      <c r="AQ404" s="10" cm="1">
        <f t="array" aca="1" ref="AQ404" ca="1">IF(AM404&gt;0,(TODAY()-AM404),IF(AL404&gt;0,(TODAY()-AL404),IF(AK404&gt;0,(TODAY()-AK404,IF(AI404&gt;0,(TODAY()-AI404),IF(AG404&gt;0,(TODAY()-AG404),IF(AF404&gt;0,(TODAY()-AF404),IF(X404&gt;0,(TODAY()-X404)," "))))))))</f>
        <v>120</v>
      </c>
      <c r="AT404" s="8">
        <v>45957</v>
      </c>
      <c r="AU404" s="8">
        <v>45967</v>
      </c>
      <c r="AV404" s="8">
        <v>45967</v>
      </c>
      <c r="AW404" s="8" t="s">
        <v>1757</v>
      </c>
      <c r="AX404" s="8">
        <v>45971</v>
      </c>
      <c r="AY404" s="8" t="s">
        <v>1758</v>
      </c>
      <c r="BD404" s="2" t="str">
        <f t="shared" si="17"/>
        <v>PO Issued</v>
      </c>
      <c r="BE404" s="2">
        <v>25</v>
      </c>
      <c r="BG404" s="2" t="e">
        <v>#N/A</v>
      </c>
      <c r="BH404" s="2" t="e" vm="1">
        <v>#REF!</v>
      </c>
    </row>
    <row r="405" spans="2:60" hidden="1" x14ac:dyDescent="0.25">
      <c r="B405" s="2" t="s">
        <v>1987</v>
      </c>
      <c r="C405" s="2" t="s">
        <v>1988</v>
      </c>
      <c r="D405" s="44" t="s">
        <v>1989</v>
      </c>
      <c r="E405" s="2" t="s">
        <v>3</v>
      </c>
      <c r="F405" s="2" t="s">
        <v>279</v>
      </c>
      <c r="G405" s="2" t="s">
        <v>1</v>
      </c>
      <c r="H405" s="2" t="s">
        <v>139</v>
      </c>
      <c r="I405" s="2" t="s">
        <v>140</v>
      </c>
      <c r="J405" s="2" t="s">
        <v>141</v>
      </c>
      <c r="K405" s="2" t="s">
        <v>280</v>
      </c>
      <c r="L405" s="2" t="s">
        <v>1692</v>
      </c>
      <c r="M405" s="2">
        <v>0</v>
      </c>
      <c r="N405" s="2">
        <v>18.532499999999999</v>
      </c>
      <c r="O405" s="2">
        <v>120.7963</v>
      </c>
      <c r="P405" s="2" t="s">
        <v>87</v>
      </c>
      <c r="Q405" s="2" t="s">
        <v>265</v>
      </c>
      <c r="R405" s="29" t="e">
        <f>IF(INDEX(#REF!,MATCH('data '!$B405,#REF!,0),MATCH('data '!R$3,#REF!,0))=0,"",INDEX(#REF!,MATCH('data '!$B405,#REF!,0),MATCH('data '!R$3,#REF!,0)))</f>
        <v>#REF!</v>
      </c>
      <c r="S405" s="29" t="e">
        <f>IF(INDEX(#REF!,MATCH('data '!$B405,#REF!,0),MATCH('data '!S$3,#REF!,0))=0,"",INDEX(#REF!,MATCH('data '!$B405,#REF!,0),MATCH('data '!S$3,#REF!,0)))</f>
        <v>#REF!</v>
      </c>
      <c r="T405" s="29" t="e">
        <f>IF(INDEX(#REF!,MATCH('data '!$B405,#REF!,0),MATCH('data '!T$3,#REF!,0))=0,"",INDEX(#REF!,MATCH('data '!$B405,#REF!,0),MATCH('data '!T$3,#REF!,0)))</f>
        <v>#REF!</v>
      </c>
      <c r="U405" s="8" t="s">
        <v>25</v>
      </c>
      <c r="V405" s="25" t="s">
        <v>266</v>
      </c>
      <c r="W405" s="25" t="s">
        <v>144</v>
      </c>
      <c r="X405" s="9" t="s">
        <v>25</v>
      </c>
      <c r="Y405" s="9">
        <v>45803</v>
      </c>
      <c r="AA405" s="8">
        <v>46000</v>
      </c>
      <c r="AC405" s="8" t="e">
        <f>VLOOKUP(B405,#REF!,19,0)</f>
        <v>#REF!</v>
      </c>
      <c r="AE405" s="8" t="s">
        <v>145</v>
      </c>
      <c r="AF405" s="8">
        <v>45905</v>
      </c>
      <c r="AG405" s="8">
        <v>45946</v>
      </c>
      <c r="AH405" s="8" t="s">
        <v>283</v>
      </c>
      <c r="AI405" s="8">
        <v>45950</v>
      </c>
      <c r="AJ405" s="8" t="s">
        <v>284</v>
      </c>
      <c r="AK405" s="8">
        <v>45952</v>
      </c>
      <c r="AL405" s="8">
        <v>45954</v>
      </c>
      <c r="AM405" s="8">
        <v>45966</v>
      </c>
      <c r="AP405" s="8" t="str">
        <f t="shared" si="16"/>
        <v>Tempo Energized</v>
      </c>
      <c r="AQ405" s="10" cm="1">
        <f t="array" aca="1" ref="AQ405" ca="1">IF(AM405&gt;0,(TODAY()-AM405),IF(AL405&gt;0,(TODAY()-AL405),IF(AK405&gt;0,(TODAY()-AK405,IF(AI405&gt;0,(TODAY()-AI405),IF(AG405&gt;0,(TODAY()-AG405),IF(AF405&gt;0,(TODAY()-AF405),IF(X405&gt;0,(TODAY()-X405)," "))))))))</f>
        <v>140</v>
      </c>
      <c r="AT405" s="8">
        <v>45912</v>
      </c>
      <c r="AU405" s="8">
        <v>45939</v>
      </c>
      <c r="AV405" s="8">
        <v>45939</v>
      </c>
      <c r="AW405" s="8" t="s">
        <v>285</v>
      </c>
      <c r="AX405" s="8">
        <v>45943</v>
      </c>
      <c r="AY405" s="8" t="s">
        <v>286</v>
      </c>
      <c r="BD405" s="2" t="str">
        <f t="shared" si="17"/>
        <v>PO Issued</v>
      </c>
      <c r="BE405" s="2">
        <v>1</v>
      </c>
      <c r="BF405" s="2" t="s">
        <v>287</v>
      </c>
      <c r="BG405" s="2" t="e">
        <v>#N/A</v>
      </c>
      <c r="BH405" s="2" t="e" vm="1">
        <v>#REF!</v>
      </c>
    </row>
    <row r="406" spans="2:60" hidden="1" x14ac:dyDescent="0.25">
      <c r="B406" s="7" t="s">
        <v>1990</v>
      </c>
      <c r="C406" s="2" t="s">
        <v>1991</v>
      </c>
      <c r="D406" s="44" t="s">
        <v>1992</v>
      </c>
      <c r="E406" s="2" t="s">
        <v>3</v>
      </c>
      <c r="F406" s="2" t="s">
        <v>223</v>
      </c>
      <c r="G406" s="2" t="s">
        <v>1</v>
      </c>
      <c r="H406" s="2" t="s">
        <v>139</v>
      </c>
      <c r="I406" s="2" t="s">
        <v>140</v>
      </c>
      <c r="J406" s="2" t="s">
        <v>209</v>
      </c>
      <c r="K406" s="2" t="s">
        <v>505</v>
      </c>
      <c r="L406" s="2" t="s">
        <v>1993</v>
      </c>
      <c r="M406" s="2">
        <v>0</v>
      </c>
      <c r="N406" s="2">
        <v>18.1675</v>
      </c>
      <c r="O406" s="2">
        <v>121.44580000000001</v>
      </c>
      <c r="P406" s="2" t="s">
        <v>87</v>
      </c>
      <c r="Q406" s="2" t="s">
        <v>198</v>
      </c>
      <c r="R406" s="29" t="e">
        <f>IF(INDEX(#REF!,MATCH('data '!$B406,#REF!,0),MATCH('data '!R$3,#REF!,0))=0,"",INDEX(#REF!,MATCH('data '!$B406,#REF!,0),MATCH('data '!R$3,#REF!,0)))</f>
        <v>#REF!</v>
      </c>
      <c r="S406" s="29" t="e">
        <f>IF(INDEX(#REF!,MATCH('data '!$B406,#REF!,0),MATCH('data '!S$3,#REF!,0))=0,"",INDEX(#REF!,MATCH('data '!$B406,#REF!,0),MATCH('data '!S$3,#REF!,0)))</f>
        <v>#REF!</v>
      </c>
      <c r="T406" s="29" t="e">
        <f>IF(INDEX(#REF!,MATCH('data '!$B406,#REF!,0),MATCH('data '!T$3,#REF!,0))=0,"",INDEX(#REF!,MATCH('data '!$B406,#REF!,0),MATCH('data '!T$3,#REF!,0)))</f>
        <v>#REF!</v>
      </c>
      <c r="V406" s="25" t="s">
        <v>160</v>
      </c>
      <c r="W406" s="25" t="s">
        <v>144</v>
      </c>
      <c r="X406" s="9" t="s">
        <v>25</v>
      </c>
      <c r="Y406" s="9">
        <v>45863</v>
      </c>
      <c r="Z406" s="8">
        <v>45999</v>
      </c>
      <c r="AC406" s="8" t="e">
        <f>VLOOKUP(B406,#REF!,19,0)</f>
        <v>#REF!</v>
      </c>
      <c r="AE406" s="8" t="s">
        <v>212</v>
      </c>
      <c r="AF406" s="8">
        <v>45908</v>
      </c>
      <c r="AG406" s="8">
        <v>45908</v>
      </c>
      <c r="AH406" s="8" t="s">
        <v>507</v>
      </c>
      <c r="AI406" s="8">
        <v>45909</v>
      </c>
      <c r="AJ406" s="8" t="s">
        <v>508</v>
      </c>
      <c r="AK406" s="8">
        <v>45916</v>
      </c>
      <c r="AP406" s="8" t="str">
        <f t="shared" si="16"/>
        <v>COOP Surveyed</v>
      </c>
      <c r="AT406" s="8">
        <v>45978</v>
      </c>
      <c r="AU406" s="8">
        <v>45985</v>
      </c>
      <c r="AV406" s="8">
        <v>45985</v>
      </c>
      <c r="AW406" s="8" t="s">
        <v>1600</v>
      </c>
      <c r="AX406" s="8">
        <v>45987</v>
      </c>
      <c r="AY406" s="8" t="s">
        <v>1601</v>
      </c>
      <c r="BD406" s="2" t="str">
        <f t="shared" si="17"/>
        <v>PO Issued</v>
      </c>
      <c r="BE406" s="2">
        <v>32</v>
      </c>
      <c r="BG406" s="2" t="e">
        <v>#N/A</v>
      </c>
      <c r="BH406" s="2" t="e" vm="1">
        <v>#REF!</v>
      </c>
    </row>
    <row r="407" spans="2:60" hidden="1" x14ac:dyDescent="0.25">
      <c r="B407" s="26" t="s">
        <v>1994</v>
      </c>
      <c r="C407" s="2" t="s">
        <v>1995</v>
      </c>
      <c r="D407" s="44" t="s">
        <v>1996</v>
      </c>
      <c r="E407" s="2" t="s">
        <v>3</v>
      </c>
      <c r="F407" s="2" t="s">
        <v>223</v>
      </c>
      <c r="G407" s="2" t="s">
        <v>1</v>
      </c>
      <c r="H407" s="2" t="s">
        <v>139</v>
      </c>
      <c r="I407" s="2" t="s">
        <v>140</v>
      </c>
      <c r="J407" s="2" t="s">
        <v>209</v>
      </c>
      <c r="K407" s="2" t="s">
        <v>505</v>
      </c>
      <c r="L407" s="2" t="s">
        <v>1997</v>
      </c>
      <c r="M407" s="2">
        <v>0</v>
      </c>
      <c r="N407" s="2">
        <v>18.249199999999998</v>
      </c>
      <c r="O407" s="2">
        <v>121.4164</v>
      </c>
      <c r="P407" s="2" t="s">
        <v>87</v>
      </c>
      <c r="Q407" s="2" t="s">
        <v>265</v>
      </c>
      <c r="R407" s="29" t="e">
        <f>IF(INDEX(#REF!,MATCH('data '!$B407,#REF!,0),MATCH('data '!R$3,#REF!,0))=0,"",INDEX(#REF!,MATCH('data '!$B407,#REF!,0),MATCH('data '!R$3,#REF!,0)))</f>
        <v>#REF!</v>
      </c>
      <c r="S407" s="29" t="e">
        <f>IF(INDEX(#REF!,MATCH('data '!$B407,#REF!,0),MATCH('data '!S$3,#REF!,0))=0,"",INDEX(#REF!,MATCH('data '!$B407,#REF!,0),MATCH('data '!S$3,#REF!,0)))</f>
        <v>#REF!</v>
      </c>
      <c r="T407" s="29" t="e">
        <f>IF(INDEX(#REF!,MATCH('data '!$B407,#REF!,0),MATCH('data '!T$3,#REF!,0))=0,"",INDEX(#REF!,MATCH('data '!$B407,#REF!,0),MATCH('data '!T$3,#REF!,0)))</f>
        <v>#REF!</v>
      </c>
      <c r="U407" s="8" t="s">
        <v>25</v>
      </c>
      <c r="V407" s="25" t="s">
        <v>185</v>
      </c>
      <c r="W407" s="25" t="s">
        <v>144</v>
      </c>
      <c r="X407" s="9" t="s">
        <v>25</v>
      </c>
      <c r="Y407" s="9">
        <v>45852</v>
      </c>
      <c r="AC407" s="8" t="e">
        <f>VLOOKUP(B407,#REF!,19,0)</f>
        <v>#REF!</v>
      </c>
      <c r="AE407" s="8" t="s">
        <v>212</v>
      </c>
      <c r="AF407" s="8">
        <v>45859</v>
      </c>
      <c r="AG407" s="8">
        <v>45964</v>
      </c>
      <c r="AH407" s="8" t="s">
        <v>1998</v>
      </c>
      <c r="AI407" s="8">
        <v>45965</v>
      </c>
      <c r="AJ407" s="8" t="s">
        <v>1999</v>
      </c>
      <c r="AP407" s="8" t="str">
        <f t="shared" si="16"/>
        <v>PO Issued</v>
      </c>
      <c r="AQ407" s="10" t="b" cm="1">
        <f t="array" aca="1" ref="AQ407" ca="1">IF(AM407&gt;0,(TODAY()-AM407),IF(AL407&gt;0,(TODAY()-AL407),IF(AK407&gt;0,(TODAY()-AK407,IF(AI407&gt;0,(TODAY()-AI407),IF(AG407&gt;0,(TODAY()-AG407),IF(AF407&gt;0,(TODAY()-AF407),IF(X407&gt;0,(TODAY()-X407)," "))))))))</f>
        <v>0</v>
      </c>
      <c r="AT407" s="8">
        <v>45978</v>
      </c>
      <c r="AU407" s="8">
        <v>45985</v>
      </c>
      <c r="AV407" s="8">
        <v>45985</v>
      </c>
      <c r="AW407" s="8" t="s">
        <v>1600</v>
      </c>
      <c r="AX407" s="8">
        <v>45987</v>
      </c>
      <c r="AY407" s="8" t="s">
        <v>1601</v>
      </c>
      <c r="BD407" s="2" t="str">
        <f t="shared" si="17"/>
        <v>PO Issued</v>
      </c>
      <c r="BE407" s="2">
        <v>81</v>
      </c>
      <c r="BG407" s="2" t="e">
        <v>#N/A</v>
      </c>
      <c r="BH407" s="2" t="e" vm="1">
        <v>#REF!</v>
      </c>
    </row>
    <row r="408" spans="2:60" x14ac:dyDescent="0.25">
      <c r="B408" s="2" t="s">
        <v>2000</v>
      </c>
      <c r="C408" s="2" t="s">
        <v>2001</v>
      </c>
      <c r="D408" s="44" t="s">
        <v>2002</v>
      </c>
      <c r="E408" s="2" t="s">
        <v>3</v>
      </c>
      <c r="F408" s="2" t="s">
        <v>223</v>
      </c>
      <c r="G408" s="2" t="s">
        <v>1</v>
      </c>
      <c r="H408" s="2" t="s">
        <v>139</v>
      </c>
      <c r="I408" s="2" t="s">
        <v>140</v>
      </c>
      <c r="J408" s="2" t="s">
        <v>209</v>
      </c>
      <c r="K408" s="2" t="s">
        <v>505</v>
      </c>
      <c r="L408" s="2" t="s">
        <v>2003</v>
      </c>
      <c r="M408" s="2">
        <v>0</v>
      </c>
      <c r="N408" s="2">
        <v>0</v>
      </c>
      <c r="O408" s="2">
        <v>0</v>
      </c>
      <c r="P408" s="2" t="s">
        <v>168</v>
      </c>
      <c r="Q408" s="2" t="s">
        <v>73</v>
      </c>
      <c r="R408" s="29" t="e">
        <f>IF(INDEX(#REF!,MATCH('data '!$B408,#REF!,0),MATCH('data '!R$3,#REF!,0))=0,"",INDEX(#REF!,MATCH('data '!$B408,#REF!,0),MATCH('data '!R$3,#REF!,0)))</f>
        <v>#REF!</v>
      </c>
      <c r="S408" s="29" t="e">
        <f>IF(INDEX(#REF!,MATCH('data '!$B408,#REF!,0),MATCH('data '!S$3,#REF!,0))=0,"",INDEX(#REF!,MATCH('data '!$B408,#REF!,0),MATCH('data '!S$3,#REF!,0)))</f>
        <v>#REF!</v>
      </c>
      <c r="T408" s="29" t="e">
        <f>IF(INDEX(#REF!,MATCH('data '!$B408,#REF!,0),MATCH('data '!T$3,#REF!,0))=0,"",INDEX(#REF!,MATCH('data '!$B408,#REF!,0),MATCH('data '!T$3,#REF!,0)))</f>
        <v>#REF!</v>
      </c>
      <c r="V408" s="25" t="s">
        <v>168</v>
      </c>
      <c r="W408" s="25" t="s">
        <v>176</v>
      </c>
      <c r="AC408" s="8" t="e">
        <f>VLOOKUP(B408,#REF!,19,0)</f>
        <v>#REF!</v>
      </c>
      <c r="AE408" s="8" t="s">
        <v>228</v>
      </c>
      <c r="AF408" s="21">
        <v>45938</v>
      </c>
      <c r="AP408" s="8" t="str">
        <f t="shared" si="16"/>
        <v>Vendor Allocated</v>
      </c>
      <c r="AQ408" s="10" t="b" cm="1">
        <f t="array" aca="1" ref="AQ408" ca="1">IF(AM408&gt;0,(TODAY()-AM408),IF(AL408&gt;0,(TODAY()-AL408),IF(AK408&gt;0,(TODAY()-AK408,IF(AI408&gt;0,(TODAY()-AI408),IF(AG408&gt;0,(TODAY()-AG408),IF(AF408&gt;0,(TODAY()-AF408),IF(X408&gt;0,(TODAY()-X408)," "))))))))</f>
        <v>0</v>
      </c>
      <c r="BD408" s="2" t="str">
        <f t="shared" si="17"/>
        <v>Vendor Allocated</v>
      </c>
      <c r="BE408" s="2">
        <v>2</v>
      </c>
      <c r="BG408" s="2" t="s">
        <v>1717</v>
      </c>
      <c r="BH408" s="2" t="e" vm="1">
        <v>#REF!</v>
      </c>
    </row>
    <row r="409" spans="2:60" hidden="1" x14ac:dyDescent="0.25">
      <c r="B409" s="7" t="s">
        <v>2004</v>
      </c>
      <c r="C409" s="2" t="s">
        <v>2005</v>
      </c>
      <c r="D409" s="44" t="s">
        <v>2006</v>
      </c>
      <c r="E409" s="2" t="s">
        <v>3</v>
      </c>
      <c r="F409" s="2" t="s">
        <v>279</v>
      </c>
      <c r="G409" s="2" t="s">
        <v>1</v>
      </c>
      <c r="H409" s="2" t="s">
        <v>139</v>
      </c>
      <c r="I409" s="2" t="s">
        <v>140</v>
      </c>
      <c r="J409" s="2" t="s">
        <v>141</v>
      </c>
      <c r="K409" s="2" t="s">
        <v>280</v>
      </c>
      <c r="L409" s="2" t="s">
        <v>2007</v>
      </c>
      <c r="M409" s="2">
        <v>0</v>
      </c>
      <c r="N409" s="2">
        <v>18.118850999999999</v>
      </c>
      <c r="O409" s="2">
        <v>120.689026</v>
      </c>
      <c r="P409" s="2" t="s">
        <v>87</v>
      </c>
      <c r="Q409" s="2" t="s">
        <v>73</v>
      </c>
      <c r="R409" s="29" t="e">
        <f>IF(INDEX(#REF!,MATCH('data '!$B409,#REF!,0),MATCH('data '!R$3,#REF!,0))=0,"",INDEX(#REF!,MATCH('data '!$B409,#REF!,0),MATCH('data '!R$3,#REF!,0)))</f>
        <v>#REF!</v>
      </c>
      <c r="S409" s="29" t="e">
        <f>IF(INDEX(#REF!,MATCH('data '!$B409,#REF!,0),MATCH('data '!S$3,#REF!,0))=0,"",INDEX(#REF!,MATCH('data '!$B409,#REF!,0),MATCH('data '!S$3,#REF!,0)))</f>
        <v>#REF!</v>
      </c>
      <c r="T409" s="29" t="e">
        <f>IF(INDEX(#REF!,MATCH('data '!$B409,#REF!,0),MATCH('data '!T$3,#REF!,0))=0,"",INDEX(#REF!,MATCH('data '!$B409,#REF!,0),MATCH('data '!T$3,#REF!,0)))</f>
        <v>#REF!</v>
      </c>
      <c r="U409" s="8" t="s">
        <v>25</v>
      </c>
      <c r="V409" s="25" t="s">
        <v>160</v>
      </c>
      <c r="W409" s="25" t="s">
        <v>144</v>
      </c>
      <c r="X409" s="9" t="s">
        <v>25</v>
      </c>
      <c r="Y409" s="9">
        <v>45922</v>
      </c>
      <c r="AC409" s="8" t="e">
        <f>VLOOKUP(B409,#REF!,19,0)</f>
        <v>#REF!</v>
      </c>
      <c r="AE409" s="8" t="s">
        <v>145</v>
      </c>
      <c r="AF409" s="8">
        <v>45938</v>
      </c>
      <c r="AG409" s="8">
        <v>45939</v>
      </c>
      <c r="AH409" s="8" t="s">
        <v>146</v>
      </c>
      <c r="AI409" s="8">
        <v>45943</v>
      </c>
      <c r="AJ409" s="8" t="s">
        <v>147</v>
      </c>
      <c r="AK409" s="8">
        <v>45950</v>
      </c>
      <c r="AL409" s="8">
        <v>45957</v>
      </c>
      <c r="AM409" s="8">
        <v>45965</v>
      </c>
      <c r="AP409" s="8" t="str">
        <f t="shared" si="16"/>
        <v>Tempo Energized</v>
      </c>
      <c r="AQ409" s="10" cm="1">
        <f t="array" aca="1" ref="AQ409" ca="1">IF(AM409&gt;0,(TODAY()-AM409),IF(AL409&gt;0,(TODAY()-AL409),IF(AK409&gt;0,(TODAY()-AK409,IF(AI409&gt;0,(TODAY()-AI409),IF(AG409&gt;0,(TODAY()-AG409),IF(AF409&gt;0,(TODAY()-AF409),IF(X409&gt;0,(TODAY()-X409)," "))))))))</f>
        <v>141</v>
      </c>
      <c r="AT409" s="8">
        <v>45994</v>
      </c>
      <c r="AU409" s="8">
        <v>46048</v>
      </c>
      <c r="AV409" s="8">
        <v>46048</v>
      </c>
      <c r="AW409" s="8" t="s">
        <v>148</v>
      </c>
      <c r="AX409" s="11"/>
      <c r="AY409" s="11"/>
      <c r="BD409" s="2" t="str">
        <f t="shared" si="17"/>
        <v>PQ Raised</v>
      </c>
      <c r="BE409" s="2">
        <v>2</v>
      </c>
      <c r="BG409" s="2" t="s">
        <v>149</v>
      </c>
      <c r="BH409" s="2" t="e" vm="1">
        <v>#REF!</v>
      </c>
    </row>
    <row r="410" spans="2:60" hidden="1" x14ac:dyDescent="0.25">
      <c r="B410" s="2" t="s">
        <v>2008</v>
      </c>
      <c r="C410" s="2" t="s">
        <v>2009</v>
      </c>
      <c r="D410" s="44" t="s">
        <v>2010</v>
      </c>
      <c r="E410" s="2" t="s">
        <v>3</v>
      </c>
      <c r="F410" s="2" t="s">
        <v>1579</v>
      </c>
      <c r="G410" s="2" t="s">
        <v>1</v>
      </c>
      <c r="H410" s="2" t="s">
        <v>139</v>
      </c>
      <c r="I410" s="2" t="s">
        <v>140</v>
      </c>
      <c r="J410" s="2" t="s">
        <v>224</v>
      </c>
      <c r="K410" s="2" t="s">
        <v>1580</v>
      </c>
      <c r="L410" s="2" t="s">
        <v>1599</v>
      </c>
      <c r="M410" s="2">
        <v>0</v>
      </c>
      <c r="N410" s="2">
        <v>16.319299999999998</v>
      </c>
      <c r="O410" s="2">
        <v>121.0535</v>
      </c>
      <c r="P410" s="2" t="s">
        <v>87</v>
      </c>
      <c r="Q410" s="2" t="s">
        <v>198</v>
      </c>
      <c r="R410" s="29" t="e">
        <f>IF(INDEX(#REF!,MATCH('data '!$B410,#REF!,0),MATCH('data '!R$3,#REF!,0))=0,"",INDEX(#REF!,MATCH('data '!$B410,#REF!,0),MATCH('data '!R$3,#REF!,0)))</f>
        <v>#REF!</v>
      </c>
      <c r="S410" s="29" t="e">
        <f>IF(INDEX(#REF!,MATCH('data '!$B410,#REF!,0),MATCH('data '!S$3,#REF!,0))=0,"",INDEX(#REF!,MATCH('data '!$B410,#REF!,0),MATCH('data '!S$3,#REF!,0)))</f>
        <v>#REF!</v>
      </c>
      <c r="T410" s="29" t="e">
        <f>IF(INDEX(#REF!,MATCH('data '!$B410,#REF!,0),MATCH('data '!T$3,#REF!,0))=0,"",INDEX(#REF!,MATCH('data '!$B410,#REF!,0),MATCH('data '!T$3,#REF!,0)))</f>
        <v>#REF!</v>
      </c>
      <c r="U410" s="8" t="s">
        <v>25</v>
      </c>
      <c r="V410" s="25" t="s">
        <v>266</v>
      </c>
      <c r="W410" s="25" t="s">
        <v>144</v>
      </c>
      <c r="X410" s="9" t="s">
        <v>25</v>
      </c>
      <c r="Y410" s="9">
        <v>45863</v>
      </c>
      <c r="AC410" s="8" t="e">
        <f>VLOOKUP(B410,#REF!,19,0)</f>
        <v>#REF!</v>
      </c>
      <c r="AE410" s="8" t="s">
        <v>212</v>
      </c>
      <c r="AF410" s="8">
        <v>45908</v>
      </c>
      <c r="AG410" s="8">
        <v>45908</v>
      </c>
      <c r="AH410" s="8" t="s">
        <v>507</v>
      </c>
      <c r="AI410" s="8">
        <v>45909</v>
      </c>
      <c r="AJ410" s="8" t="s">
        <v>508</v>
      </c>
      <c r="AK410" s="8">
        <v>45916</v>
      </c>
      <c r="AL410" s="8">
        <v>45915</v>
      </c>
      <c r="AM410" s="8">
        <v>45931</v>
      </c>
      <c r="AP410" s="8" t="str">
        <f t="shared" si="16"/>
        <v>Tempo Energized</v>
      </c>
      <c r="AT410" s="8">
        <v>45926</v>
      </c>
      <c r="AU410" s="8">
        <v>45950</v>
      </c>
      <c r="AV410" s="8">
        <v>45950</v>
      </c>
      <c r="AW410" s="8" t="s">
        <v>1582</v>
      </c>
      <c r="AX410" s="8">
        <v>45950</v>
      </c>
      <c r="AY410" s="8" t="s">
        <v>1583</v>
      </c>
      <c r="BD410" s="2" t="str">
        <f t="shared" si="17"/>
        <v>PO Issued</v>
      </c>
      <c r="BE410" s="2">
        <v>14</v>
      </c>
      <c r="BG410" s="2" t="e">
        <v>#N/A</v>
      </c>
      <c r="BH410" s="2" t="e" vm="1">
        <v>#REF!</v>
      </c>
    </row>
    <row r="411" spans="2:60" hidden="1" x14ac:dyDescent="0.25">
      <c r="B411" s="2" t="s">
        <v>2011</v>
      </c>
      <c r="C411" s="2" t="s">
        <v>2012</v>
      </c>
      <c r="D411" s="44" t="s">
        <v>2013</v>
      </c>
      <c r="E411" s="2" t="s">
        <v>5</v>
      </c>
      <c r="F411" s="2" t="s">
        <v>1336</v>
      </c>
      <c r="G411" s="2" t="s">
        <v>1</v>
      </c>
      <c r="H411" s="2" t="s">
        <v>139</v>
      </c>
      <c r="I411" s="2" t="s">
        <v>140</v>
      </c>
      <c r="J411" s="2" t="s">
        <v>209</v>
      </c>
      <c r="K411" s="2" t="s">
        <v>1853</v>
      </c>
      <c r="L411" s="2" t="s">
        <v>2014</v>
      </c>
      <c r="M411" s="2">
        <v>0</v>
      </c>
      <c r="N411" s="2">
        <v>0</v>
      </c>
      <c r="O411" s="2">
        <v>0</v>
      </c>
      <c r="P411" s="2" t="s">
        <v>116</v>
      </c>
      <c r="Q411" s="2" t="s">
        <v>73</v>
      </c>
      <c r="R411" s="29" t="e">
        <f>IF(INDEX(#REF!,MATCH('data '!$B411,#REF!,0),MATCH('data '!R$3,#REF!,0))=0,"",INDEX(#REF!,MATCH('data '!$B411,#REF!,0),MATCH('data '!R$3,#REF!,0)))</f>
        <v>#REF!</v>
      </c>
      <c r="S411" s="29" t="e">
        <f>IF(INDEX(#REF!,MATCH('data '!$B411,#REF!,0),MATCH('data '!S$3,#REF!,0))=0,"",INDEX(#REF!,MATCH('data '!$B411,#REF!,0),MATCH('data '!S$3,#REF!,0)))</f>
        <v>#REF!</v>
      </c>
      <c r="T411" s="29" t="e">
        <f>IF(INDEX(#REF!,MATCH('data '!$B411,#REF!,0),MATCH('data '!T$3,#REF!,0))=0,"",INDEX(#REF!,MATCH('data '!$B411,#REF!,0),MATCH('data '!T$3,#REF!,0)))</f>
        <v>#REF!</v>
      </c>
      <c r="V411" s="25" t="s">
        <v>74</v>
      </c>
      <c r="W411" s="25">
        <v>0</v>
      </c>
      <c r="AC411" s="8" t="e">
        <f>VLOOKUP(B411,#REF!,19,0)</f>
        <v>#REF!</v>
      </c>
      <c r="AE411" s="8" t="s">
        <v>212</v>
      </c>
      <c r="AF411" s="21">
        <v>45938</v>
      </c>
      <c r="AP411" s="8" t="str">
        <f t="shared" si="16"/>
        <v>Vendor Allocated</v>
      </c>
      <c r="AQ411" s="10" t="b" cm="1">
        <f t="array" aca="1" ref="AQ411" ca="1">IF(AM411&gt;0,(TODAY()-AM411),IF(AL411&gt;0,(TODAY()-AL411),IF(AK411&gt;0,(TODAY()-AK411,IF(AI411&gt;0,(TODAY()-AI411),IF(AG411&gt;0,(TODAY()-AG411),IF(AF411&gt;0,(TODAY()-AF411),IF(X411&gt;0,(TODAY()-X411)," "))))))))</f>
        <v>0</v>
      </c>
      <c r="BD411" s="2" t="str">
        <f t="shared" si="17"/>
        <v>Vendor Allocated</v>
      </c>
      <c r="BE411" s="2">
        <v>2</v>
      </c>
      <c r="BG411" s="2" t="s">
        <v>1869</v>
      </c>
      <c r="BH411" s="2" t="e" vm="1">
        <v>#REF!</v>
      </c>
    </row>
    <row r="412" spans="2:60" hidden="1" x14ac:dyDescent="0.25">
      <c r="B412" s="19" t="s">
        <v>2015</v>
      </c>
      <c r="C412" s="2" t="s">
        <v>2016</v>
      </c>
      <c r="D412" s="44" t="s">
        <v>2017</v>
      </c>
      <c r="E412" s="2" t="s">
        <v>4</v>
      </c>
      <c r="F412" s="2" t="s">
        <v>262</v>
      </c>
      <c r="G412" s="2" t="s">
        <v>1</v>
      </c>
      <c r="H412" s="2" t="s">
        <v>139</v>
      </c>
      <c r="I412" s="2" t="s">
        <v>140</v>
      </c>
      <c r="J412" s="2" t="s">
        <v>122</v>
      </c>
      <c r="K412" s="2" t="s">
        <v>263</v>
      </c>
      <c r="L412" s="2" t="s">
        <v>2018</v>
      </c>
      <c r="M412" s="2">
        <v>0</v>
      </c>
      <c r="N412" s="2">
        <v>16.242799999999999</v>
      </c>
      <c r="O412" s="2">
        <v>122.0778</v>
      </c>
      <c r="P412" s="2" t="s">
        <v>87</v>
      </c>
      <c r="Q412" s="2" t="s">
        <v>227</v>
      </c>
      <c r="R412" s="29" t="e">
        <f>IF(INDEX(#REF!,MATCH('data '!$B412,#REF!,0),MATCH('data '!R$3,#REF!,0))=0,"",INDEX(#REF!,MATCH('data '!$B412,#REF!,0),MATCH('data '!R$3,#REF!,0)))</f>
        <v>#REF!</v>
      </c>
      <c r="S412" s="29" t="e">
        <f>IF(INDEX(#REF!,MATCH('data '!$B412,#REF!,0),MATCH('data '!S$3,#REF!,0))=0,"",INDEX(#REF!,MATCH('data '!$B412,#REF!,0),MATCH('data '!S$3,#REF!,0)))</f>
        <v>#REF!</v>
      </c>
      <c r="T412" s="29" t="e">
        <f>IF(INDEX(#REF!,MATCH('data '!$B412,#REF!,0),MATCH('data '!T$3,#REF!,0))=0,"",INDEX(#REF!,MATCH('data '!$B412,#REF!,0),MATCH('data '!T$3,#REF!,0)))</f>
        <v>#REF!</v>
      </c>
      <c r="V412" s="25" t="s">
        <v>383</v>
      </c>
      <c r="W412" s="25" t="s">
        <v>144</v>
      </c>
      <c r="X412" s="9" t="s">
        <v>25</v>
      </c>
      <c r="Y412" s="9">
        <v>45852</v>
      </c>
      <c r="AC412" s="8" t="e">
        <f>VLOOKUP(B412,#REF!,19,0)</f>
        <v>#REF!</v>
      </c>
      <c r="AE412" s="8" t="s">
        <v>228</v>
      </c>
      <c r="AF412" s="8">
        <v>45908</v>
      </c>
      <c r="AG412" s="8">
        <v>45908</v>
      </c>
      <c r="AH412" s="8" t="s">
        <v>1739</v>
      </c>
      <c r="AI412" s="8">
        <v>45909</v>
      </c>
      <c r="AJ412" s="8" t="s">
        <v>1740</v>
      </c>
      <c r="AK412" s="8">
        <v>45916</v>
      </c>
      <c r="AM412" s="8">
        <v>45996</v>
      </c>
      <c r="AP412" s="8" t="str">
        <f t="shared" si="16"/>
        <v>Tempo Energized</v>
      </c>
      <c r="AR412" s="10" t="s">
        <v>270</v>
      </c>
      <c r="AS412" s="8" t="s">
        <v>2019</v>
      </c>
      <c r="AT412" s="8">
        <v>45903</v>
      </c>
      <c r="AU412" s="8">
        <v>45929</v>
      </c>
      <c r="AV412" s="8">
        <v>45929</v>
      </c>
      <c r="AW412" s="8" t="s">
        <v>272</v>
      </c>
      <c r="AX412" s="8">
        <v>45933</v>
      </c>
      <c r="AY412" s="8" t="s">
        <v>273</v>
      </c>
      <c r="BD412" s="2" t="str">
        <f t="shared" si="17"/>
        <v>PO Issued</v>
      </c>
      <c r="BF412" s="12" t="s">
        <v>274</v>
      </c>
      <c r="BG412" s="2" t="e">
        <v>#N/A</v>
      </c>
      <c r="BH412" s="2" t="s">
        <v>275</v>
      </c>
    </row>
    <row r="413" spans="2:60" hidden="1" x14ac:dyDescent="0.25">
      <c r="B413" s="26" t="s">
        <v>2020</v>
      </c>
      <c r="C413" s="2" t="s">
        <v>2021</v>
      </c>
      <c r="D413" s="44" t="s">
        <v>2022</v>
      </c>
      <c r="E413" s="2" t="s">
        <v>3</v>
      </c>
      <c r="F413" s="2" t="s">
        <v>797</v>
      </c>
      <c r="G413" s="2" t="s">
        <v>1</v>
      </c>
      <c r="H413" s="2" t="s">
        <v>139</v>
      </c>
      <c r="I413" s="2" t="s">
        <v>140</v>
      </c>
      <c r="J413" s="2" t="s">
        <v>209</v>
      </c>
      <c r="K413" s="2" t="s">
        <v>1733</v>
      </c>
      <c r="L413" s="2" t="s">
        <v>2023</v>
      </c>
      <c r="M413" s="2">
        <v>0</v>
      </c>
      <c r="N413" s="2">
        <v>17.6469512</v>
      </c>
      <c r="O413" s="2">
        <v>120.65749580000001</v>
      </c>
      <c r="P413" s="2" t="s">
        <v>87</v>
      </c>
      <c r="Q413" s="2" t="s">
        <v>265</v>
      </c>
      <c r="R413" s="29" t="e">
        <f>IF(INDEX(#REF!,MATCH('data '!$B413,#REF!,0),MATCH('data '!R$3,#REF!,0))=0,"",INDEX(#REF!,MATCH('data '!$B413,#REF!,0),MATCH('data '!R$3,#REF!,0)))</f>
        <v>#REF!</v>
      </c>
      <c r="S413" s="29" t="e">
        <f>IF(INDEX(#REF!,MATCH('data '!$B413,#REF!,0),MATCH('data '!S$3,#REF!,0))=0,"",INDEX(#REF!,MATCH('data '!$B413,#REF!,0),MATCH('data '!S$3,#REF!,0)))</f>
        <v>#REF!</v>
      </c>
      <c r="T413" s="29" t="e">
        <f>IF(INDEX(#REF!,MATCH('data '!$B413,#REF!,0),MATCH('data '!T$3,#REF!,0))=0,"",INDEX(#REF!,MATCH('data '!$B413,#REF!,0),MATCH('data '!T$3,#REF!,0)))</f>
        <v>#REF!</v>
      </c>
      <c r="U413" s="8" t="s">
        <v>25</v>
      </c>
      <c r="V413" s="25" t="s">
        <v>266</v>
      </c>
      <c r="W413" s="25" t="s">
        <v>144</v>
      </c>
      <c r="X413" s="9" t="s">
        <v>25</v>
      </c>
      <c r="Y413" s="9">
        <v>45821</v>
      </c>
      <c r="AA413" s="8">
        <v>45878</v>
      </c>
      <c r="AC413" s="8" t="e">
        <f>VLOOKUP(B413,#REF!,19,0)</f>
        <v>#REF!</v>
      </c>
      <c r="AE413" s="8" t="s">
        <v>145</v>
      </c>
      <c r="AF413" s="8">
        <v>45828</v>
      </c>
      <c r="AG413" s="8">
        <v>45964</v>
      </c>
      <c r="AH413" s="8" t="s">
        <v>2024</v>
      </c>
      <c r="AI413" s="8">
        <v>45965</v>
      </c>
      <c r="AJ413" s="8" t="s">
        <v>2025</v>
      </c>
      <c r="AK413" s="8">
        <v>45968</v>
      </c>
      <c r="AL413" s="8">
        <v>45987</v>
      </c>
      <c r="AM413" s="8">
        <v>46001</v>
      </c>
      <c r="AP413" s="8" t="str">
        <f t="shared" si="16"/>
        <v>Tempo Energized</v>
      </c>
      <c r="AQ413" s="10" cm="1">
        <f t="array" aca="1" ref="AQ413" ca="1">IF(AM413&gt;0,(TODAY()-AM413),IF(AL413&gt;0,(TODAY()-AL413),IF(AK413&gt;0,(TODAY()-AK413,IF(AI413&gt;0,(TODAY()-AI413),IF(AG413&gt;0,(TODAY()-AG413),IF(AF413&gt;0,(TODAY()-AF413),IF(X413&gt;0,(TODAY()-X413)," "))))))))</f>
        <v>105</v>
      </c>
      <c r="AT413" s="8">
        <v>45979</v>
      </c>
      <c r="AU413" s="8">
        <v>46001</v>
      </c>
      <c r="AV413" s="8">
        <v>46001</v>
      </c>
      <c r="AW413" s="8" t="s">
        <v>800</v>
      </c>
      <c r="AX413" s="8">
        <v>46003</v>
      </c>
      <c r="AY413" s="8" t="s">
        <v>801</v>
      </c>
      <c r="BD413" s="2" t="str">
        <f t="shared" si="17"/>
        <v>PO Issued</v>
      </c>
      <c r="BE413" s="2">
        <v>112</v>
      </c>
      <c r="BG413" s="2" t="e">
        <v>#N/A</v>
      </c>
      <c r="BH413" s="2" t="e" vm="1">
        <v>#REF!</v>
      </c>
    </row>
    <row r="414" spans="2:60" hidden="1" x14ac:dyDescent="0.25">
      <c r="B414" s="2" t="s">
        <v>2026</v>
      </c>
      <c r="C414" s="2" t="s">
        <v>2027</v>
      </c>
      <c r="D414" s="44" t="s">
        <v>2028</v>
      </c>
      <c r="E414" s="2" t="s">
        <v>4</v>
      </c>
      <c r="F414" s="2" t="s">
        <v>2029</v>
      </c>
      <c r="G414" s="2" t="s">
        <v>1</v>
      </c>
      <c r="H414" s="2" t="s">
        <v>139</v>
      </c>
      <c r="I414" s="2" t="s">
        <v>140</v>
      </c>
      <c r="J414" s="2" t="s">
        <v>122</v>
      </c>
      <c r="K414" s="2" t="s">
        <v>637</v>
      </c>
      <c r="L414" s="2" t="s">
        <v>2030</v>
      </c>
      <c r="M414" s="2" t="s">
        <v>519</v>
      </c>
      <c r="N414" s="2">
        <v>15.818199999999999</v>
      </c>
      <c r="O414" s="2">
        <v>121.13679999999999</v>
      </c>
      <c r="P414" s="2" t="s">
        <v>87</v>
      </c>
      <c r="Q414" s="2" t="s">
        <v>198</v>
      </c>
      <c r="R414" s="29" t="e">
        <f>IF(INDEX(#REF!,MATCH('data '!$B414,#REF!,0),MATCH('data '!R$3,#REF!,0))=0,"",INDEX(#REF!,MATCH('data '!$B414,#REF!,0),MATCH('data '!R$3,#REF!,0)))</f>
        <v>#REF!</v>
      </c>
      <c r="S414" s="29" t="e">
        <f>IF(INDEX(#REF!,MATCH('data '!$B414,#REF!,0),MATCH('data '!S$3,#REF!,0))=0,"",INDEX(#REF!,MATCH('data '!$B414,#REF!,0),MATCH('data '!S$3,#REF!,0)))</f>
        <v>#REF!</v>
      </c>
      <c r="T414" s="29" t="e">
        <f>IF(INDEX(#REF!,MATCH('data '!$B414,#REF!,0),MATCH('data '!T$3,#REF!,0))=0,"",INDEX(#REF!,MATCH('data '!$B414,#REF!,0),MATCH('data '!T$3,#REF!,0)))</f>
        <v>#REF!</v>
      </c>
      <c r="V414" s="25" t="s">
        <v>266</v>
      </c>
      <c r="W414" s="25" t="s">
        <v>144</v>
      </c>
      <c r="X414" s="9" t="s">
        <v>25</v>
      </c>
      <c r="Y414" s="9">
        <v>45833</v>
      </c>
      <c r="AC414" s="8" t="e">
        <f>VLOOKUP(B414,#REF!,19,0)</f>
        <v>#REF!</v>
      </c>
      <c r="AE414" s="8" t="s">
        <v>1681</v>
      </c>
      <c r="AF414" s="8">
        <v>45908</v>
      </c>
      <c r="AG414" s="8">
        <v>45908</v>
      </c>
      <c r="AH414" s="8" t="s">
        <v>2031</v>
      </c>
      <c r="AI414" s="8">
        <v>45909</v>
      </c>
      <c r="AJ414" s="8" t="s">
        <v>2032</v>
      </c>
      <c r="AK414" s="8">
        <v>45916</v>
      </c>
      <c r="AL414" s="8">
        <v>45915</v>
      </c>
      <c r="AM414" s="8">
        <v>45923</v>
      </c>
      <c r="AP414" s="8" t="str">
        <f t="shared" si="16"/>
        <v>Tempo Energized</v>
      </c>
      <c r="AS414" s="8" t="s">
        <v>2033</v>
      </c>
      <c r="AT414" s="8">
        <v>45905</v>
      </c>
      <c r="AU414" s="8">
        <v>45930</v>
      </c>
      <c r="AV414" s="8">
        <v>45939</v>
      </c>
      <c r="AW414" s="8" t="s">
        <v>2034</v>
      </c>
      <c r="AX414" s="8">
        <v>45943</v>
      </c>
      <c r="AY414" s="8" t="s">
        <v>2035</v>
      </c>
      <c r="BD414" s="2" t="str">
        <f t="shared" si="17"/>
        <v>PO Issued</v>
      </c>
      <c r="BF414" s="2" t="s">
        <v>2036</v>
      </c>
      <c r="BG414" s="2" t="e">
        <v>#N/A</v>
      </c>
      <c r="BH414" s="2" t="s">
        <v>758</v>
      </c>
    </row>
    <row r="415" spans="2:60" hidden="1" x14ac:dyDescent="0.25">
      <c r="B415" s="19" t="s">
        <v>2037</v>
      </c>
      <c r="C415" s="2" t="s">
        <v>2038</v>
      </c>
      <c r="D415" s="44" t="s">
        <v>2039</v>
      </c>
      <c r="E415" s="2" t="s">
        <v>4</v>
      </c>
      <c r="F415" s="2" t="s">
        <v>262</v>
      </c>
      <c r="G415" s="2" t="s">
        <v>1</v>
      </c>
      <c r="H415" s="2" t="s">
        <v>139</v>
      </c>
      <c r="I415" s="2" t="s">
        <v>140</v>
      </c>
      <c r="J415" s="2" t="s">
        <v>122</v>
      </c>
      <c r="K415" s="2" t="s">
        <v>263</v>
      </c>
      <c r="L415" s="2" t="s">
        <v>2040</v>
      </c>
      <c r="M415" s="2">
        <v>0</v>
      </c>
      <c r="N415" s="2">
        <v>15.876899999999999</v>
      </c>
      <c r="O415" s="2">
        <v>121.5442</v>
      </c>
      <c r="P415" s="2" t="s">
        <v>87</v>
      </c>
      <c r="Q415" s="2" t="s">
        <v>265</v>
      </c>
      <c r="R415" s="29" t="e">
        <f>IF(INDEX(#REF!,MATCH('data '!$B415,#REF!,0),MATCH('data '!R$3,#REF!,0))=0,"",INDEX(#REF!,MATCH('data '!$B415,#REF!,0),MATCH('data '!R$3,#REF!,0)))</f>
        <v>#REF!</v>
      </c>
      <c r="S415" s="29" t="e">
        <f>IF(INDEX(#REF!,MATCH('data '!$B415,#REF!,0),MATCH('data '!S$3,#REF!,0))=0,"",INDEX(#REF!,MATCH('data '!$B415,#REF!,0),MATCH('data '!S$3,#REF!,0)))</f>
        <v>#REF!</v>
      </c>
      <c r="T415" s="29" t="e">
        <f>IF(INDEX(#REF!,MATCH('data '!$B415,#REF!,0),MATCH('data '!T$3,#REF!,0))=0,"",INDEX(#REF!,MATCH('data '!$B415,#REF!,0),MATCH('data '!T$3,#REF!,0)))</f>
        <v>#REF!</v>
      </c>
      <c r="V415" s="25" t="s">
        <v>266</v>
      </c>
      <c r="W415" s="25" t="s">
        <v>144</v>
      </c>
      <c r="X415" s="9" t="s">
        <v>25</v>
      </c>
      <c r="Y415" s="9">
        <v>45852</v>
      </c>
      <c r="AA415" s="8" t="s">
        <v>282</v>
      </c>
      <c r="AC415" s="8" t="e">
        <f>VLOOKUP(B415,#REF!,19,0)</f>
        <v>#REF!</v>
      </c>
      <c r="AE415" s="8" t="s">
        <v>228</v>
      </c>
      <c r="AF415" s="8">
        <v>45908</v>
      </c>
      <c r="AG415" s="8">
        <v>45908</v>
      </c>
      <c r="AH415" s="8" t="s">
        <v>1739</v>
      </c>
      <c r="AI415" s="8">
        <v>45909</v>
      </c>
      <c r="AJ415" s="8" t="s">
        <v>1740</v>
      </c>
      <c r="AK415" s="8">
        <v>45916</v>
      </c>
      <c r="AL415" s="8">
        <v>45940</v>
      </c>
      <c r="AM415" s="8">
        <v>45946</v>
      </c>
      <c r="AP415" s="8" t="str">
        <f t="shared" si="16"/>
        <v>Tempo Energized</v>
      </c>
      <c r="AR415" s="10" t="s">
        <v>270</v>
      </c>
      <c r="AS415" s="8" t="s">
        <v>2041</v>
      </c>
      <c r="AT415" s="8">
        <v>45903</v>
      </c>
      <c r="AU415" s="8">
        <v>45929</v>
      </c>
      <c r="AV415" s="8">
        <v>45929</v>
      </c>
      <c r="AW415" s="8" t="s">
        <v>272</v>
      </c>
      <c r="AX415" s="8">
        <v>45933</v>
      </c>
      <c r="AY415" s="8" t="s">
        <v>273</v>
      </c>
      <c r="BD415" s="2" t="str">
        <f t="shared" si="17"/>
        <v>PO Issued</v>
      </c>
      <c r="BF415" s="12" t="s">
        <v>274</v>
      </c>
      <c r="BG415" s="2" t="e">
        <v>#N/A</v>
      </c>
      <c r="BH415" s="2" t="s">
        <v>275</v>
      </c>
    </row>
    <row r="416" spans="2:60" hidden="1" x14ac:dyDescent="0.25">
      <c r="B416" s="19" t="s">
        <v>2042</v>
      </c>
      <c r="C416" s="2" t="s">
        <v>2043</v>
      </c>
      <c r="D416" s="44" t="s">
        <v>2044</v>
      </c>
      <c r="E416" s="2" t="s">
        <v>4</v>
      </c>
      <c r="F416" s="2" t="s">
        <v>262</v>
      </c>
      <c r="G416" s="2" t="s">
        <v>1</v>
      </c>
      <c r="H416" s="2" t="s">
        <v>139</v>
      </c>
      <c r="I416" s="2" t="s">
        <v>140</v>
      </c>
      <c r="J416" s="2" t="s">
        <v>122</v>
      </c>
      <c r="K416" s="2" t="s">
        <v>263</v>
      </c>
      <c r="L416" s="2" t="s">
        <v>2045</v>
      </c>
      <c r="M416" s="2">
        <v>0</v>
      </c>
      <c r="N416" s="2">
        <v>16.358568999999999</v>
      </c>
      <c r="O416" s="2">
        <v>122.21319</v>
      </c>
      <c r="P416" s="2" t="s">
        <v>87</v>
      </c>
      <c r="Q416" s="2" t="s">
        <v>265</v>
      </c>
      <c r="R416" s="29" t="e">
        <f>IF(INDEX(#REF!,MATCH('data '!$B416,#REF!,0),MATCH('data '!R$3,#REF!,0))=0,"",INDEX(#REF!,MATCH('data '!$B416,#REF!,0),MATCH('data '!R$3,#REF!,0)))</f>
        <v>#REF!</v>
      </c>
      <c r="S416" s="29" t="e">
        <f>IF(INDEX(#REF!,MATCH('data '!$B416,#REF!,0),MATCH('data '!S$3,#REF!,0))=0,"",INDEX(#REF!,MATCH('data '!$B416,#REF!,0),MATCH('data '!S$3,#REF!,0)))</f>
        <v>#REF!</v>
      </c>
      <c r="T416" s="29" t="e">
        <f>IF(INDEX(#REF!,MATCH('data '!$B416,#REF!,0),MATCH('data '!T$3,#REF!,0))=0,"",INDEX(#REF!,MATCH('data '!$B416,#REF!,0),MATCH('data '!T$3,#REF!,0)))</f>
        <v>#REF!</v>
      </c>
      <c r="V416" s="25" t="s">
        <v>266</v>
      </c>
      <c r="W416" s="25" t="s">
        <v>144</v>
      </c>
      <c r="X416" s="9" t="s">
        <v>25</v>
      </c>
      <c r="Y416" s="9">
        <v>45838</v>
      </c>
      <c r="AA416" s="8" t="s">
        <v>2046</v>
      </c>
      <c r="AC416" s="8" t="e">
        <f>VLOOKUP(B416,#REF!,19,0)</f>
        <v>#REF!</v>
      </c>
      <c r="AE416" s="8" t="s">
        <v>228</v>
      </c>
      <c r="AF416" s="8">
        <v>45908</v>
      </c>
      <c r="AG416" s="8">
        <v>45908</v>
      </c>
      <c r="AH416" s="8" t="s">
        <v>1739</v>
      </c>
      <c r="AI416" s="8">
        <v>45909</v>
      </c>
      <c r="AJ416" s="8" t="s">
        <v>1740</v>
      </c>
      <c r="AK416" s="8">
        <v>45916</v>
      </c>
      <c r="AL416" s="8">
        <v>45939</v>
      </c>
      <c r="AM416" s="8">
        <v>45945</v>
      </c>
      <c r="AP416" s="8" t="str">
        <f t="shared" ref="AP416:AP447" si="18">IF(AM416&gt;0,"Tempo Energized",IF(AL416&gt;0,"Tempo Permit Released",IF(AK416&gt;0,"COOP Surveyed",IF(AI416&gt;0,"PO Issued",IF(AG416&gt;0,"PQ Raised",IF(AF416&gt;0,"Vendor Allocated",IF(X416&gt;0,"BP Secured","Not yet endorsed")))))))</f>
        <v>Tempo Energized</v>
      </c>
      <c r="AR416" s="10" t="s">
        <v>270</v>
      </c>
      <c r="AS416" s="8" t="s">
        <v>2047</v>
      </c>
      <c r="AT416" s="8">
        <v>45903</v>
      </c>
      <c r="AU416" s="8">
        <v>45933</v>
      </c>
      <c r="AV416" s="8">
        <v>45936</v>
      </c>
      <c r="AW416" s="8" t="s">
        <v>2048</v>
      </c>
      <c r="AX416" s="8">
        <v>45936</v>
      </c>
      <c r="AY416" s="8" t="s">
        <v>2049</v>
      </c>
      <c r="BD416" s="2" t="str">
        <f t="shared" ref="BD416:BD447" si="19">IF(BC416&gt;0,"Permanent Energized",IF(BB416&gt;0,"Bill deposit Paid",IF(BA416&gt;0,"Line Construction Completed",IF(AZ416&gt;0,"Line Construction Started",IF(AX416&gt;0,"PO Issued",IF(AV416&gt;0,"PQ Raised",IF(AU416&gt;0,"BoQ Approved",IF(AT416&gt;0,"BoQ Submitted",IF(AF416&gt;0,"Vendor Allocated",IF(X416&gt;0,"BP Secured",IF(U416&gt;0,"TSSR Approved","Not yet endorsed")))))))))))</f>
        <v>PO Issued</v>
      </c>
      <c r="BF416" s="12" t="s">
        <v>274</v>
      </c>
      <c r="BG416" s="2" t="e">
        <v>#N/A</v>
      </c>
      <c r="BH416" s="2" t="s">
        <v>275</v>
      </c>
    </row>
    <row r="417" spans="2:60" hidden="1" x14ac:dyDescent="0.25">
      <c r="B417" s="2" t="s">
        <v>2050</v>
      </c>
      <c r="C417" s="2" t="s">
        <v>2051</v>
      </c>
      <c r="D417" s="44" t="s">
        <v>2052</v>
      </c>
      <c r="E417" s="2" t="s">
        <v>3</v>
      </c>
      <c r="F417" s="2">
        <v>0</v>
      </c>
      <c r="G417" s="2" t="s">
        <v>1</v>
      </c>
      <c r="H417" s="2" t="s">
        <v>120</v>
      </c>
      <c r="I417" s="2" t="s">
        <v>121</v>
      </c>
      <c r="J417" s="2" t="s">
        <v>209</v>
      </c>
      <c r="K417" s="2" t="s">
        <v>566</v>
      </c>
      <c r="L417" s="2" t="s">
        <v>2053</v>
      </c>
      <c r="M417" s="2">
        <v>0</v>
      </c>
      <c r="N417" s="2">
        <v>0</v>
      </c>
      <c r="O417" s="2">
        <v>0</v>
      </c>
      <c r="P417" s="2" t="s">
        <v>655</v>
      </c>
      <c r="Q417" s="2">
        <v>0</v>
      </c>
      <c r="R417" s="29" t="e">
        <f>IF(INDEX(#REF!,MATCH('data '!$B417,#REF!,0),MATCH('data '!R$3,#REF!,0))=0,"",INDEX(#REF!,MATCH('data '!$B417,#REF!,0),MATCH('data '!R$3,#REF!,0)))</f>
        <v>#REF!</v>
      </c>
      <c r="S417" s="29" t="e">
        <f>IF(INDEX(#REF!,MATCH('data '!$B417,#REF!,0),MATCH('data '!S$3,#REF!,0))=0,"",INDEX(#REF!,MATCH('data '!$B417,#REF!,0),MATCH('data '!S$3,#REF!,0)))</f>
        <v>#REF!</v>
      </c>
      <c r="T417" s="29" t="e">
        <f>IF(INDEX(#REF!,MATCH('data '!$B417,#REF!,0),MATCH('data '!T$3,#REF!,0))=0,"",INDEX(#REF!,MATCH('data '!$B417,#REF!,0),MATCH('data '!T$3,#REF!,0)))</f>
        <v>#REF!</v>
      </c>
      <c r="V417" s="25" t="s">
        <v>204</v>
      </c>
      <c r="W417" s="25">
        <v>0</v>
      </c>
      <c r="AC417" s="8" t="e">
        <f>VLOOKUP(B417,#REF!,19,0)</f>
        <v>#REF!</v>
      </c>
      <c r="AP417" s="8" t="str">
        <f t="shared" si="18"/>
        <v>Not yet endorsed</v>
      </c>
      <c r="AQ417" s="10" t="b" cm="1">
        <f t="array" aca="1" ref="AQ417" ca="1">IF(AM417&gt;0,(TODAY()-AM417),IF(AL417&gt;0,(TODAY()-AL417),IF(AK417&gt;0,(TODAY()-AK417,IF(AI417&gt;0,(TODAY()-AI417),IF(AG417&gt;0,(TODAY()-AG417),IF(AF417&gt;0,(TODAY()-AF417),IF(X417&gt;0,(TODAY()-X417)," "))))))))</f>
        <v>0</v>
      </c>
      <c r="BD417" s="2" t="str">
        <f t="shared" si="19"/>
        <v>Not yet endorsed</v>
      </c>
      <c r="BE417" s="2" t="s">
        <v>75</v>
      </c>
      <c r="BG417" s="2" t="e">
        <v>#N/A</v>
      </c>
      <c r="BH417" s="2" t="e" vm="1">
        <v>#REF!</v>
      </c>
    </row>
    <row r="418" spans="2:60" hidden="1" x14ac:dyDescent="0.25">
      <c r="B418" s="2" t="s">
        <v>2054</v>
      </c>
      <c r="C418" s="2" t="s">
        <v>2055</v>
      </c>
      <c r="D418" s="44" t="s">
        <v>2056</v>
      </c>
      <c r="E418" s="2" t="s">
        <v>4</v>
      </c>
      <c r="F418" s="2" t="s">
        <v>262</v>
      </c>
      <c r="G418" s="2" t="s">
        <v>1</v>
      </c>
      <c r="H418" s="2" t="s">
        <v>139</v>
      </c>
      <c r="I418" s="2" t="s">
        <v>140</v>
      </c>
      <c r="J418" s="2" t="s">
        <v>122</v>
      </c>
      <c r="K418" s="2" t="s">
        <v>263</v>
      </c>
      <c r="L418" s="2" t="s">
        <v>2057</v>
      </c>
      <c r="M418" s="2">
        <v>0</v>
      </c>
      <c r="N418" s="2">
        <v>16.149339000000001</v>
      </c>
      <c r="O418" s="2">
        <v>121.94296300000001</v>
      </c>
      <c r="P418" s="2" t="s">
        <v>87</v>
      </c>
      <c r="Q418" s="2" t="s">
        <v>265</v>
      </c>
      <c r="R418" s="29" t="e">
        <f>IF(INDEX(#REF!,MATCH('data '!$B418,#REF!,0),MATCH('data '!R$3,#REF!,0))=0,"",INDEX(#REF!,MATCH('data '!$B418,#REF!,0),MATCH('data '!R$3,#REF!,0)))</f>
        <v>#REF!</v>
      </c>
      <c r="S418" s="29" t="e">
        <f>IF(INDEX(#REF!,MATCH('data '!$B418,#REF!,0),MATCH('data '!S$3,#REF!,0))=0,"",INDEX(#REF!,MATCH('data '!$B418,#REF!,0),MATCH('data '!S$3,#REF!,0)))</f>
        <v>#REF!</v>
      </c>
      <c r="T418" s="29" t="e">
        <f>IF(INDEX(#REF!,MATCH('data '!$B418,#REF!,0),MATCH('data '!T$3,#REF!,0))=0,"",INDEX(#REF!,MATCH('data '!$B418,#REF!,0),MATCH('data '!T$3,#REF!,0)))</f>
        <v>#REF!</v>
      </c>
      <c r="V418" s="25" t="s">
        <v>266</v>
      </c>
      <c r="W418" s="25" t="s">
        <v>144</v>
      </c>
      <c r="X418" s="9" t="s">
        <v>25</v>
      </c>
      <c r="Y418" s="9">
        <v>45819</v>
      </c>
      <c r="AC418" s="8" t="e">
        <f>VLOOKUP(B418,#REF!,19,0)</f>
        <v>#REF!</v>
      </c>
      <c r="AE418" s="8" t="s">
        <v>228</v>
      </c>
      <c r="AF418" s="8">
        <v>45896</v>
      </c>
      <c r="AG418" s="8">
        <v>45943</v>
      </c>
      <c r="AH418" s="8" t="s">
        <v>268</v>
      </c>
      <c r="AI418" s="8">
        <v>45945</v>
      </c>
      <c r="AJ418" s="8" t="s">
        <v>269</v>
      </c>
      <c r="AK418" s="8">
        <v>45916</v>
      </c>
      <c r="AL418" s="8">
        <v>45939</v>
      </c>
      <c r="AM418" s="8">
        <v>45996</v>
      </c>
      <c r="AP418" s="8" t="str">
        <f t="shared" si="18"/>
        <v>Tempo Energized</v>
      </c>
      <c r="AQ418" s="10" cm="1">
        <f t="array" aca="1" ref="AQ418" ca="1">IF(AM418&gt;0,(TODAY()-AM418),IF(AL418&gt;0,(TODAY()-AL418),IF(AK418&gt;0,(TODAY()-AK418,IF(AI418&gt;0,(TODAY()-AI418),IF(AG418&gt;0,(TODAY()-AG418),IF(AF418&gt;0,(TODAY()-AF418),IF(X418&gt;0,(TODAY()-X418)," "))))))))</f>
        <v>110</v>
      </c>
      <c r="AR418" s="10" t="s">
        <v>270</v>
      </c>
      <c r="AS418" s="8" t="s">
        <v>271</v>
      </c>
      <c r="AT418" s="8">
        <v>45903</v>
      </c>
      <c r="AU418" s="8">
        <v>45929</v>
      </c>
      <c r="AV418" s="8">
        <v>45929</v>
      </c>
      <c r="AW418" s="8" t="s">
        <v>272</v>
      </c>
      <c r="AX418" s="8">
        <v>45933</v>
      </c>
      <c r="AY418" s="8" t="s">
        <v>273</v>
      </c>
      <c r="AZ418" s="8">
        <v>45902</v>
      </c>
      <c r="BA418" s="8">
        <v>45903</v>
      </c>
      <c r="BD418" s="2" t="str">
        <f t="shared" si="19"/>
        <v>Line Construction Completed</v>
      </c>
      <c r="BE418" s="2">
        <v>37</v>
      </c>
      <c r="BF418" s="12" t="s">
        <v>274</v>
      </c>
      <c r="BG418" s="2" t="e">
        <v>#N/A</v>
      </c>
      <c r="BH418" s="2" t="s">
        <v>275</v>
      </c>
    </row>
    <row r="419" spans="2:60" hidden="1" x14ac:dyDescent="0.25">
      <c r="B419" s="19" t="s">
        <v>2058</v>
      </c>
      <c r="C419" s="2" t="s">
        <v>2059</v>
      </c>
      <c r="D419" s="44" t="s">
        <v>2060</v>
      </c>
      <c r="E419" s="2" t="s">
        <v>4</v>
      </c>
      <c r="F419" s="2" t="s">
        <v>262</v>
      </c>
      <c r="G419" s="2" t="s">
        <v>1</v>
      </c>
      <c r="H419" s="2" t="s">
        <v>139</v>
      </c>
      <c r="I419" s="2" t="s">
        <v>140</v>
      </c>
      <c r="J419" s="2" t="s">
        <v>122</v>
      </c>
      <c r="K419" s="2" t="s">
        <v>263</v>
      </c>
      <c r="L419" s="2" t="s">
        <v>2057</v>
      </c>
      <c r="M419" s="2">
        <v>0</v>
      </c>
      <c r="N419" s="2">
        <v>16.129860000000001</v>
      </c>
      <c r="O419" s="2">
        <v>121.891768</v>
      </c>
      <c r="P419" s="2" t="s">
        <v>87</v>
      </c>
      <c r="Q419" s="2" t="s">
        <v>265</v>
      </c>
      <c r="R419" s="29" t="e">
        <f>IF(INDEX(#REF!,MATCH('data '!$B419,#REF!,0),MATCH('data '!R$3,#REF!,0))=0,"",INDEX(#REF!,MATCH('data '!$B419,#REF!,0),MATCH('data '!R$3,#REF!,0)))</f>
        <v>#REF!</v>
      </c>
      <c r="S419" s="29" t="e">
        <f>IF(INDEX(#REF!,MATCH('data '!$B419,#REF!,0),MATCH('data '!S$3,#REF!,0))=0,"",INDEX(#REF!,MATCH('data '!$B419,#REF!,0),MATCH('data '!S$3,#REF!,0)))</f>
        <v>#REF!</v>
      </c>
      <c r="T419" s="29" t="e">
        <f>IF(INDEX(#REF!,MATCH('data '!$B419,#REF!,0),MATCH('data '!T$3,#REF!,0))=0,"",INDEX(#REF!,MATCH('data '!$B419,#REF!,0),MATCH('data '!T$3,#REF!,0)))</f>
        <v>#REF!</v>
      </c>
      <c r="V419" s="25" t="s">
        <v>266</v>
      </c>
      <c r="W419" s="25" t="s">
        <v>144</v>
      </c>
      <c r="X419" s="9" t="s">
        <v>25</v>
      </c>
      <c r="Y419" s="9">
        <v>45838</v>
      </c>
      <c r="AA419" s="8" t="s">
        <v>282</v>
      </c>
      <c r="AC419" s="8" t="e">
        <f>VLOOKUP(B419,#REF!,19,0)</f>
        <v>#REF!</v>
      </c>
      <c r="AE419" s="8" t="s">
        <v>228</v>
      </c>
      <c r="AF419" s="8">
        <v>45908</v>
      </c>
      <c r="AG419" s="8">
        <v>45908</v>
      </c>
      <c r="AH419" s="8" t="s">
        <v>1739</v>
      </c>
      <c r="AI419" s="8">
        <v>45909</v>
      </c>
      <c r="AJ419" s="8" t="s">
        <v>1740</v>
      </c>
      <c r="AK419" s="8">
        <v>45916</v>
      </c>
      <c r="AL419" s="8">
        <v>45943</v>
      </c>
      <c r="AM419" s="8">
        <v>45991</v>
      </c>
      <c r="AP419" s="8" t="str">
        <f t="shared" si="18"/>
        <v>Tempo Energized</v>
      </c>
      <c r="AR419" s="10" t="s">
        <v>270</v>
      </c>
      <c r="AS419" s="8" t="s">
        <v>271</v>
      </c>
      <c r="AT419" s="8">
        <v>45903</v>
      </c>
      <c r="AU419" s="8">
        <v>45929</v>
      </c>
      <c r="AV419" s="8">
        <v>45929</v>
      </c>
      <c r="AW419" s="8" t="s">
        <v>272</v>
      </c>
      <c r="AX419" s="8">
        <v>45933</v>
      </c>
      <c r="AY419" s="8" t="s">
        <v>273</v>
      </c>
      <c r="BD419" s="2" t="str">
        <f t="shared" si="19"/>
        <v>PO Issued</v>
      </c>
      <c r="BF419" s="12" t="s">
        <v>274</v>
      </c>
      <c r="BG419" s="2" t="e">
        <v>#N/A</v>
      </c>
      <c r="BH419" s="2" t="s">
        <v>275</v>
      </c>
    </row>
    <row r="420" spans="2:60" hidden="1" x14ac:dyDescent="0.25">
      <c r="B420" s="2" t="s">
        <v>2061</v>
      </c>
      <c r="C420" s="2" t="s">
        <v>2062</v>
      </c>
      <c r="D420" s="44" t="s">
        <v>2063</v>
      </c>
      <c r="E420" s="2" t="s">
        <v>4</v>
      </c>
      <c r="F420" s="2" t="s">
        <v>262</v>
      </c>
      <c r="G420" s="2" t="s">
        <v>1</v>
      </c>
      <c r="H420" s="2" t="s">
        <v>139</v>
      </c>
      <c r="I420" s="2" t="s">
        <v>140</v>
      </c>
      <c r="J420" s="2" t="s">
        <v>122</v>
      </c>
      <c r="K420" s="2" t="s">
        <v>263</v>
      </c>
      <c r="L420" s="2" t="s">
        <v>2018</v>
      </c>
      <c r="M420" s="2">
        <v>0</v>
      </c>
      <c r="N420" s="2">
        <v>16.271041</v>
      </c>
      <c r="O420" s="2">
        <v>122.10099700000001</v>
      </c>
      <c r="P420" s="2" t="s">
        <v>87</v>
      </c>
      <c r="Q420" s="2" t="s">
        <v>227</v>
      </c>
      <c r="R420" s="29" t="e">
        <f>IF(INDEX(#REF!,MATCH('data '!$B420,#REF!,0),MATCH('data '!R$3,#REF!,0))=0,"",INDEX(#REF!,MATCH('data '!$B420,#REF!,0),MATCH('data '!R$3,#REF!,0)))</f>
        <v>#REF!</v>
      </c>
      <c r="S420" s="29" t="e">
        <f>IF(INDEX(#REF!,MATCH('data '!$B420,#REF!,0),MATCH('data '!S$3,#REF!,0))=0,"",INDEX(#REF!,MATCH('data '!$B420,#REF!,0),MATCH('data '!S$3,#REF!,0)))</f>
        <v>#REF!</v>
      </c>
      <c r="T420" s="29" t="e">
        <f>IF(INDEX(#REF!,MATCH('data '!$B420,#REF!,0),MATCH('data '!T$3,#REF!,0))=0,"",INDEX(#REF!,MATCH('data '!$B420,#REF!,0),MATCH('data '!T$3,#REF!,0)))</f>
        <v>#REF!</v>
      </c>
      <c r="V420" s="25" t="s">
        <v>160</v>
      </c>
      <c r="W420" s="25" t="s">
        <v>144</v>
      </c>
      <c r="X420" s="9" t="s">
        <v>25</v>
      </c>
      <c r="Y420" s="9">
        <v>45904</v>
      </c>
      <c r="AC420" s="8" t="e">
        <f>VLOOKUP(B420,#REF!,19,0)</f>
        <v>#REF!</v>
      </c>
      <c r="AE420" s="8" t="s">
        <v>228</v>
      </c>
      <c r="AF420" s="8">
        <v>45938</v>
      </c>
      <c r="AG420" s="8">
        <v>45939</v>
      </c>
      <c r="AH420" s="8" t="s">
        <v>2064</v>
      </c>
      <c r="AI420" s="8">
        <v>45943</v>
      </c>
      <c r="AJ420" s="8" t="s">
        <v>2065</v>
      </c>
      <c r="AM420" s="8">
        <v>45996</v>
      </c>
      <c r="AP420" s="8" t="str">
        <f t="shared" si="18"/>
        <v>Tempo Energized</v>
      </c>
      <c r="AQ420" s="10" cm="1">
        <f t="array" aca="1" ref="AQ420" ca="1">IF(AM420&gt;0,(TODAY()-AM420),IF(AL420&gt;0,(TODAY()-AL420),IF(AK420&gt;0,(TODAY()-AK420,IF(AI420&gt;0,(TODAY()-AI420),IF(AG420&gt;0,(TODAY()-AG420),IF(AF420&gt;0,(TODAY()-AF420),IF(X420&gt;0,(TODAY()-X420)," "))))))))</f>
        <v>110</v>
      </c>
      <c r="AR420" s="10" t="s">
        <v>270</v>
      </c>
      <c r="AS420" s="8" t="s">
        <v>2019</v>
      </c>
      <c r="AT420" s="11"/>
      <c r="AU420" s="11"/>
      <c r="AV420" s="11"/>
      <c r="AW420" s="11"/>
      <c r="AX420" s="11"/>
      <c r="AY420" s="11"/>
      <c r="BD420" s="2" t="str">
        <f t="shared" si="19"/>
        <v>Vendor Allocated</v>
      </c>
      <c r="BE420" s="2">
        <v>2</v>
      </c>
      <c r="BG420" s="2" t="s">
        <v>1717</v>
      </c>
      <c r="BH420" s="2" t="s">
        <v>275</v>
      </c>
    </row>
    <row r="421" spans="2:60" hidden="1" x14ac:dyDescent="0.25">
      <c r="B421" s="2" t="s">
        <v>2066</v>
      </c>
      <c r="C421" s="2" t="s">
        <v>2067</v>
      </c>
      <c r="D421" s="44" t="s">
        <v>2068</v>
      </c>
      <c r="E421" s="2" t="s">
        <v>5</v>
      </c>
      <c r="F421" s="2" t="s">
        <v>208</v>
      </c>
      <c r="G421" s="2" t="s">
        <v>1</v>
      </c>
      <c r="H421" s="2" t="s">
        <v>139</v>
      </c>
      <c r="I421" s="2" t="s">
        <v>140</v>
      </c>
      <c r="J421" s="2" t="s">
        <v>209</v>
      </c>
      <c r="K421" s="2" t="s">
        <v>210</v>
      </c>
      <c r="L421" s="2" t="s">
        <v>2069</v>
      </c>
      <c r="M421" s="2">
        <v>0</v>
      </c>
      <c r="N421" s="2">
        <v>17.514088999999998</v>
      </c>
      <c r="O421" s="2">
        <v>121.624059</v>
      </c>
      <c r="P421" s="2" t="s">
        <v>87</v>
      </c>
      <c r="Q421" s="2" t="s">
        <v>314</v>
      </c>
      <c r="R421" s="29" t="e">
        <f>IF(INDEX(#REF!,MATCH('data '!$B421,#REF!,0),MATCH('data '!R$3,#REF!,0))=0,"",INDEX(#REF!,MATCH('data '!$B421,#REF!,0),MATCH('data '!R$3,#REF!,0)))</f>
        <v>#REF!</v>
      </c>
      <c r="S421" s="29" t="e">
        <f>IF(INDEX(#REF!,MATCH('data '!$B421,#REF!,0),MATCH('data '!S$3,#REF!,0))=0,"",INDEX(#REF!,MATCH('data '!$B421,#REF!,0),MATCH('data '!S$3,#REF!,0)))</f>
        <v>#REF!</v>
      </c>
      <c r="T421" s="29" t="e">
        <f>IF(INDEX(#REF!,MATCH('data '!$B421,#REF!,0),MATCH('data '!T$3,#REF!,0))=0,"",INDEX(#REF!,MATCH('data '!$B421,#REF!,0),MATCH('data '!T$3,#REF!,0)))</f>
        <v>#REF!</v>
      </c>
      <c r="U421" s="8" t="s">
        <v>25</v>
      </c>
      <c r="V421" s="25" t="s">
        <v>87</v>
      </c>
      <c r="W421" s="25" t="s">
        <v>144</v>
      </c>
      <c r="X421" s="43" t="s">
        <v>25</v>
      </c>
      <c r="Y421" s="43">
        <v>45894</v>
      </c>
      <c r="AC421" s="8" t="e">
        <f>VLOOKUP(B421,#REF!,19,0)</f>
        <v>#REF!</v>
      </c>
      <c r="AE421" s="8" t="s">
        <v>212</v>
      </c>
      <c r="AF421" s="8">
        <v>45908</v>
      </c>
      <c r="AG421" s="8">
        <v>45908</v>
      </c>
      <c r="AH421" s="8" t="s">
        <v>507</v>
      </c>
      <c r="AI421" s="8">
        <v>45909</v>
      </c>
      <c r="AJ421" s="8" t="s">
        <v>508</v>
      </c>
      <c r="AK421" s="8">
        <v>45916</v>
      </c>
      <c r="AL421" s="8">
        <v>45986</v>
      </c>
      <c r="AM421" s="8">
        <v>45997</v>
      </c>
      <c r="AO421" s="8" t="s">
        <v>25</v>
      </c>
      <c r="AP421" s="8" t="str">
        <f t="shared" si="18"/>
        <v>Tempo Energized</v>
      </c>
      <c r="AR421" s="10" t="s">
        <v>2070</v>
      </c>
      <c r="AS421" s="8" t="s">
        <v>1897</v>
      </c>
      <c r="AT421" s="8">
        <v>46034</v>
      </c>
      <c r="AU421" s="8">
        <v>46035</v>
      </c>
      <c r="AV421" s="8">
        <v>46035</v>
      </c>
      <c r="AW421" s="8" t="s">
        <v>1140</v>
      </c>
      <c r="AX421" s="8">
        <v>46036</v>
      </c>
      <c r="AY421" s="8" t="s">
        <v>1141</v>
      </c>
      <c r="BD421" s="2" t="str">
        <f t="shared" si="19"/>
        <v>PO Issued</v>
      </c>
      <c r="BE421" s="2">
        <v>32</v>
      </c>
      <c r="BF421" s="2" t="s">
        <v>510</v>
      </c>
      <c r="BG421" s="2" t="e">
        <v>#N/A</v>
      </c>
      <c r="BH421" s="2" t="e" vm="1">
        <v>#REF!</v>
      </c>
    </row>
    <row r="422" spans="2:60" hidden="1" x14ac:dyDescent="0.25">
      <c r="B422" s="2" t="s">
        <v>2071</v>
      </c>
      <c r="C422" s="2" t="s">
        <v>2072</v>
      </c>
      <c r="D422" s="44" t="s">
        <v>2073</v>
      </c>
      <c r="E422" s="2" t="s">
        <v>4</v>
      </c>
      <c r="F422" s="2" t="s">
        <v>262</v>
      </c>
      <c r="G422" s="2" t="s">
        <v>1</v>
      </c>
      <c r="H422" s="2" t="s">
        <v>139</v>
      </c>
      <c r="I422" s="2" t="s">
        <v>140</v>
      </c>
      <c r="J422" s="2" t="s">
        <v>122</v>
      </c>
      <c r="K422" s="2" t="s">
        <v>263</v>
      </c>
      <c r="L422" s="2" t="s">
        <v>2018</v>
      </c>
      <c r="M422" s="2">
        <v>0</v>
      </c>
      <c r="N422" s="2">
        <v>0</v>
      </c>
      <c r="O422" s="2">
        <v>0</v>
      </c>
      <c r="P422" s="2" t="s">
        <v>125</v>
      </c>
      <c r="Q422" s="2" t="s">
        <v>73</v>
      </c>
      <c r="R422" s="29" t="e">
        <f>IF(INDEX(#REF!,MATCH('data '!$B422,#REF!,0),MATCH('data '!R$3,#REF!,0))=0,"",INDEX(#REF!,MATCH('data '!$B422,#REF!,0),MATCH('data '!R$3,#REF!,0)))</f>
        <v>#REF!</v>
      </c>
      <c r="S422" s="29" t="e">
        <f>IF(INDEX(#REF!,MATCH('data '!$B422,#REF!,0),MATCH('data '!S$3,#REF!,0))=0,"",INDEX(#REF!,MATCH('data '!$B422,#REF!,0),MATCH('data '!S$3,#REF!,0)))</f>
        <v>#REF!</v>
      </c>
      <c r="T422" s="29" t="e">
        <f>IF(INDEX(#REF!,MATCH('data '!$B422,#REF!,0),MATCH('data '!T$3,#REF!,0))=0,"",INDEX(#REF!,MATCH('data '!$B422,#REF!,0),MATCH('data '!T$3,#REF!,0)))</f>
        <v>#REF!</v>
      </c>
      <c r="V422" s="25" t="s">
        <v>656</v>
      </c>
      <c r="W422" s="25">
        <v>0</v>
      </c>
      <c r="AC422" s="8" t="e">
        <f>VLOOKUP(B422,#REF!,19,0)</f>
        <v>#REF!</v>
      </c>
      <c r="AE422" s="8" t="s">
        <v>2074</v>
      </c>
      <c r="AP422" s="8" t="str">
        <f t="shared" si="18"/>
        <v>Not yet endorsed</v>
      </c>
      <c r="AQ422" s="10" t="b" cm="1">
        <f t="array" aca="1" ref="AQ422" ca="1">IF(AM422&gt;0,(TODAY()-AM422),IF(AL422&gt;0,(TODAY()-AL422),IF(AK422&gt;0,(TODAY()-AK422,IF(AI422&gt;0,(TODAY()-AI422),IF(AG422&gt;0,(TODAY()-AG422),IF(AF422&gt;0,(TODAY()-AF422),IF(X422&gt;0,(TODAY()-X422)," "))))))))</f>
        <v>0</v>
      </c>
      <c r="BD422" s="2" t="str">
        <f t="shared" si="19"/>
        <v>Not yet endorsed</v>
      </c>
      <c r="BE422" s="2" t="s">
        <v>75</v>
      </c>
      <c r="BG422" s="2" t="e">
        <v>#N/A</v>
      </c>
      <c r="BH422" s="2" t="s">
        <v>275</v>
      </c>
    </row>
    <row r="423" spans="2:60" hidden="1" x14ac:dyDescent="0.25">
      <c r="B423" s="2" t="s">
        <v>2075</v>
      </c>
      <c r="C423" s="2" t="s">
        <v>2076</v>
      </c>
      <c r="D423" s="44" t="s">
        <v>2077</v>
      </c>
      <c r="E423" s="2" t="s">
        <v>4</v>
      </c>
      <c r="F423" s="2" t="s">
        <v>2078</v>
      </c>
      <c r="G423" s="2" t="s">
        <v>1</v>
      </c>
      <c r="H423" s="2" t="s">
        <v>120</v>
      </c>
      <c r="I423" s="2" t="s">
        <v>140</v>
      </c>
      <c r="J423" s="2" t="s">
        <v>122</v>
      </c>
      <c r="K423" s="2" t="s">
        <v>2079</v>
      </c>
      <c r="L423" s="2" t="s">
        <v>2080</v>
      </c>
      <c r="M423" s="2">
        <v>0</v>
      </c>
      <c r="N423" s="2">
        <v>14.986631300000001</v>
      </c>
      <c r="O423" s="2">
        <v>120.1444492</v>
      </c>
      <c r="P423" s="2" t="s">
        <v>82</v>
      </c>
      <c r="Q423" s="2" t="s">
        <v>73</v>
      </c>
      <c r="R423" s="29" t="e">
        <f>IF(INDEX(#REF!,MATCH('data '!$B423,#REF!,0),MATCH('data '!R$3,#REF!,0))=0,"",INDEX(#REF!,MATCH('data '!$B423,#REF!,0),MATCH('data '!R$3,#REF!,0)))</f>
        <v>#REF!</v>
      </c>
      <c r="S423" s="29" t="e">
        <f>IF(INDEX(#REF!,MATCH('data '!$B423,#REF!,0),MATCH('data '!S$3,#REF!,0))=0,"",INDEX(#REF!,MATCH('data '!$B423,#REF!,0),MATCH('data '!S$3,#REF!,0)))</f>
        <v>#REF!</v>
      </c>
      <c r="T423" s="29" t="e">
        <f>IF(INDEX(#REF!,MATCH('data '!$B423,#REF!,0),MATCH('data '!T$3,#REF!,0))=0,"",INDEX(#REF!,MATCH('data '!$B423,#REF!,0),MATCH('data '!T$3,#REF!,0)))</f>
        <v>#REF!</v>
      </c>
      <c r="V423" s="25" t="s">
        <v>82</v>
      </c>
      <c r="W423" s="25" t="s">
        <v>83</v>
      </c>
      <c r="AC423" s="8" t="e">
        <f>VLOOKUP(B423,#REF!,19,0)</f>
        <v>#REF!</v>
      </c>
      <c r="AE423" s="8" t="s">
        <v>547</v>
      </c>
      <c r="AF423" s="21">
        <v>45938</v>
      </c>
      <c r="AP423" s="8" t="str">
        <f t="shared" si="18"/>
        <v>Vendor Allocated</v>
      </c>
      <c r="AQ423" s="10" t="b" cm="1">
        <f t="array" aca="1" ref="AQ423" ca="1">IF(AM423&gt;0,(TODAY()-AM423),IF(AL423&gt;0,(TODAY()-AL423),IF(AK423&gt;0,(TODAY()-AK423,IF(AI423&gt;0,(TODAY()-AI423),IF(AG423&gt;0,(TODAY()-AG423),IF(AF423&gt;0,(TODAY()-AF423),IF(X423&gt;0,(TODAY()-X423)," "))))))))</f>
        <v>0</v>
      </c>
      <c r="BD423" s="2" t="str">
        <f t="shared" si="19"/>
        <v>Vendor Allocated</v>
      </c>
      <c r="BE423" s="2">
        <v>2</v>
      </c>
      <c r="BG423" s="2" t="s">
        <v>1636</v>
      </c>
    </row>
    <row r="424" spans="2:60" hidden="1" x14ac:dyDescent="0.25">
      <c r="B424" s="2" t="s">
        <v>2081</v>
      </c>
      <c r="C424" s="2" t="s">
        <v>2082</v>
      </c>
      <c r="D424" s="44" t="s">
        <v>2083</v>
      </c>
      <c r="E424" s="2" t="s">
        <v>4</v>
      </c>
      <c r="F424" s="2" t="s">
        <v>2084</v>
      </c>
      <c r="G424" s="2" t="s">
        <v>1</v>
      </c>
      <c r="H424" s="2" t="s">
        <v>120</v>
      </c>
      <c r="I424" s="2" t="s">
        <v>140</v>
      </c>
      <c r="J424" s="2" t="s">
        <v>122</v>
      </c>
      <c r="K424" s="2" t="s">
        <v>723</v>
      </c>
      <c r="L424" s="2" t="s">
        <v>2085</v>
      </c>
      <c r="M424" s="2">
        <v>0</v>
      </c>
      <c r="N424" s="2">
        <v>15.007693</v>
      </c>
      <c r="O424" s="2">
        <v>120.62497</v>
      </c>
      <c r="P424" s="2" t="s">
        <v>87</v>
      </c>
      <c r="Q424" s="2" t="s">
        <v>265</v>
      </c>
      <c r="R424" s="29" t="e">
        <f>IF(INDEX(#REF!,MATCH('data '!$B424,#REF!,0),MATCH('data '!R$3,#REF!,0))=0,"",INDEX(#REF!,MATCH('data '!$B424,#REF!,0),MATCH('data '!R$3,#REF!,0)))</f>
        <v>#REF!</v>
      </c>
      <c r="S424" s="29" t="e">
        <f>IF(INDEX(#REF!,MATCH('data '!$B424,#REF!,0),MATCH('data '!S$3,#REF!,0))=0,"",INDEX(#REF!,MATCH('data '!$B424,#REF!,0),MATCH('data '!S$3,#REF!,0)))</f>
        <v>#REF!</v>
      </c>
      <c r="T424" s="29" t="e">
        <f>IF(INDEX(#REF!,MATCH('data '!$B424,#REF!,0),MATCH('data '!T$3,#REF!,0))=0,"",INDEX(#REF!,MATCH('data '!$B424,#REF!,0),MATCH('data '!T$3,#REF!,0)))</f>
        <v>#REF!</v>
      </c>
      <c r="V424" s="25" t="s">
        <v>560</v>
      </c>
      <c r="W424" s="25" t="s">
        <v>103</v>
      </c>
      <c r="X424" s="43" t="s">
        <v>25</v>
      </c>
      <c r="Y424" s="43">
        <v>45869</v>
      </c>
      <c r="AA424" s="8" t="s">
        <v>640</v>
      </c>
      <c r="AC424" s="8" t="e">
        <f>VLOOKUP(B424,#REF!,19,0)</f>
        <v>#REF!</v>
      </c>
      <c r="AE424" s="8" t="s">
        <v>547</v>
      </c>
      <c r="AF424" s="8">
        <v>45908</v>
      </c>
      <c r="AG424" s="8">
        <v>45908</v>
      </c>
      <c r="AH424" s="8" t="s">
        <v>2086</v>
      </c>
      <c r="AI424" s="8">
        <v>45909</v>
      </c>
      <c r="AJ424" s="8" t="s">
        <v>2087</v>
      </c>
      <c r="AK424" s="8">
        <v>45916</v>
      </c>
      <c r="AO424" s="8" t="s">
        <v>25</v>
      </c>
      <c r="AP424" s="8" t="str">
        <f t="shared" si="18"/>
        <v>COOP Surveyed</v>
      </c>
      <c r="AS424" s="8" t="s">
        <v>2088</v>
      </c>
      <c r="AT424" s="8">
        <v>45945</v>
      </c>
      <c r="AU424" s="8">
        <v>45947</v>
      </c>
      <c r="AV424" s="8">
        <v>45947</v>
      </c>
      <c r="AW424" s="8" t="s">
        <v>2089</v>
      </c>
      <c r="AX424" s="8">
        <v>45964</v>
      </c>
      <c r="AY424" s="8" t="s">
        <v>2090</v>
      </c>
      <c r="BD424" s="2" t="str">
        <f t="shared" si="19"/>
        <v>PO Issued</v>
      </c>
      <c r="BF424" s="2" t="s">
        <v>2091</v>
      </c>
      <c r="BG424" s="2" t="e">
        <v>#N/A</v>
      </c>
    </row>
    <row r="425" spans="2:60" hidden="1" x14ac:dyDescent="0.25">
      <c r="B425" s="2" t="s">
        <v>2092</v>
      </c>
      <c r="C425" s="2" t="s">
        <v>2093</v>
      </c>
      <c r="D425" s="44" t="s">
        <v>2094</v>
      </c>
      <c r="E425" s="2" t="s">
        <v>4</v>
      </c>
      <c r="F425" s="2" t="s">
        <v>2084</v>
      </c>
      <c r="G425" s="2" t="s">
        <v>1</v>
      </c>
      <c r="H425" s="2" t="s">
        <v>120</v>
      </c>
      <c r="I425" s="2" t="s">
        <v>140</v>
      </c>
      <c r="J425" s="2" t="s">
        <v>122</v>
      </c>
      <c r="K425" s="2" t="s">
        <v>723</v>
      </c>
      <c r="L425" s="2" t="s">
        <v>2085</v>
      </c>
      <c r="M425" s="2">
        <v>0</v>
      </c>
      <c r="N425" s="2">
        <v>14.993617</v>
      </c>
      <c r="O425" s="2">
        <v>120.61023</v>
      </c>
      <c r="P425" s="2" t="s">
        <v>87</v>
      </c>
      <c r="Q425" s="2" t="s">
        <v>219</v>
      </c>
      <c r="R425" s="29" t="e">
        <f>IF(INDEX(#REF!,MATCH('data '!$B425,#REF!,0),MATCH('data '!R$3,#REF!,0))=0,"",INDEX(#REF!,MATCH('data '!$B425,#REF!,0),MATCH('data '!R$3,#REF!,0)))</f>
        <v>#REF!</v>
      </c>
      <c r="S425" s="29" t="e">
        <f>IF(INDEX(#REF!,MATCH('data '!$B425,#REF!,0),MATCH('data '!S$3,#REF!,0))=0,"",INDEX(#REF!,MATCH('data '!$B425,#REF!,0),MATCH('data '!S$3,#REF!,0)))</f>
        <v>#REF!</v>
      </c>
      <c r="T425" s="29" t="e">
        <f>IF(INDEX(#REF!,MATCH('data '!$B425,#REF!,0),MATCH('data '!T$3,#REF!,0))=0,"",INDEX(#REF!,MATCH('data '!$B425,#REF!,0),MATCH('data '!T$3,#REF!,0)))</f>
        <v>#REF!</v>
      </c>
      <c r="U425" s="8" t="s">
        <v>25</v>
      </c>
      <c r="V425" s="25" t="s">
        <v>266</v>
      </c>
      <c r="W425" s="25" t="s">
        <v>144</v>
      </c>
      <c r="X425" s="9" t="s">
        <v>25</v>
      </c>
      <c r="Y425" s="9">
        <v>45869</v>
      </c>
      <c r="AC425" s="8" t="e">
        <f>VLOOKUP(B425,#REF!,19,0)</f>
        <v>#REF!</v>
      </c>
      <c r="AE425" s="8" t="s">
        <v>547</v>
      </c>
      <c r="AF425" s="8">
        <v>45908</v>
      </c>
      <c r="AG425" s="8">
        <v>45908</v>
      </c>
      <c r="AH425" s="8" t="s">
        <v>2086</v>
      </c>
      <c r="AI425" s="8">
        <v>45909</v>
      </c>
      <c r="AJ425" s="8" t="s">
        <v>2087</v>
      </c>
      <c r="AK425" s="8">
        <v>45916</v>
      </c>
      <c r="AL425" s="8">
        <v>45915</v>
      </c>
      <c r="AM425" s="8">
        <v>45941</v>
      </c>
      <c r="AP425" s="8" t="str">
        <f t="shared" si="18"/>
        <v>Tempo Energized</v>
      </c>
      <c r="AS425" s="8" t="s">
        <v>2095</v>
      </c>
      <c r="AT425" s="8">
        <v>45945</v>
      </c>
      <c r="AU425" s="8">
        <v>45947</v>
      </c>
      <c r="AV425" s="8">
        <v>45947</v>
      </c>
      <c r="AW425" s="8" t="s">
        <v>2089</v>
      </c>
      <c r="AX425" s="8">
        <v>45964</v>
      </c>
      <c r="AY425" s="8" t="s">
        <v>2090</v>
      </c>
      <c r="BD425" s="2" t="str">
        <f t="shared" si="19"/>
        <v>PO Issued</v>
      </c>
      <c r="BF425" s="2" t="s">
        <v>2096</v>
      </c>
      <c r="BG425" s="2" t="e">
        <v>#N/A</v>
      </c>
    </row>
    <row r="426" spans="2:60" hidden="1" x14ac:dyDescent="0.25">
      <c r="B426" s="2" t="s">
        <v>2097</v>
      </c>
      <c r="C426" s="2" t="s">
        <v>2098</v>
      </c>
      <c r="D426" s="44" t="s">
        <v>2099</v>
      </c>
      <c r="E426" s="2" t="s">
        <v>4</v>
      </c>
      <c r="F426" s="2" t="s">
        <v>1961</v>
      </c>
      <c r="G426" s="2" t="s">
        <v>1</v>
      </c>
      <c r="H426" s="2" t="s">
        <v>139</v>
      </c>
      <c r="I426" s="2" t="s">
        <v>140</v>
      </c>
      <c r="J426" s="2" t="s">
        <v>122</v>
      </c>
      <c r="K426" s="2" t="s">
        <v>637</v>
      </c>
      <c r="L426" s="2" t="s">
        <v>2100</v>
      </c>
      <c r="M426" s="2" t="s">
        <v>2101</v>
      </c>
      <c r="N426" s="2">
        <v>15.394860980000001</v>
      </c>
      <c r="O426" s="2">
        <v>121.0761059</v>
      </c>
      <c r="P426" s="2" t="s">
        <v>87</v>
      </c>
      <c r="Q426" s="2" t="s">
        <v>265</v>
      </c>
      <c r="R426" s="29" t="e">
        <f>IF(INDEX(#REF!,MATCH('data '!$B426,#REF!,0),MATCH('data '!R$3,#REF!,0))=0,"",INDEX(#REF!,MATCH('data '!$B426,#REF!,0),MATCH('data '!R$3,#REF!,0)))</f>
        <v>#REF!</v>
      </c>
      <c r="S426" s="29" t="e">
        <f>IF(INDEX(#REF!,MATCH('data '!$B426,#REF!,0),MATCH('data '!S$3,#REF!,0))=0,"",INDEX(#REF!,MATCH('data '!$B426,#REF!,0),MATCH('data '!S$3,#REF!,0)))</f>
        <v>#REF!</v>
      </c>
      <c r="T426" s="29" t="e">
        <f>IF(INDEX(#REF!,MATCH('data '!$B426,#REF!,0),MATCH('data '!T$3,#REF!,0))=0,"",INDEX(#REF!,MATCH('data '!$B426,#REF!,0),MATCH('data '!T$3,#REF!,0)))</f>
        <v>#REF!</v>
      </c>
      <c r="U426" s="8" t="s">
        <v>25</v>
      </c>
      <c r="V426" s="25" t="s">
        <v>266</v>
      </c>
      <c r="W426" s="25" t="s">
        <v>144</v>
      </c>
      <c r="X426" s="9" t="s">
        <v>25</v>
      </c>
      <c r="Y426" s="9">
        <v>45819</v>
      </c>
      <c r="AA426" s="8">
        <v>45816</v>
      </c>
      <c r="AB426" s="8">
        <v>45931</v>
      </c>
      <c r="AC426" s="8" t="e">
        <f>VLOOKUP(B426,#REF!,19,0)</f>
        <v>#REF!</v>
      </c>
      <c r="AE426" s="8" t="s">
        <v>1681</v>
      </c>
      <c r="AF426" s="8">
        <v>45898</v>
      </c>
      <c r="AH426" s="8" t="s">
        <v>362</v>
      </c>
      <c r="AP426" s="8" t="str">
        <f t="shared" si="18"/>
        <v>Vendor Allocated</v>
      </c>
      <c r="AQ426" s="10" t="b" cm="1">
        <f t="array" aca="1" ref="AQ426" ca="1">IF(AM426&gt;0,(TODAY()-AM426),IF(AL426&gt;0,(TODAY()-AL426),IF(AK426&gt;0,(TODAY()-AK426,IF(AI426&gt;0,(TODAY()-AI426),IF(AG426&gt;0,(TODAY()-AG426),IF(AF426&gt;0,(TODAY()-AF426),IF(X426&gt;0,(TODAY()-X426)," "))))))))</f>
        <v>0</v>
      </c>
      <c r="AT426" s="8">
        <v>45905</v>
      </c>
      <c r="AU426" s="8">
        <v>45930</v>
      </c>
      <c r="AV426" s="8">
        <v>45939</v>
      </c>
      <c r="AW426" s="8" t="s">
        <v>2034</v>
      </c>
      <c r="AX426" s="8">
        <v>45943</v>
      </c>
      <c r="AY426" s="8" t="s">
        <v>2035</v>
      </c>
      <c r="AZ426" s="8">
        <v>45980</v>
      </c>
      <c r="BA426" s="8">
        <v>45983</v>
      </c>
      <c r="BB426" s="8">
        <v>45981</v>
      </c>
      <c r="BC426" s="8">
        <v>45989</v>
      </c>
      <c r="BD426" s="2" t="str">
        <f t="shared" si="19"/>
        <v>Permanent Energized</v>
      </c>
      <c r="BE426" s="2">
        <v>1</v>
      </c>
      <c r="BF426" s="2" t="s">
        <v>2102</v>
      </c>
      <c r="BG426" s="2" t="e">
        <v>#N/A</v>
      </c>
      <c r="BH426" s="2" t="s">
        <v>2103</v>
      </c>
    </row>
    <row r="427" spans="2:60" hidden="1" x14ac:dyDescent="0.25">
      <c r="B427" s="2" t="s">
        <v>2104</v>
      </c>
      <c r="C427" s="2" t="s">
        <v>2105</v>
      </c>
      <c r="D427" s="44" t="s">
        <v>2106</v>
      </c>
      <c r="E427" s="2" t="s">
        <v>3</v>
      </c>
      <c r="F427" s="2" t="s">
        <v>138</v>
      </c>
      <c r="G427" s="2" t="s">
        <v>1</v>
      </c>
      <c r="H427" s="2" t="s">
        <v>139</v>
      </c>
      <c r="I427" s="2" t="s">
        <v>140</v>
      </c>
      <c r="J427" s="2" t="s">
        <v>141</v>
      </c>
      <c r="K427" s="2" t="s">
        <v>142</v>
      </c>
      <c r="L427" s="2" t="s">
        <v>2107</v>
      </c>
      <c r="M427" s="2">
        <v>0</v>
      </c>
      <c r="N427" s="2">
        <v>0</v>
      </c>
      <c r="O427" s="2">
        <v>0</v>
      </c>
      <c r="P427" s="2" t="s">
        <v>482</v>
      </c>
      <c r="Q427" s="2" t="s">
        <v>73</v>
      </c>
      <c r="R427" s="29" t="e">
        <f>IF(INDEX(#REF!,MATCH('data '!$B427,#REF!,0),MATCH('data '!R$3,#REF!,0))=0,"",INDEX(#REF!,MATCH('data '!$B427,#REF!,0),MATCH('data '!R$3,#REF!,0)))</f>
        <v>#REF!</v>
      </c>
      <c r="S427" s="29" t="e">
        <f>IF(INDEX(#REF!,MATCH('data '!$B427,#REF!,0),MATCH('data '!S$3,#REF!,0))=0,"",INDEX(#REF!,MATCH('data '!$B427,#REF!,0),MATCH('data '!S$3,#REF!,0)))</f>
        <v>#REF!</v>
      </c>
      <c r="T427" s="29" t="e">
        <f>IF(INDEX(#REF!,MATCH('data '!$B427,#REF!,0),MATCH('data '!T$3,#REF!,0))=0,"",INDEX(#REF!,MATCH('data '!$B427,#REF!,0),MATCH('data '!T$3,#REF!,0)))</f>
        <v>#REF!</v>
      </c>
      <c r="V427" s="25" t="s">
        <v>74</v>
      </c>
      <c r="W427" s="25">
        <v>0</v>
      </c>
      <c r="AC427" s="8" t="e">
        <f>VLOOKUP(B427,#REF!,19,0)</f>
        <v>#REF!</v>
      </c>
      <c r="AP427" s="8" t="str">
        <f t="shared" si="18"/>
        <v>Not yet endorsed</v>
      </c>
      <c r="AQ427" s="10" t="b" cm="1">
        <f t="array" aca="1" ref="AQ427" ca="1">IF(AM427&gt;0,(TODAY()-AM427),IF(AL427&gt;0,(TODAY()-AL427),IF(AK427&gt;0,(TODAY()-AK427,IF(AI427&gt;0,(TODAY()-AI427),IF(AG427&gt;0,(TODAY()-AG427),IF(AF427&gt;0,(TODAY()-AF427),IF(X427&gt;0,(TODAY()-X427)," "))))))))</f>
        <v>0</v>
      </c>
      <c r="BD427" s="2" t="str">
        <f t="shared" si="19"/>
        <v>Not yet endorsed</v>
      </c>
      <c r="BE427" s="2" t="s">
        <v>75</v>
      </c>
      <c r="BG427" s="2" t="e">
        <v>#N/A</v>
      </c>
      <c r="BH427" s="2" t="e" vm="1">
        <v>#REF!</v>
      </c>
    </row>
    <row r="428" spans="2:60" hidden="1" x14ac:dyDescent="0.25">
      <c r="B428" s="26" t="s">
        <v>2108</v>
      </c>
      <c r="C428" s="26" t="s">
        <v>2109</v>
      </c>
      <c r="D428" s="46" t="s">
        <v>2110</v>
      </c>
      <c r="E428" s="2" t="s">
        <v>5</v>
      </c>
      <c r="F428" s="2" t="s">
        <v>1613</v>
      </c>
      <c r="G428" s="2" t="s">
        <v>1</v>
      </c>
      <c r="H428" s="2" t="s">
        <v>120</v>
      </c>
      <c r="I428" s="2" t="s">
        <v>140</v>
      </c>
      <c r="J428" s="2" t="s">
        <v>141</v>
      </c>
      <c r="K428" s="2" t="s">
        <v>370</v>
      </c>
      <c r="L428" s="2" t="s">
        <v>2111</v>
      </c>
      <c r="M428" s="2">
        <v>0</v>
      </c>
      <c r="N428" s="2">
        <v>0</v>
      </c>
      <c r="O428" s="2">
        <v>0</v>
      </c>
      <c r="P428" s="2" t="s">
        <v>82</v>
      </c>
      <c r="Q428" s="2" t="s">
        <v>73</v>
      </c>
      <c r="R428" s="29" t="e">
        <f>IF(INDEX(#REF!,MATCH('data '!$B428,#REF!,0),MATCH('data '!R$3,#REF!,0))=0,"",INDEX(#REF!,MATCH('data '!$B428,#REF!,0),MATCH('data '!R$3,#REF!,0)))</f>
        <v>#REF!</v>
      </c>
      <c r="S428" s="29" t="e">
        <f>IF(INDEX(#REF!,MATCH('data '!$B428,#REF!,0),MATCH('data '!S$3,#REF!,0))=0,"",INDEX(#REF!,MATCH('data '!$B428,#REF!,0),MATCH('data '!S$3,#REF!,0)))</f>
        <v>#REF!</v>
      </c>
      <c r="T428" s="29" t="e">
        <f>IF(INDEX(#REF!,MATCH('data '!$B428,#REF!,0),MATCH('data '!T$3,#REF!,0))=0,"",INDEX(#REF!,MATCH('data '!$B428,#REF!,0),MATCH('data '!T$3,#REF!,0)))</f>
        <v>#REF!</v>
      </c>
      <c r="V428" s="25" t="s">
        <v>125</v>
      </c>
      <c r="W428" s="25">
        <v>0</v>
      </c>
      <c r="AC428" s="8" t="e">
        <f>VLOOKUP(B428,#REF!,19,0)</f>
        <v>#REF!</v>
      </c>
      <c r="AE428" s="8" t="s">
        <v>295</v>
      </c>
      <c r="AF428" s="21">
        <v>45938</v>
      </c>
      <c r="AG428" s="8">
        <v>45952</v>
      </c>
      <c r="AH428" s="8" t="s">
        <v>815</v>
      </c>
      <c r="AI428" s="8">
        <v>45958</v>
      </c>
      <c r="AJ428" s="8" t="s">
        <v>816</v>
      </c>
      <c r="AP428" s="8" t="str">
        <f t="shared" si="18"/>
        <v>PO Issued</v>
      </c>
      <c r="AQ428" s="10" t="b" cm="1">
        <f t="array" aca="1" ref="AQ428" ca="1">IF(AM428&gt;0,(TODAY()-AM428),IF(AL428&gt;0,(TODAY()-AL428),IF(AK428&gt;0,(TODAY()-AK428,IF(AI428&gt;0,(TODAY()-AI428),IF(AG428&gt;0,(TODAY()-AG428),IF(AF428&gt;0,(TODAY()-AF428),IF(X428&gt;0,(TODAY()-X428)," "))))))))</f>
        <v>0</v>
      </c>
      <c r="AT428" s="8">
        <v>45994</v>
      </c>
      <c r="AU428" s="8">
        <v>45994</v>
      </c>
      <c r="AV428" s="8">
        <v>45994</v>
      </c>
      <c r="AW428" s="8" t="s">
        <v>957</v>
      </c>
      <c r="AX428" s="8">
        <v>45995</v>
      </c>
      <c r="AY428" s="8" t="s">
        <v>958</v>
      </c>
      <c r="BD428" s="2" t="str">
        <f t="shared" si="19"/>
        <v>PO Issued</v>
      </c>
      <c r="BE428" s="2">
        <v>2</v>
      </c>
      <c r="BG428" s="2" t="s">
        <v>540</v>
      </c>
      <c r="BH428" s="2" t="e" vm="1">
        <v>#REF!</v>
      </c>
    </row>
    <row r="429" spans="2:60" hidden="1" x14ac:dyDescent="0.25">
      <c r="B429" s="2" t="s">
        <v>2112</v>
      </c>
      <c r="C429" s="2" t="s">
        <v>2113</v>
      </c>
      <c r="D429" s="44" t="s">
        <v>2114</v>
      </c>
      <c r="E429" s="2" t="s">
        <v>5</v>
      </c>
      <c r="F429" s="2" t="s">
        <v>382</v>
      </c>
      <c r="G429" s="2" t="s">
        <v>1</v>
      </c>
      <c r="H429" s="2" t="s">
        <v>120</v>
      </c>
      <c r="I429" s="2" t="s">
        <v>140</v>
      </c>
      <c r="J429" s="2" t="s">
        <v>141</v>
      </c>
      <c r="K429" s="2" t="s">
        <v>370</v>
      </c>
      <c r="L429" s="2" t="s">
        <v>2115</v>
      </c>
      <c r="M429" s="2">
        <v>0</v>
      </c>
      <c r="N429" s="2">
        <v>0</v>
      </c>
      <c r="O429" s="2">
        <v>0</v>
      </c>
      <c r="P429" s="2" t="s">
        <v>248</v>
      </c>
      <c r="Q429" s="2" t="s">
        <v>73</v>
      </c>
      <c r="R429" s="29" t="e">
        <f>IF(INDEX(#REF!,MATCH('data '!$B429,#REF!,0),MATCH('data '!R$3,#REF!,0))=0,"",INDEX(#REF!,MATCH('data '!$B429,#REF!,0),MATCH('data '!R$3,#REF!,0)))</f>
        <v>#REF!</v>
      </c>
      <c r="S429" s="29" t="e">
        <f>IF(INDEX(#REF!,MATCH('data '!$B429,#REF!,0),MATCH('data '!S$3,#REF!,0))=0,"",INDEX(#REF!,MATCH('data '!$B429,#REF!,0),MATCH('data '!S$3,#REF!,0)))</f>
        <v>#REF!</v>
      </c>
      <c r="T429" s="29" t="e">
        <f>IF(INDEX(#REF!,MATCH('data '!$B429,#REF!,0),MATCH('data '!T$3,#REF!,0))=0,"",INDEX(#REF!,MATCH('data '!$B429,#REF!,0),MATCH('data '!T$3,#REF!,0)))</f>
        <v>#REF!</v>
      </c>
      <c r="V429" s="25" t="s">
        <v>204</v>
      </c>
      <c r="W429" s="25">
        <v>0</v>
      </c>
      <c r="AC429" s="8" t="e">
        <f>VLOOKUP(B429,#REF!,19,0)</f>
        <v>#REF!</v>
      </c>
      <c r="AE429" s="8" t="s">
        <v>389</v>
      </c>
      <c r="AP429" s="8" t="str">
        <f t="shared" si="18"/>
        <v>Not yet endorsed</v>
      </c>
      <c r="AQ429" s="10" t="b" cm="1">
        <f t="array" aca="1" ref="AQ429" ca="1">IF(AM429&gt;0,(TODAY()-AM429),IF(AL429&gt;0,(TODAY()-AL429),IF(AK429&gt;0,(TODAY()-AK429,IF(AI429&gt;0,(TODAY()-AI429),IF(AG429&gt;0,(TODAY()-AG429),IF(AF429&gt;0,(TODAY()-AF429),IF(X429&gt;0,(TODAY()-X429)," "))))))))</f>
        <v>0</v>
      </c>
      <c r="BD429" s="2" t="str">
        <f t="shared" si="19"/>
        <v>Not yet endorsed</v>
      </c>
      <c r="BE429" s="2" t="s">
        <v>75</v>
      </c>
      <c r="BG429" s="2" t="e">
        <v>#N/A</v>
      </c>
      <c r="BH429" s="2" t="e" vm="1">
        <v>#REF!</v>
      </c>
    </row>
    <row r="430" spans="2:60" hidden="1" x14ac:dyDescent="0.25">
      <c r="B430" s="2" t="s">
        <v>2116</v>
      </c>
      <c r="C430" s="2" t="s">
        <v>2117</v>
      </c>
      <c r="D430" s="44" t="s">
        <v>2118</v>
      </c>
      <c r="E430" s="2" t="s">
        <v>5</v>
      </c>
      <c r="F430" s="2" t="s">
        <v>382</v>
      </c>
      <c r="G430" s="2" t="s">
        <v>1</v>
      </c>
      <c r="H430" s="2" t="s">
        <v>120</v>
      </c>
      <c r="I430" s="2" t="s">
        <v>140</v>
      </c>
      <c r="J430" s="2" t="s">
        <v>141</v>
      </c>
      <c r="K430" s="2" t="s">
        <v>370</v>
      </c>
      <c r="L430" s="26" t="s">
        <v>2119</v>
      </c>
      <c r="M430" s="2">
        <v>0</v>
      </c>
      <c r="N430" s="2">
        <v>15.865029</v>
      </c>
      <c r="O430" s="2">
        <v>120.379527</v>
      </c>
      <c r="P430" s="2" t="s">
        <v>87</v>
      </c>
      <c r="Q430" s="2" t="s">
        <v>198</v>
      </c>
      <c r="R430" s="29" t="e">
        <f>IF(INDEX(#REF!,MATCH('data '!$B430,#REF!,0),MATCH('data '!R$3,#REF!,0))=0,"",INDEX(#REF!,MATCH('data '!$B430,#REF!,0),MATCH('data '!R$3,#REF!,0)))</f>
        <v>#REF!</v>
      </c>
      <c r="S430" s="29" t="e">
        <f>IF(INDEX(#REF!,MATCH('data '!$B430,#REF!,0),MATCH('data '!S$3,#REF!,0))=0,"",INDEX(#REF!,MATCH('data '!$B430,#REF!,0),MATCH('data '!S$3,#REF!,0)))</f>
        <v>#REF!</v>
      </c>
      <c r="T430" s="29" t="e">
        <f>IF(INDEX(#REF!,MATCH('data '!$B430,#REF!,0),MATCH('data '!T$3,#REF!,0))=0,"",INDEX(#REF!,MATCH('data '!$B430,#REF!,0),MATCH('data '!T$3,#REF!,0)))</f>
        <v>#REF!</v>
      </c>
      <c r="U430" s="8" t="s">
        <v>25</v>
      </c>
      <c r="V430" s="25" t="s">
        <v>266</v>
      </c>
      <c r="W430" s="25" t="s">
        <v>144</v>
      </c>
      <c r="X430" s="9" t="s">
        <v>25</v>
      </c>
      <c r="Y430" s="9">
        <v>45805</v>
      </c>
      <c r="AB430" s="8">
        <v>45996</v>
      </c>
      <c r="AC430" s="8" t="e">
        <f>VLOOKUP(B430,#REF!,19,0)</f>
        <v>#REF!</v>
      </c>
      <c r="AE430" s="8" t="s">
        <v>295</v>
      </c>
      <c r="AF430" s="8">
        <v>45915</v>
      </c>
      <c r="AG430" s="8">
        <v>45946</v>
      </c>
      <c r="AH430" s="8" t="s">
        <v>954</v>
      </c>
      <c r="AI430" s="8">
        <v>45950</v>
      </c>
      <c r="AJ430" s="8" t="s">
        <v>955</v>
      </c>
      <c r="AK430" s="8">
        <v>45936</v>
      </c>
      <c r="AL430" s="8">
        <v>45947</v>
      </c>
      <c r="AM430" s="8">
        <v>45954</v>
      </c>
      <c r="AP430" s="8" t="str">
        <f t="shared" si="18"/>
        <v>Tempo Energized</v>
      </c>
      <c r="AQ430" s="10" cm="1">
        <f t="array" aca="1" ref="AQ430" ca="1">IF(AM430&gt;0,(TODAY()-AM430),IF(AL430&gt;0,(TODAY()-AL430),IF(AK430&gt;0,(TODAY()-AK430,IF(AI430&gt;0,(TODAY()-AI430),IF(AG430&gt;0,(TODAY()-AG430),IF(AF430&gt;0,(TODAY()-AF430),IF(X430&gt;0,(TODAY()-X430)," "))))))))</f>
        <v>152</v>
      </c>
      <c r="AS430" s="8" t="s">
        <v>2120</v>
      </c>
      <c r="AT430" s="8">
        <v>45922</v>
      </c>
      <c r="AU430" s="8">
        <v>45924</v>
      </c>
      <c r="AV430" s="8">
        <v>45936</v>
      </c>
      <c r="AW430" s="8" t="s">
        <v>377</v>
      </c>
      <c r="AX430" s="8">
        <v>45939</v>
      </c>
      <c r="AY430" s="8" t="s">
        <v>378</v>
      </c>
      <c r="BD430" s="2" t="str">
        <f t="shared" si="19"/>
        <v>PO Issued</v>
      </c>
      <c r="BE430" s="2">
        <v>4</v>
      </c>
      <c r="BF430" s="2" t="s">
        <v>2121</v>
      </c>
      <c r="BG430" s="2" t="e">
        <v>#N/A</v>
      </c>
      <c r="BH430" s="2" t="e" vm="1">
        <v>#REF!</v>
      </c>
    </row>
    <row r="431" spans="2:60" hidden="1" x14ac:dyDescent="0.25">
      <c r="B431" s="26" t="s">
        <v>2122</v>
      </c>
      <c r="C431" s="26" t="s">
        <v>2123</v>
      </c>
      <c r="D431" s="46" t="s">
        <v>2124</v>
      </c>
      <c r="E431" s="2" t="s">
        <v>5</v>
      </c>
      <c r="F431" s="2" t="s">
        <v>382</v>
      </c>
      <c r="G431" s="2" t="s">
        <v>1</v>
      </c>
      <c r="H431" s="2" t="s">
        <v>120</v>
      </c>
      <c r="I431" s="2" t="s">
        <v>140</v>
      </c>
      <c r="J431" s="2" t="s">
        <v>141</v>
      </c>
      <c r="K431" s="2" t="s">
        <v>370</v>
      </c>
      <c r="L431" s="2" t="s">
        <v>2119</v>
      </c>
      <c r="M431" s="2">
        <v>0</v>
      </c>
      <c r="N431" s="2">
        <v>0</v>
      </c>
      <c r="O431" s="2">
        <v>0</v>
      </c>
      <c r="P431" s="2" t="s">
        <v>82</v>
      </c>
      <c r="Q431" s="2" t="s">
        <v>73</v>
      </c>
      <c r="R431" s="29" t="e">
        <f>IF(INDEX(#REF!,MATCH('data '!$B431,#REF!,0),MATCH('data '!R$3,#REF!,0))=0,"",INDEX(#REF!,MATCH('data '!$B431,#REF!,0),MATCH('data '!R$3,#REF!,0)))</f>
        <v>#REF!</v>
      </c>
      <c r="S431" s="29" t="e">
        <f>IF(INDEX(#REF!,MATCH('data '!$B431,#REF!,0),MATCH('data '!S$3,#REF!,0))=0,"",INDEX(#REF!,MATCH('data '!$B431,#REF!,0),MATCH('data '!S$3,#REF!,0)))</f>
        <v>#REF!</v>
      </c>
      <c r="T431" s="29" t="e">
        <f>IF(INDEX(#REF!,MATCH('data '!$B431,#REF!,0),MATCH('data '!T$3,#REF!,0))=0,"",INDEX(#REF!,MATCH('data '!$B431,#REF!,0),MATCH('data '!T$3,#REF!,0)))</f>
        <v>#REF!</v>
      </c>
      <c r="V431" s="25" t="s">
        <v>87</v>
      </c>
      <c r="W431" s="25" t="s">
        <v>144</v>
      </c>
      <c r="X431" s="9" t="s">
        <v>25</v>
      </c>
      <c r="AC431" s="8" t="e">
        <f>VLOOKUP(B431,#REF!,19,0)</f>
        <v>#REF!</v>
      </c>
      <c r="AE431" s="8" t="s">
        <v>295</v>
      </c>
      <c r="AF431" s="21">
        <v>45938</v>
      </c>
      <c r="AG431" s="8">
        <v>45952</v>
      </c>
      <c r="AH431" s="8" t="s">
        <v>815</v>
      </c>
      <c r="AI431" s="8">
        <v>45958</v>
      </c>
      <c r="AJ431" s="8" t="s">
        <v>816</v>
      </c>
      <c r="AP431" s="8" t="str">
        <f t="shared" si="18"/>
        <v>PO Issued</v>
      </c>
      <c r="AQ431" s="10" t="b" cm="1">
        <f t="array" aca="1" ref="AQ431" ca="1">IF(AM431&gt;0,(TODAY()-AM431),IF(AL431&gt;0,(TODAY()-AL431),IF(AK431&gt;0,(TODAY()-AK431,IF(AI431&gt;0,(TODAY()-AI431),IF(AG431&gt;0,(TODAY()-AG431),IF(AF431&gt;0,(TODAY()-AF431),IF(X431&gt;0,(TODAY()-X431)," "))))))))</f>
        <v>0</v>
      </c>
      <c r="BD431" s="2" t="str">
        <f t="shared" si="19"/>
        <v>Vendor Allocated</v>
      </c>
      <c r="BE431" s="2">
        <v>2</v>
      </c>
      <c r="BG431" s="2" t="s">
        <v>540</v>
      </c>
      <c r="BH431" s="2" t="e" vm="1">
        <v>#REF!</v>
      </c>
    </row>
    <row r="432" spans="2:60" hidden="1" x14ac:dyDescent="0.25">
      <c r="B432" s="2" t="s">
        <v>2125</v>
      </c>
      <c r="C432" s="2" t="s">
        <v>2126</v>
      </c>
      <c r="D432" s="44" t="s">
        <v>2127</v>
      </c>
      <c r="E432" s="2" t="s">
        <v>3</v>
      </c>
      <c r="F432" s="2">
        <v>0</v>
      </c>
      <c r="G432" s="2" t="s">
        <v>1</v>
      </c>
      <c r="H432" s="2" t="s">
        <v>120</v>
      </c>
      <c r="I432" s="2" t="s">
        <v>121</v>
      </c>
      <c r="J432" s="2" t="s">
        <v>141</v>
      </c>
      <c r="K432" s="2" t="s">
        <v>370</v>
      </c>
      <c r="L432" s="2" t="s">
        <v>2128</v>
      </c>
      <c r="M432" s="2">
        <v>0</v>
      </c>
      <c r="N432" s="2">
        <v>0</v>
      </c>
      <c r="O432" s="2">
        <v>0</v>
      </c>
      <c r="P432" s="2" t="s">
        <v>789</v>
      </c>
      <c r="Q432" s="2">
        <v>0</v>
      </c>
      <c r="R432" s="29" t="e">
        <f>IF(INDEX(#REF!,MATCH('data '!$B432,#REF!,0),MATCH('data '!R$3,#REF!,0))=0,"",INDEX(#REF!,MATCH('data '!$B432,#REF!,0),MATCH('data '!R$3,#REF!,0)))</f>
        <v>#REF!</v>
      </c>
      <c r="S432" s="29" t="e">
        <f>IF(INDEX(#REF!,MATCH('data '!$B432,#REF!,0),MATCH('data '!S$3,#REF!,0))=0,"",INDEX(#REF!,MATCH('data '!$B432,#REF!,0),MATCH('data '!S$3,#REF!,0)))</f>
        <v>#REF!</v>
      </c>
      <c r="T432" s="29" t="e">
        <f>IF(INDEX(#REF!,MATCH('data '!$B432,#REF!,0),MATCH('data '!T$3,#REF!,0))=0,"",INDEX(#REF!,MATCH('data '!$B432,#REF!,0),MATCH('data '!T$3,#REF!,0)))</f>
        <v>#REF!</v>
      </c>
      <c r="V432" s="25" t="s">
        <v>204</v>
      </c>
      <c r="W432" s="25">
        <v>0</v>
      </c>
      <c r="AC432" s="8" t="e">
        <f>VLOOKUP(B432,#REF!,19,0)</f>
        <v>#REF!</v>
      </c>
      <c r="AP432" s="8" t="str">
        <f t="shared" si="18"/>
        <v>Not yet endorsed</v>
      </c>
      <c r="AQ432" s="10" t="b" cm="1">
        <f t="array" aca="1" ref="AQ432" ca="1">IF(AM432&gt;0,(TODAY()-AM432),IF(AL432&gt;0,(TODAY()-AL432),IF(AK432&gt;0,(TODAY()-AK432,IF(AI432&gt;0,(TODAY()-AI432),IF(AG432&gt;0,(TODAY()-AG432),IF(AF432&gt;0,(TODAY()-AF432),IF(X432&gt;0,(TODAY()-X432)," "))))))))</f>
        <v>0</v>
      </c>
      <c r="BD432" s="2" t="str">
        <f t="shared" si="19"/>
        <v>Not yet endorsed</v>
      </c>
      <c r="BE432" s="2" t="s">
        <v>75</v>
      </c>
      <c r="BG432" s="2" t="e">
        <v>#N/A</v>
      </c>
      <c r="BH432" s="2" t="e" vm="1">
        <v>#REF!</v>
      </c>
    </row>
    <row r="433" spans="2:60" hidden="1" x14ac:dyDescent="0.25">
      <c r="B433" s="2" t="s">
        <v>2129</v>
      </c>
      <c r="C433" s="2" t="s">
        <v>2130</v>
      </c>
      <c r="D433" s="44" t="s">
        <v>2131</v>
      </c>
      <c r="E433" s="2" t="s">
        <v>3</v>
      </c>
      <c r="F433" s="2">
        <v>0</v>
      </c>
      <c r="G433" s="2" t="s">
        <v>1</v>
      </c>
      <c r="H433" s="2" t="s">
        <v>120</v>
      </c>
      <c r="I433" s="2" t="s">
        <v>121</v>
      </c>
      <c r="J433" s="2" t="s">
        <v>141</v>
      </c>
      <c r="K433" s="2" t="s">
        <v>370</v>
      </c>
      <c r="L433" s="2" t="s">
        <v>2128</v>
      </c>
      <c r="M433" s="2">
        <v>0</v>
      </c>
      <c r="N433" s="2">
        <v>0</v>
      </c>
      <c r="O433" s="2">
        <v>0</v>
      </c>
      <c r="P433" s="2" t="s">
        <v>568</v>
      </c>
      <c r="Q433" s="2">
        <v>0</v>
      </c>
      <c r="R433" s="29" t="e">
        <f>IF(INDEX(#REF!,MATCH('data '!$B433,#REF!,0),MATCH('data '!R$3,#REF!,0))=0,"",INDEX(#REF!,MATCH('data '!$B433,#REF!,0),MATCH('data '!R$3,#REF!,0)))</f>
        <v>#REF!</v>
      </c>
      <c r="S433" s="29" t="e">
        <f>IF(INDEX(#REF!,MATCH('data '!$B433,#REF!,0),MATCH('data '!S$3,#REF!,0))=0,"",INDEX(#REF!,MATCH('data '!$B433,#REF!,0),MATCH('data '!S$3,#REF!,0)))</f>
        <v>#REF!</v>
      </c>
      <c r="T433" s="29" t="e">
        <f>IF(INDEX(#REF!,MATCH('data '!$B433,#REF!,0),MATCH('data '!T$3,#REF!,0))=0,"",INDEX(#REF!,MATCH('data '!$B433,#REF!,0),MATCH('data '!T$3,#REF!,0)))</f>
        <v>#REF!</v>
      </c>
      <c r="V433" s="25" t="s">
        <v>204</v>
      </c>
      <c r="W433" s="25">
        <v>0</v>
      </c>
      <c r="AC433" s="8" t="e">
        <f>VLOOKUP(B433,#REF!,19,0)</f>
        <v>#REF!</v>
      </c>
      <c r="AP433" s="8" t="str">
        <f t="shared" si="18"/>
        <v>Not yet endorsed</v>
      </c>
      <c r="AQ433" s="10" t="b" cm="1">
        <f t="array" aca="1" ref="AQ433" ca="1">IF(AM433&gt;0,(TODAY()-AM433),IF(AL433&gt;0,(TODAY()-AL433),IF(AK433&gt;0,(TODAY()-AK433,IF(AI433&gt;0,(TODAY()-AI433),IF(AG433&gt;0,(TODAY()-AG433),IF(AF433&gt;0,(TODAY()-AF433),IF(X433&gt;0,(TODAY()-X433)," "))))))))</f>
        <v>0</v>
      </c>
      <c r="BD433" s="2" t="str">
        <f t="shared" si="19"/>
        <v>Not yet endorsed</v>
      </c>
      <c r="BE433" s="2" t="s">
        <v>75</v>
      </c>
      <c r="BG433" s="2" t="e">
        <v>#N/A</v>
      </c>
      <c r="BH433" s="2" t="e" vm="1">
        <v>#REF!</v>
      </c>
    </row>
    <row r="434" spans="2:60" hidden="1" x14ac:dyDescent="0.25">
      <c r="B434" s="2" t="s">
        <v>2132</v>
      </c>
      <c r="C434" s="2" t="s">
        <v>2133</v>
      </c>
      <c r="D434" s="44" t="s">
        <v>2134</v>
      </c>
      <c r="E434" s="2" t="s">
        <v>3</v>
      </c>
      <c r="F434" s="2">
        <v>0</v>
      </c>
      <c r="G434" s="2" t="s">
        <v>1</v>
      </c>
      <c r="H434" s="2" t="s">
        <v>120</v>
      </c>
      <c r="I434" s="2" t="s">
        <v>121</v>
      </c>
      <c r="J434" s="2" t="s">
        <v>141</v>
      </c>
      <c r="K434" s="2" t="s">
        <v>370</v>
      </c>
      <c r="L434" s="2" t="s">
        <v>2135</v>
      </c>
      <c r="M434" s="2">
        <v>0</v>
      </c>
      <c r="N434" s="2">
        <v>0</v>
      </c>
      <c r="O434" s="2">
        <v>0</v>
      </c>
      <c r="P434" s="2" t="s">
        <v>248</v>
      </c>
      <c r="Q434" s="2">
        <v>0</v>
      </c>
      <c r="R434" s="29" t="e">
        <f>IF(INDEX(#REF!,MATCH('data '!$B434,#REF!,0),MATCH('data '!R$3,#REF!,0))=0,"",INDEX(#REF!,MATCH('data '!$B434,#REF!,0),MATCH('data '!R$3,#REF!,0)))</f>
        <v>#REF!</v>
      </c>
      <c r="S434" s="29" t="e">
        <f>IF(INDEX(#REF!,MATCH('data '!$B434,#REF!,0),MATCH('data '!S$3,#REF!,0))=0,"",INDEX(#REF!,MATCH('data '!$B434,#REF!,0),MATCH('data '!S$3,#REF!,0)))</f>
        <v>#REF!</v>
      </c>
      <c r="T434" s="29" t="e">
        <f>IF(INDEX(#REF!,MATCH('data '!$B434,#REF!,0),MATCH('data '!T$3,#REF!,0))=0,"",INDEX(#REF!,MATCH('data '!$B434,#REF!,0),MATCH('data '!T$3,#REF!,0)))</f>
        <v>#REF!</v>
      </c>
      <c r="V434" s="25" t="s">
        <v>1725</v>
      </c>
      <c r="W434" s="25">
        <v>0</v>
      </c>
      <c r="AC434" s="8" t="e">
        <f>VLOOKUP(B434,#REF!,19,0)</f>
        <v>#REF!</v>
      </c>
      <c r="AP434" s="8" t="str">
        <f t="shared" si="18"/>
        <v>Not yet endorsed</v>
      </c>
      <c r="AQ434" s="10" t="b" cm="1">
        <f t="array" aca="1" ref="AQ434" ca="1">IF(AM434&gt;0,(TODAY()-AM434),IF(AL434&gt;0,(TODAY()-AL434),IF(AK434&gt;0,(TODAY()-AK434,IF(AI434&gt;0,(TODAY()-AI434),IF(AG434&gt;0,(TODAY()-AG434),IF(AF434&gt;0,(TODAY()-AF434),IF(X434&gt;0,(TODAY()-X434)," "))))))))</f>
        <v>0</v>
      </c>
      <c r="BD434" s="2" t="str">
        <f t="shared" si="19"/>
        <v>Not yet endorsed</v>
      </c>
      <c r="BE434" s="2" t="s">
        <v>75</v>
      </c>
      <c r="BG434" s="2" t="e">
        <v>#N/A</v>
      </c>
      <c r="BH434" s="2" t="e" vm="1">
        <v>#REF!</v>
      </c>
    </row>
    <row r="435" spans="2:60" hidden="1" x14ac:dyDescent="0.25">
      <c r="B435" s="2" t="s">
        <v>2136</v>
      </c>
      <c r="C435" s="2" t="s">
        <v>2137</v>
      </c>
      <c r="D435" s="44" t="s">
        <v>2138</v>
      </c>
      <c r="E435" s="2" t="s">
        <v>5</v>
      </c>
      <c r="F435" s="2" t="s">
        <v>208</v>
      </c>
      <c r="G435" s="2" t="s">
        <v>1</v>
      </c>
      <c r="H435" s="2" t="s">
        <v>139</v>
      </c>
      <c r="I435" s="2" t="s">
        <v>140</v>
      </c>
      <c r="J435" s="2" t="s">
        <v>209</v>
      </c>
      <c r="K435" s="2" t="s">
        <v>210</v>
      </c>
      <c r="L435" s="2" t="s">
        <v>2139</v>
      </c>
      <c r="M435" s="2">
        <v>0</v>
      </c>
      <c r="N435" s="2">
        <v>0</v>
      </c>
      <c r="O435" s="2">
        <v>0</v>
      </c>
      <c r="P435" s="2" t="s">
        <v>125</v>
      </c>
      <c r="Q435" s="2" t="s">
        <v>73</v>
      </c>
      <c r="R435" s="29" t="e">
        <f>IF(INDEX(#REF!,MATCH('data '!$B435,#REF!,0),MATCH('data '!R$3,#REF!,0))=0,"",INDEX(#REF!,MATCH('data '!$B435,#REF!,0),MATCH('data '!R$3,#REF!,0)))</f>
        <v>#REF!</v>
      </c>
      <c r="S435" s="29" t="e">
        <f>IF(INDEX(#REF!,MATCH('data '!$B435,#REF!,0),MATCH('data '!S$3,#REF!,0))=0,"",INDEX(#REF!,MATCH('data '!$B435,#REF!,0),MATCH('data '!S$3,#REF!,0)))</f>
        <v>#REF!</v>
      </c>
      <c r="T435" s="29" t="e">
        <f>IF(INDEX(#REF!,MATCH('data '!$B435,#REF!,0),MATCH('data '!T$3,#REF!,0))=0,"",INDEX(#REF!,MATCH('data '!$B435,#REF!,0),MATCH('data '!T$3,#REF!,0)))</f>
        <v>#REF!</v>
      </c>
      <c r="V435" s="25" t="s">
        <v>125</v>
      </c>
      <c r="W435" s="25">
        <v>0</v>
      </c>
      <c r="AC435" s="8" t="e">
        <f>VLOOKUP(B435,#REF!,19,0)</f>
        <v>#REF!</v>
      </c>
      <c r="AE435" s="8" t="s">
        <v>212</v>
      </c>
      <c r="AP435" s="8" t="str">
        <f>IF(AM435&gt;0,"Tempo Energized",IF(AL435&gt;0,"Tempo Permit Released",IF(AK435&gt;0,"COOP Surveyed",IF(AI435&gt;0,"PO Issued",IF(AG435&gt;0,"PQ Raised",IF(AE435&gt;0,"Vendor Allocated",IF(X435&gt;0,"BP Secured","Not yet endorsed")))))))</f>
        <v>Vendor Allocated</v>
      </c>
      <c r="AQ435" s="10" t="b" cm="1">
        <f t="array" aca="1" ref="AQ435" ca="1">IF(AM435&gt;0,(TODAY()-AM435),IF(AL435&gt;0,(TODAY()-AL435),IF(AK435&gt;0,(TODAY()-AK435,IF(AI435&gt;0,(TODAY()-AI435),IF(AG435&gt;0,(TODAY()-AG435),IF(AE435&gt;0,(TODAY()-AE435),IF(X435&gt;0,(TODAY()-X435)," "))))))))</f>
        <v>0</v>
      </c>
      <c r="BD435" s="2" t="str">
        <f>IF(BC435&gt;0,"Permanent Energized",IF(BB435&gt;0,"Bill deposit Paid",IF(BA435&gt;0,"Line Construction Completed",IF(AZ435&gt;0,"Line Construction Started",IF(AX435&gt;0,"PO Issued",IF(AV435&gt;0,"PQ Raised",IF(AU435&gt;0,"BoQ Approved",IF(AT435&gt;0,"BoQ Submitted",IF(AE435&gt;0,"Vendor Allocated",IF(X435&gt;0,"BP Secured",IF(U435&gt;0,"TSSR Approved","Not yet endorsed")))))))))))</f>
        <v>Vendor Allocated</v>
      </c>
      <c r="BE435" s="2" t="s">
        <v>75</v>
      </c>
      <c r="BG435" s="2" t="e">
        <v>#N/A</v>
      </c>
      <c r="BH435" s="2" t="e" vm="1">
        <v>#REF!</v>
      </c>
    </row>
    <row r="436" spans="2:60" hidden="1" x14ac:dyDescent="0.25">
      <c r="B436" s="2" t="s">
        <v>2140</v>
      </c>
      <c r="C436" s="2" t="s">
        <v>2141</v>
      </c>
      <c r="D436" s="44" t="s">
        <v>2142</v>
      </c>
      <c r="E436" s="2" t="s">
        <v>4</v>
      </c>
      <c r="F436" s="2" t="s">
        <v>358</v>
      </c>
      <c r="G436" s="2" t="s">
        <v>1</v>
      </c>
      <c r="H436" s="2" t="s">
        <v>139</v>
      </c>
      <c r="I436" s="2" t="s">
        <v>140</v>
      </c>
      <c r="J436" s="2" t="s">
        <v>122</v>
      </c>
      <c r="K436" s="2" t="s">
        <v>359</v>
      </c>
      <c r="L436" s="2" t="s">
        <v>1983</v>
      </c>
      <c r="M436" s="2">
        <v>0</v>
      </c>
      <c r="N436" s="2">
        <v>15.474432999999999</v>
      </c>
      <c r="O436" s="2">
        <v>120.433342</v>
      </c>
      <c r="P436" s="2" t="s">
        <v>87</v>
      </c>
      <c r="Q436" s="2" t="s">
        <v>73</v>
      </c>
      <c r="R436" s="29" t="e">
        <f>IF(INDEX(#REF!,MATCH('data '!$B436,#REF!,0),MATCH('data '!R$3,#REF!,0))=0,"",INDEX(#REF!,MATCH('data '!$B436,#REF!,0),MATCH('data '!R$3,#REF!,0)))</f>
        <v>#REF!</v>
      </c>
      <c r="S436" s="29" t="e">
        <f>IF(INDEX(#REF!,MATCH('data '!$B436,#REF!,0),MATCH('data '!S$3,#REF!,0))=0,"",INDEX(#REF!,MATCH('data '!$B436,#REF!,0),MATCH('data '!S$3,#REF!,0)))</f>
        <v>#REF!</v>
      </c>
      <c r="T436" s="29" t="e">
        <f>IF(INDEX(#REF!,MATCH('data '!$B436,#REF!,0),MATCH('data '!T$3,#REF!,0))=0,"",INDEX(#REF!,MATCH('data '!$B436,#REF!,0),MATCH('data '!T$3,#REF!,0)))</f>
        <v>#REF!</v>
      </c>
      <c r="U436" s="8" t="s">
        <v>25</v>
      </c>
      <c r="V436" s="25" t="s">
        <v>383</v>
      </c>
      <c r="W436" s="25" t="s">
        <v>144</v>
      </c>
      <c r="X436" s="9" t="s">
        <v>25</v>
      </c>
      <c r="Y436" s="9">
        <v>45924</v>
      </c>
      <c r="AC436" s="8" t="e">
        <f>VLOOKUP(B436,#REF!,19,0)</f>
        <v>#REF!</v>
      </c>
      <c r="AE436" s="8" t="s">
        <v>1681</v>
      </c>
      <c r="AF436" s="8">
        <v>45938</v>
      </c>
      <c r="AG436" s="8">
        <v>45939</v>
      </c>
      <c r="AH436" s="8" t="s">
        <v>2143</v>
      </c>
      <c r="AI436" s="8">
        <v>45943</v>
      </c>
      <c r="AJ436" s="8" t="s">
        <v>2144</v>
      </c>
      <c r="AK436" s="8">
        <v>45982</v>
      </c>
      <c r="AL436" s="8">
        <v>45980</v>
      </c>
      <c r="AM436" s="8">
        <v>45988</v>
      </c>
      <c r="AP436" s="8" t="str">
        <f t="shared" si="18"/>
        <v>Tempo Energized</v>
      </c>
      <c r="AQ436" s="10" cm="1">
        <f t="array" aca="1" ref="AQ436" ca="1">IF(AM436&gt;0,(TODAY()-AM436),IF(AL436&gt;0,(TODAY()-AL436),IF(AK436&gt;0,(TODAY()-AK436,IF(AI436&gt;0,(TODAY()-AI436),IF(AG436&gt;0,(TODAY()-AG436),IF(AF436&gt;0,(TODAY()-AF436),IF(X436&gt;0,(TODAY()-X436)," "))))))))</f>
        <v>118</v>
      </c>
      <c r="AT436" s="8">
        <v>45973</v>
      </c>
      <c r="AU436" s="8">
        <v>45986</v>
      </c>
      <c r="AV436" s="8">
        <v>45986</v>
      </c>
      <c r="AW436" s="8" t="s">
        <v>2145</v>
      </c>
      <c r="AX436" s="8">
        <v>45987</v>
      </c>
      <c r="AY436" s="8" t="s">
        <v>2146</v>
      </c>
      <c r="BD436" s="2" t="str">
        <f t="shared" si="19"/>
        <v>PO Issued</v>
      </c>
      <c r="BE436" s="2">
        <v>2</v>
      </c>
      <c r="BF436" s="2" t="s">
        <v>2147</v>
      </c>
      <c r="BG436" s="2" t="s">
        <v>1684</v>
      </c>
    </row>
    <row r="437" spans="2:60" hidden="1" x14ac:dyDescent="0.25">
      <c r="B437" s="2" t="s">
        <v>2148</v>
      </c>
      <c r="C437" s="2" t="s">
        <v>2149</v>
      </c>
      <c r="D437" s="44" t="s">
        <v>2150</v>
      </c>
      <c r="E437" s="2" t="s">
        <v>4</v>
      </c>
      <c r="F437" s="2" t="s">
        <v>245</v>
      </c>
      <c r="G437" s="2" t="s">
        <v>1</v>
      </c>
      <c r="H437" s="2" t="s">
        <v>120</v>
      </c>
      <c r="I437" s="2" t="s">
        <v>140</v>
      </c>
      <c r="J437" s="2" t="s">
        <v>122</v>
      </c>
      <c r="K437" s="2" t="s">
        <v>246</v>
      </c>
      <c r="L437" s="2" t="s">
        <v>2151</v>
      </c>
      <c r="M437" s="2">
        <v>0</v>
      </c>
      <c r="N437" s="2">
        <v>0</v>
      </c>
      <c r="O437" s="2">
        <v>0</v>
      </c>
      <c r="P437" s="2" t="s">
        <v>133</v>
      </c>
      <c r="Q437" s="2" t="s">
        <v>73</v>
      </c>
      <c r="R437" s="29" t="e">
        <f>IF(INDEX(#REF!,MATCH('data '!$B437,#REF!,0),MATCH('data '!R$3,#REF!,0))=0,"",INDEX(#REF!,MATCH('data '!$B437,#REF!,0),MATCH('data '!R$3,#REF!,0)))</f>
        <v>#REF!</v>
      </c>
      <c r="S437" s="29" t="e">
        <f>IF(INDEX(#REF!,MATCH('data '!$B437,#REF!,0),MATCH('data '!S$3,#REF!,0))=0,"",INDEX(#REF!,MATCH('data '!$B437,#REF!,0),MATCH('data '!S$3,#REF!,0)))</f>
        <v>#REF!</v>
      </c>
      <c r="T437" s="29" t="e">
        <f>IF(INDEX(#REF!,MATCH('data '!$B437,#REF!,0),MATCH('data '!T$3,#REF!,0))=0,"",INDEX(#REF!,MATCH('data '!$B437,#REF!,0),MATCH('data '!T$3,#REF!,0)))</f>
        <v>#REF!</v>
      </c>
      <c r="V437" s="25" t="s">
        <v>125</v>
      </c>
      <c r="W437" s="25">
        <v>0</v>
      </c>
      <c r="AC437" s="8" t="e">
        <f>VLOOKUP(B437,#REF!,19,0)</f>
        <v>#REF!</v>
      </c>
      <c r="AE437" s="8" t="s">
        <v>547</v>
      </c>
      <c r="AF437" s="21">
        <v>45938</v>
      </c>
      <c r="AP437" s="8" t="str">
        <f t="shared" si="18"/>
        <v>Vendor Allocated</v>
      </c>
      <c r="AQ437" s="10" t="b" cm="1">
        <f t="array" aca="1" ref="AQ437" ca="1">IF(AM437&gt;0,(TODAY()-AM437),IF(AL437&gt;0,(TODAY()-AL437),IF(AK437&gt;0,(TODAY()-AK437,IF(AI437&gt;0,(TODAY()-AI437),IF(AG437&gt;0,(TODAY()-AG437),IF(AF437&gt;0,(TODAY()-AF437),IF(X437&gt;0,(TODAY()-X437)," "))))))))</f>
        <v>0</v>
      </c>
      <c r="BD437" s="2" t="str">
        <f t="shared" si="19"/>
        <v>Vendor Allocated</v>
      </c>
      <c r="BE437" s="2">
        <v>2</v>
      </c>
      <c r="BG437" s="2" t="s">
        <v>1636</v>
      </c>
    </row>
    <row r="438" spans="2:60" hidden="1" x14ac:dyDescent="0.25">
      <c r="B438" s="2" t="s">
        <v>2152</v>
      </c>
      <c r="C438" s="2" t="s">
        <v>2153</v>
      </c>
      <c r="D438" s="44" t="s">
        <v>2154</v>
      </c>
      <c r="E438" s="2" t="s">
        <v>4</v>
      </c>
      <c r="F438" s="2" t="s">
        <v>245</v>
      </c>
      <c r="G438" s="2" t="s">
        <v>1</v>
      </c>
      <c r="H438" s="2" t="s">
        <v>120</v>
      </c>
      <c r="I438" s="2" t="s">
        <v>140</v>
      </c>
      <c r="J438" s="2" t="s">
        <v>122</v>
      </c>
      <c r="K438" s="2" t="s">
        <v>246</v>
      </c>
      <c r="L438" s="2" t="s">
        <v>2155</v>
      </c>
      <c r="M438" s="2">
        <v>0</v>
      </c>
      <c r="N438" s="2">
        <v>14.6231679</v>
      </c>
      <c r="O438" s="2">
        <v>120.5277366</v>
      </c>
      <c r="P438" s="2" t="s">
        <v>87</v>
      </c>
      <c r="Q438" s="2" t="s">
        <v>73</v>
      </c>
      <c r="R438" s="29" t="e">
        <f>IF(INDEX(#REF!,MATCH('data '!$B438,#REF!,0),MATCH('data '!R$3,#REF!,0))=0,"",INDEX(#REF!,MATCH('data '!$B438,#REF!,0),MATCH('data '!R$3,#REF!,0)))</f>
        <v>#REF!</v>
      </c>
      <c r="S438" s="29" t="e">
        <f>IF(INDEX(#REF!,MATCH('data '!$B438,#REF!,0),MATCH('data '!S$3,#REF!,0))=0,"",INDEX(#REF!,MATCH('data '!$B438,#REF!,0),MATCH('data '!S$3,#REF!,0)))</f>
        <v>#REF!</v>
      </c>
      <c r="T438" s="29" t="e">
        <f>IF(INDEX(#REF!,MATCH('data '!$B438,#REF!,0),MATCH('data '!T$3,#REF!,0))=0,"",INDEX(#REF!,MATCH('data '!$B438,#REF!,0),MATCH('data '!T$3,#REF!,0)))</f>
        <v>#REF!</v>
      </c>
      <c r="U438" s="8" t="s">
        <v>25</v>
      </c>
      <c r="V438" s="25" t="s">
        <v>160</v>
      </c>
      <c r="W438" s="25" t="s">
        <v>144</v>
      </c>
      <c r="X438" s="9" t="s">
        <v>25</v>
      </c>
      <c r="Y438" s="9">
        <v>45932</v>
      </c>
      <c r="AC438" s="8" t="e">
        <f>VLOOKUP(B438,#REF!,19,0)</f>
        <v>#REF!</v>
      </c>
      <c r="AE438" s="8" t="s">
        <v>547</v>
      </c>
      <c r="AF438" s="8">
        <v>45938</v>
      </c>
      <c r="AG438" s="8">
        <v>45939</v>
      </c>
      <c r="AH438" s="8" t="s">
        <v>2156</v>
      </c>
      <c r="AI438" s="8">
        <v>45943</v>
      </c>
      <c r="AJ438" s="8" t="s">
        <v>2157</v>
      </c>
      <c r="AP438" s="8" t="str">
        <f t="shared" si="18"/>
        <v>PO Issued</v>
      </c>
      <c r="AQ438" s="10" t="b" cm="1">
        <f t="array" aca="1" ref="AQ438" ca="1">IF(AM438&gt;0,(TODAY()-AM438),IF(AL438&gt;0,(TODAY()-AL438),IF(AK438&gt;0,(TODAY()-AK438,IF(AI438&gt;0,(TODAY()-AI438),IF(AG438&gt;0,(TODAY()-AG438),IF(AF438&gt;0,(TODAY()-AF438),IF(X438&gt;0,(TODAY()-X438)," "))))))))</f>
        <v>0</v>
      </c>
      <c r="AT438" s="11"/>
      <c r="AU438" s="11"/>
      <c r="AV438" s="11"/>
      <c r="AW438" s="11"/>
      <c r="AX438" s="11"/>
      <c r="AY438" s="11"/>
      <c r="BD438" s="2" t="str">
        <f t="shared" si="19"/>
        <v>Vendor Allocated</v>
      </c>
      <c r="BE438" s="2">
        <v>2</v>
      </c>
      <c r="BG438" s="2" t="s">
        <v>1636</v>
      </c>
    </row>
    <row r="439" spans="2:60" hidden="1" x14ac:dyDescent="0.25">
      <c r="B439" s="2" t="s">
        <v>2158</v>
      </c>
      <c r="C439" s="2" t="s">
        <v>2159</v>
      </c>
      <c r="D439" s="44" t="s">
        <v>2160</v>
      </c>
      <c r="E439" s="2" t="s">
        <v>4</v>
      </c>
      <c r="F439" s="2" t="s">
        <v>245</v>
      </c>
      <c r="G439" s="2" t="s">
        <v>1</v>
      </c>
      <c r="H439" s="2" t="s">
        <v>120</v>
      </c>
      <c r="I439" s="2" t="s">
        <v>140</v>
      </c>
      <c r="J439" s="2" t="s">
        <v>122</v>
      </c>
      <c r="K439" s="2" t="s">
        <v>246</v>
      </c>
      <c r="L439" s="2" t="s">
        <v>777</v>
      </c>
      <c r="M439" s="2">
        <v>0</v>
      </c>
      <c r="N439" s="2">
        <v>14.5463056</v>
      </c>
      <c r="O439" s="2">
        <v>120.566805</v>
      </c>
      <c r="P439" s="2" t="s">
        <v>87</v>
      </c>
      <c r="Q439" s="2" t="s">
        <v>314</v>
      </c>
      <c r="R439" s="29" t="e">
        <f>IF(INDEX(#REF!,MATCH('data '!$B439,#REF!,0),MATCH('data '!R$3,#REF!,0))=0,"",INDEX(#REF!,MATCH('data '!$B439,#REF!,0),MATCH('data '!R$3,#REF!,0)))</f>
        <v>#REF!</v>
      </c>
      <c r="S439" s="29" t="e">
        <f>IF(INDEX(#REF!,MATCH('data '!$B439,#REF!,0),MATCH('data '!S$3,#REF!,0))=0,"",INDEX(#REF!,MATCH('data '!$B439,#REF!,0),MATCH('data '!S$3,#REF!,0)))</f>
        <v>#REF!</v>
      </c>
      <c r="T439" s="29" t="e">
        <f>IF(INDEX(#REF!,MATCH('data '!$B439,#REF!,0),MATCH('data '!T$3,#REF!,0))=0,"",INDEX(#REF!,MATCH('data '!$B439,#REF!,0),MATCH('data '!T$3,#REF!,0)))</f>
        <v>#REF!</v>
      </c>
      <c r="U439" s="8" t="s">
        <v>25</v>
      </c>
      <c r="V439" s="25" t="s">
        <v>160</v>
      </c>
      <c r="W439" s="25" t="s">
        <v>144</v>
      </c>
      <c r="X439" s="43" t="s">
        <v>25</v>
      </c>
      <c r="Y439" s="43">
        <v>45884</v>
      </c>
      <c r="Z439" s="8">
        <v>46000</v>
      </c>
      <c r="AC439" s="8" t="e">
        <f>VLOOKUP(B439,#REF!,19,0)</f>
        <v>#REF!</v>
      </c>
      <c r="AE439" s="8" t="s">
        <v>540</v>
      </c>
      <c r="AF439" s="8">
        <v>45908</v>
      </c>
      <c r="AG439" s="8">
        <v>45908</v>
      </c>
      <c r="AH439" s="8" t="s">
        <v>362</v>
      </c>
      <c r="AI439" s="8">
        <v>45909</v>
      </c>
      <c r="AJ439" s="8" t="s">
        <v>374</v>
      </c>
      <c r="AK439" s="8">
        <v>45916</v>
      </c>
      <c r="AN439" s="8" t="s">
        <v>25</v>
      </c>
      <c r="AO439" s="8" t="s">
        <v>25</v>
      </c>
      <c r="AP439" s="8" t="str">
        <f t="shared" si="18"/>
        <v>COOP Surveyed</v>
      </c>
      <c r="AR439" s="10" t="s">
        <v>669</v>
      </c>
      <c r="AS439" s="8" t="s">
        <v>2161</v>
      </c>
      <c r="AT439" s="11"/>
      <c r="AU439" s="11"/>
      <c r="AV439" s="11"/>
      <c r="AW439" s="11"/>
      <c r="AX439" s="11"/>
      <c r="AY439" s="11"/>
      <c r="BD439" s="2" t="str">
        <f t="shared" si="19"/>
        <v>Vendor Allocated</v>
      </c>
      <c r="BF439" s="2" t="s">
        <v>2162</v>
      </c>
      <c r="BG439" s="2" t="e">
        <v>#N/A</v>
      </c>
    </row>
    <row r="440" spans="2:60" hidden="1" x14ac:dyDescent="0.25">
      <c r="B440" s="2" t="s">
        <v>2163</v>
      </c>
      <c r="C440" s="2" t="s">
        <v>2164</v>
      </c>
      <c r="D440" s="44" t="s">
        <v>2165</v>
      </c>
      <c r="E440" s="2" t="s">
        <v>4</v>
      </c>
      <c r="F440" s="2" t="s">
        <v>245</v>
      </c>
      <c r="G440" s="2" t="s">
        <v>1</v>
      </c>
      <c r="H440" s="2" t="s">
        <v>120</v>
      </c>
      <c r="I440" s="2" t="s">
        <v>140</v>
      </c>
      <c r="J440" s="2" t="s">
        <v>122</v>
      </c>
      <c r="K440" s="2" t="s">
        <v>246</v>
      </c>
      <c r="L440" s="2" t="s">
        <v>247</v>
      </c>
      <c r="M440" s="2">
        <v>0</v>
      </c>
      <c r="N440" s="2">
        <v>14.6313061</v>
      </c>
      <c r="O440" s="2">
        <v>120.5705</v>
      </c>
      <c r="P440" s="2" t="s">
        <v>87</v>
      </c>
      <c r="Q440" s="2" t="s">
        <v>219</v>
      </c>
      <c r="R440" s="29" t="e">
        <f>IF(INDEX(#REF!,MATCH('data '!$B440,#REF!,0),MATCH('data '!R$3,#REF!,0))=0,"",INDEX(#REF!,MATCH('data '!$B440,#REF!,0),MATCH('data '!R$3,#REF!,0)))</f>
        <v>#REF!</v>
      </c>
      <c r="S440" s="29" t="e">
        <f>IF(INDEX(#REF!,MATCH('data '!$B440,#REF!,0),MATCH('data '!S$3,#REF!,0))=0,"",INDEX(#REF!,MATCH('data '!$B440,#REF!,0),MATCH('data '!S$3,#REF!,0)))</f>
        <v>#REF!</v>
      </c>
      <c r="T440" s="29" t="e">
        <f>IF(INDEX(#REF!,MATCH('data '!$B440,#REF!,0),MATCH('data '!T$3,#REF!,0))=0,"",INDEX(#REF!,MATCH('data '!$B440,#REF!,0),MATCH('data '!T$3,#REF!,0)))</f>
        <v>#REF!</v>
      </c>
      <c r="V440" s="25" t="s">
        <v>351</v>
      </c>
      <c r="W440" s="25" t="s">
        <v>144</v>
      </c>
      <c r="X440" s="9" t="s">
        <v>25</v>
      </c>
      <c r="Y440" s="9">
        <v>45878</v>
      </c>
      <c r="Z440" s="8">
        <v>45817</v>
      </c>
      <c r="AC440" s="8" t="e">
        <f>VLOOKUP(B440,#REF!,19,0)</f>
        <v>#REF!</v>
      </c>
      <c r="AE440" s="8" t="s">
        <v>540</v>
      </c>
      <c r="AF440" s="8">
        <v>45908</v>
      </c>
      <c r="AG440" s="8">
        <v>45908</v>
      </c>
      <c r="AH440" s="8" t="s">
        <v>362</v>
      </c>
      <c r="AI440" s="8">
        <v>45909</v>
      </c>
      <c r="AJ440" s="8" t="s">
        <v>374</v>
      </c>
      <c r="AK440" s="8">
        <v>45916</v>
      </c>
      <c r="AN440" s="8" t="s">
        <v>25</v>
      </c>
      <c r="AO440" s="8" t="s">
        <v>25</v>
      </c>
      <c r="AP440" s="8" t="str">
        <f t="shared" si="18"/>
        <v>COOP Surveyed</v>
      </c>
      <c r="AR440" s="10" t="s">
        <v>669</v>
      </c>
      <c r="AS440" s="8" t="s">
        <v>2161</v>
      </c>
      <c r="AT440" s="8">
        <v>45959</v>
      </c>
      <c r="AU440" s="8">
        <v>45959</v>
      </c>
      <c r="AV440" s="8">
        <v>45959</v>
      </c>
      <c r="AW440" s="8" t="s">
        <v>297</v>
      </c>
      <c r="AX440" s="8">
        <v>45964</v>
      </c>
      <c r="AY440" s="8" t="s">
        <v>298</v>
      </c>
      <c r="BD440" s="2" t="str">
        <f t="shared" si="19"/>
        <v>PO Issued</v>
      </c>
      <c r="BF440" s="2" t="s">
        <v>2162</v>
      </c>
      <c r="BG440" s="2" t="e">
        <v>#N/A</v>
      </c>
    </row>
    <row r="441" spans="2:60" hidden="1" x14ac:dyDescent="0.25">
      <c r="B441" s="2" t="s">
        <v>2166</v>
      </c>
      <c r="C441" s="2" t="s">
        <v>2167</v>
      </c>
      <c r="D441" s="44" t="s">
        <v>2168</v>
      </c>
      <c r="E441" s="2" t="s">
        <v>4</v>
      </c>
      <c r="F441" s="2">
        <v>0</v>
      </c>
      <c r="G441" s="2" t="s">
        <v>1</v>
      </c>
      <c r="H441" s="2" t="s">
        <v>120</v>
      </c>
      <c r="I441" s="2" t="s">
        <v>121</v>
      </c>
      <c r="J441" s="2" t="s">
        <v>122</v>
      </c>
      <c r="K441" s="2" t="s">
        <v>123</v>
      </c>
      <c r="L441" s="2" t="s">
        <v>124</v>
      </c>
      <c r="M441" s="2">
        <v>0</v>
      </c>
      <c r="N441" s="2">
        <v>0</v>
      </c>
      <c r="O441" s="2">
        <v>0</v>
      </c>
      <c r="P441" s="2" t="s">
        <v>248</v>
      </c>
      <c r="Q441" s="2">
        <v>0</v>
      </c>
      <c r="R441" s="29" t="e">
        <f>IF(INDEX(#REF!,MATCH('data '!$B441,#REF!,0),MATCH('data '!R$3,#REF!,0))=0,"",INDEX(#REF!,MATCH('data '!$B441,#REF!,0),MATCH('data '!R$3,#REF!,0)))</f>
        <v>#REF!</v>
      </c>
      <c r="S441" s="29" t="e">
        <f>IF(INDEX(#REF!,MATCH('data '!$B441,#REF!,0),MATCH('data '!S$3,#REF!,0))=0,"",INDEX(#REF!,MATCH('data '!$B441,#REF!,0),MATCH('data '!S$3,#REF!,0)))</f>
        <v>#REF!</v>
      </c>
      <c r="T441" s="29" t="e">
        <f>IF(INDEX(#REF!,MATCH('data '!$B441,#REF!,0),MATCH('data '!T$3,#REF!,0))=0,"",INDEX(#REF!,MATCH('data '!$B441,#REF!,0),MATCH('data '!T$3,#REF!,0)))</f>
        <v>#REF!</v>
      </c>
      <c r="V441" s="25" t="s">
        <v>656</v>
      </c>
      <c r="W441" s="25">
        <v>0</v>
      </c>
      <c r="AC441" s="8" t="e">
        <f>VLOOKUP(B441,#REF!,19,0)</f>
        <v>#REF!</v>
      </c>
      <c r="AP441" s="8" t="str">
        <f t="shared" si="18"/>
        <v>Not yet endorsed</v>
      </c>
      <c r="AQ441" s="10" t="b" cm="1">
        <f t="array" aca="1" ref="AQ441" ca="1">IF(AM441&gt;0,(TODAY()-AM441),IF(AL441&gt;0,(TODAY()-AL441),IF(AK441&gt;0,(TODAY()-AK441,IF(AI441&gt;0,(TODAY()-AI441),IF(AG441&gt;0,(TODAY()-AG441),IF(AF441&gt;0,(TODAY()-AF441),IF(X441&gt;0,(TODAY()-X441)," "))))))))</f>
        <v>0</v>
      </c>
      <c r="BD441" s="2" t="str">
        <f t="shared" si="19"/>
        <v>Not yet endorsed</v>
      </c>
      <c r="BE441" s="2" t="s">
        <v>75</v>
      </c>
      <c r="BG441" s="2" t="e">
        <v>#N/A</v>
      </c>
    </row>
    <row r="442" spans="2:60" hidden="1" x14ac:dyDescent="0.25">
      <c r="B442" s="2" t="s">
        <v>2169</v>
      </c>
      <c r="C442" s="2" t="s">
        <v>2170</v>
      </c>
      <c r="D442" s="44" t="s">
        <v>2171</v>
      </c>
      <c r="E442" s="2" t="s">
        <v>4</v>
      </c>
      <c r="F442" s="2">
        <v>0</v>
      </c>
      <c r="G442" s="2" t="s">
        <v>1</v>
      </c>
      <c r="H442" s="2" t="s">
        <v>120</v>
      </c>
      <c r="I442" s="2" t="s">
        <v>121</v>
      </c>
      <c r="J442" s="2" t="s">
        <v>122</v>
      </c>
      <c r="K442" s="2" t="s">
        <v>123</v>
      </c>
      <c r="L442" s="2" t="s">
        <v>2172</v>
      </c>
      <c r="M442" s="2">
        <v>0</v>
      </c>
      <c r="N442" s="2">
        <v>0</v>
      </c>
      <c r="O442" s="2">
        <v>0</v>
      </c>
      <c r="P442" s="2" t="s">
        <v>789</v>
      </c>
      <c r="Q442" s="2">
        <v>0</v>
      </c>
      <c r="R442" s="29" t="e">
        <f>IF(INDEX(#REF!,MATCH('data '!$B442,#REF!,0),MATCH('data '!R$3,#REF!,0))=0,"",INDEX(#REF!,MATCH('data '!$B442,#REF!,0),MATCH('data '!R$3,#REF!,0)))</f>
        <v>#REF!</v>
      </c>
      <c r="S442" s="29" t="e">
        <f>IF(INDEX(#REF!,MATCH('data '!$B442,#REF!,0),MATCH('data '!S$3,#REF!,0))=0,"",INDEX(#REF!,MATCH('data '!$B442,#REF!,0),MATCH('data '!S$3,#REF!,0)))</f>
        <v>#REF!</v>
      </c>
      <c r="T442" s="29" t="e">
        <f>IF(INDEX(#REF!,MATCH('data '!$B442,#REF!,0),MATCH('data '!T$3,#REF!,0))=0,"",INDEX(#REF!,MATCH('data '!$B442,#REF!,0),MATCH('data '!T$3,#REF!,0)))</f>
        <v>#REF!</v>
      </c>
      <c r="V442" s="25" t="s">
        <v>204</v>
      </c>
      <c r="W442" s="25">
        <v>0</v>
      </c>
      <c r="AC442" s="8" t="e">
        <f>VLOOKUP(B442,#REF!,19,0)</f>
        <v>#REF!</v>
      </c>
      <c r="AP442" s="8" t="str">
        <f t="shared" si="18"/>
        <v>Not yet endorsed</v>
      </c>
      <c r="AQ442" s="10" t="b" cm="1">
        <f t="array" aca="1" ref="AQ442" ca="1">IF(AM442&gt;0,(TODAY()-AM442),IF(AL442&gt;0,(TODAY()-AL442),IF(AK442&gt;0,(TODAY()-AK442,IF(AI442&gt;0,(TODAY()-AI442),IF(AG442&gt;0,(TODAY()-AG442),IF(AF442&gt;0,(TODAY()-AF442),IF(X442&gt;0,(TODAY()-X442)," "))))))))</f>
        <v>0</v>
      </c>
      <c r="BD442" s="2" t="str">
        <f t="shared" si="19"/>
        <v>Not yet endorsed</v>
      </c>
      <c r="BE442" s="2" t="s">
        <v>75</v>
      </c>
      <c r="BG442" s="2" t="e">
        <v>#N/A</v>
      </c>
    </row>
    <row r="443" spans="2:60" hidden="1" x14ac:dyDescent="0.25">
      <c r="B443" s="2" t="s">
        <v>2173</v>
      </c>
      <c r="C443" s="2" t="s">
        <v>2174</v>
      </c>
      <c r="D443" s="44" t="s">
        <v>2175</v>
      </c>
      <c r="E443" s="2" t="s">
        <v>4</v>
      </c>
      <c r="F443" s="2">
        <v>0</v>
      </c>
      <c r="G443" s="2" t="s">
        <v>1</v>
      </c>
      <c r="H443" s="2" t="s">
        <v>120</v>
      </c>
      <c r="I443" s="2" t="s">
        <v>121</v>
      </c>
      <c r="J443" s="2" t="s">
        <v>122</v>
      </c>
      <c r="K443" s="2" t="s">
        <v>123</v>
      </c>
      <c r="L443" s="2" t="s">
        <v>2107</v>
      </c>
      <c r="M443" s="2">
        <v>0</v>
      </c>
      <c r="N443" s="2">
        <v>0</v>
      </c>
      <c r="O443" s="2">
        <v>0</v>
      </c>
      <c r="P443" s="2" t="s">
        <v>248</v>
      </c>
      <c r="Q443" s="2">
        <v>0</v>
      </c>
      <c r="R443" s="29" t="e">
        <f>IF(INDEX(#REF!,MATCH('data '!$B443,#REF!,0),MATCH('data '!R$3,#REF!,0))=0,"",INDEX(#REF!,MATCH('data '!$B443,#REF!,0),MATCH('data '!R$3,#REF!,0)))</f>
        <v>#REF!</v>
      </c>
      <c r="S443" s="29" t="e">
        <f>IF(INDEX(#REF!,MATCH('data '!$B443,#REF!,0),MATCH('data '!S$3,#REF!,0))=0,"",INDEX(#REF!,MATCH('data '!$B443,#REF!,0),MATCH('data '!S$3,#REF!,0)))</f>
        <v>#REF!</v>
      </c>
      <c r="T443" s="29" t="e">
        <f>IF(INDEX(#REF!,MATCH('data '!$B443,#REF!,0),MATCH('data '!T$3,#REF!,0))=0,"",INDEX(#REF!,MATCH('data '!$B443,#REF!,0),MATCH('data '!T$3,#REF!,0)))</f>
        <v>#REF!</v>
      </c>
      <c r="V443" s="25" t="s">
        <v>204</v>
      </c>
      <c r="W443" s="25">
        <v>0</v>
      </c>
      <c r="AC443" s="8" t="e">
        <f>VLOOKUP(B443,#REF!,19,0)</f>
        <v>#REF!</v>
      </c>
      <c r="AP443" s="8" t="str">
        <f t="shared" si="18"/>
        <v>Not yet endorsed</v>
      </c>
      <c r="AQ443" s="10" t="b" cm="1">
        <f t="array" aca="1" ref="AQ443" ca="1">IF(AM443&gt;0,(TODAY()-AM443),IF(AL443&gt;0,(TODAY()-AL443),IF(AK443&gt;0,(TODAY()-AK443,IF(AI443&gt;0,(TODAY()-AI443),IF(AG443&gt;0,(TODAY()-AG443),IF(AF443&gt;0,(TODAY()-AF443),IF(X443&gt;0,(TODAY()-X443)," "))))))))</f>
        <v>0</v>
      </c>
      <c r="BD443" s="2" t="str">
        <f t="shared" si="19"/>
        <v>Not yet endorsed</v>
      </c>
      <c r="BE443" s="2" t="s">
        <v>75</v>
      </c>
      <c r="BG443" s="2" t="e">
        <v>#N/A</v>
      </c>
    </row>
    <row r="444" spans="2:60" hidden="1" x14ac:dyDescent="0.25">
      <c r="B444" s="2" t="s">
        <v>2176</v>
      </c>
      <c r="C444" s="2" t="s">
        <v>2177</v>
      </c>
      <c r="D444" s="44" t="s">
        <v>2178</v>
      </c>
      <c r="E444" s="2" t="s">
        <v>4</v>
      </c>
      <c r="F444" s="2">
        <v>0</v>
      </c>
      <c r="G444" s="2" t="s">
        <v>1</v>
      </c>
      <c r="H444" s="2" t="s">
        <v>120</v>
      </c>
      <c r="I444" s="2" t="s">
        <v>121</v>
      </c>
      <c r="J444" s="2" t="s">
        <v>122</v>
      </c>
      <c r="K444" s="2" t="s">
        <v>123</v>
      </c>
      <c r="L444" s="2" t="s">
        <v>124</v>
      </c>
      <c r="M444" s="2">
        <v>0</v>
      </c>
      <c r="N444" s="2">
        <v>0</v>
      </c>
      <c r="O444" s="2">
        <v>0</v>
      </c>
      <c r="P444" s="2" t="s">
        <v>248</v>
      </c>
      <c r="Q444" s="2">
        <v>0</v>
      </c>
      <c r="R444" s="29" t="e">
        <f>IF(INDEX(#REF!,MATCH('data '!$B444,#REF!,0),MATCH('data '!R$3,#REF!,0))=0,"",INDEX(#REF!,MATCH('data '!$B444,#REF!,0),MATCH('data '!R$3,#REF!,0)))</f>
        <v>#REF!</v>
      </c>
      <c r="S444" s="29" t="e">
        <f>IF(INDEX(#REF!,MATCH('data '!$B444,#REF!,0),MATCH('data '!S$3,#REF!,0))=0,"",INDEX(#REF!,MATCH('data '!$B444,#REF!,0),MATCH('data '!S$3,#REF!,0)))</f>
        <v>#REF!</v>
      </c>
      <c r="T444" s="29" t="e">
        <f>IF(INDEX(#REF!,MATCH('data '!$B444,#REF!,0),MATCH('data '!T$3,#REF!,0))=0,"",INDEX(#REF!,MATCH('data '!$B444,#REF!,0),MATCH('data '!T$3,#REF!,0)))</f>
        <v>#REF!</v>
      </c>
      <c r="V444" s="25" t="s">
        <v>204</v>
      </c>
      <c r="W444" s="25">
        <v>0</v>
      </c>
      <c r="AC444" s="8" t="e">
        <f>VLOOKUP(B444,#REF!,19,0)</f>
        <v>#REF!</v>
      </c>
      <c r="AP444" s="8" t="str">
        <f t="shared" si="18"/>
        <v>Not yet endorsed</v>
      </c>
      <c r="AQ444" s="10" t="b" cm="1">
        <f t="array" aca="1" ref="AQ444" ca="1">IF(AM444&gt;0,(TODAY()-AM444),IF(AL444&gt;0,(TODAY()-AL444),IF(AK444&gt;0,(TODAY()-AK444,IF(AI444&gt;0,(TODAY()-AI444),IF(AG444&gt;0,(TODAY()-AG444),IF(AF444&gt;0,(TODAY()-AF444),IF(X444&gt;0,(TODAY()-X444)," "))))))))</f>
        <v>0</v>
      </c>
      <c r="BD444" s="2" t="str">
        <f t="shared" si="19"/>
        <v>Not yet endorsed</v>
      </c>
      <c r="BE444" s="2" t="s">
        <v>75</v>
      </c>
      <c r="BG444" s="2" t="e">
        <v>#N/A</v>
      </c>
    </row>
    <row r="445" spans="2:60" hidden="1" x14ac:dyDescent="0.25">
      <c r="B445" s="2" t="s">
        <v>2179</v>
      </c>
      <c r="C445" s="2" t="s">
        <v>2180</v>
      </c>
      <c r="D445" s="44" t="s">
        <v>2181</v>
      </c>
      <c r="E445" s="2" t="s">
        <v>4</v>
      </c>
      <c r="F445" s="2">
        <v>0</v>
      </c>
      <c r="G445" s="2" t="s">
        <v>1</v>
      </c>
      <c r="H445" s="2" t="s">
        <v>120</v>
      </c>
      <c r="I445" s="2" t="s">
        <v>121</v>
      </c>
      <c r="J445" s="2" t="s">
        <v>122</v>
      </c>
      <c r="K445" s="2" t="s">
        <v>123</v>
      </c>
      <c r="L445" s="2" t="s">
        <v>2182</v>
      </c>
      <c r="M445" s="2">
        <v>0</v>
      </c>
      <c r="N445" s="2">
        <v>0</v>
      </c>
      <c r="O445" s="2">
        <v>0</v>
      </c>
      <c r="P445" s="2" t="s">
        <v>1939</v>
      </c>
      <c r="Q445" s="2">
        <v>0</v>
      </c>
      <c r="R445" s="29" t="e">
        <f>IF(INDEX(#REF!,MATCH('data '!$B445,#REF!,0),MATCH('data '!R$3,#REF!,0))=0,"",INDEX(#REF!,MATCH('data '!$B445,#REF!,0),MATCH('data '!R$3,#REF!,0)))</f>
        <v>#REF!</v>
      </c>
      <c r="S445" s="29" t="e">
        <f>IF(INDEX(#REF!,MATCH('data '!$B445,#REF!,0),MATCH('data '!S$3,#REF!,0))=0,"",INDEX(#REF!,MATCH('data '!$B445,#REF!,0),MATCH('data '!S$3,#REF!,0)))</f>
        <v>#REF!</v>
      </c>
      <c r="T445" s="29" t="e">
        <f>IF(INDEX(#REF!,MATCH('data '!$B445,#REF!,0),MATCH('data '!T$3,#REF!,0))=0,"",INDEX(#REF!,MATCH('data '!$B445,#REF!,0),MATCH('data '!T$3,#REF!,0)))</f>
        <v>#REF!</v>
      </c>
      <c r="V445" s="25" t="s">
        <v>74</v>
      </c>
      <c r="W445" s="25">
        <v>0</v>
      </c>
      <c r="AC445" s="8" t="e">
        <f>VLOOKUP(B445,#REF!,19,0)</f>
        <v>#REF!</v>
      </c>
      <c r="AP445" s="8" t="str">
        <f t="shared" si="18"/>
        <v>Not yet endorsed</v>
      </c>
      <c r="AQ445" s="10" t="b" cm="1">
        <f t="array" aca="1" ref="AQ445" ca="1">IF(AM445&gt;0,(TODAY()-AM445),IF(AL445&gt;0,(TODAY()-AL445),IF(AK445&gt;0,(TODAY()-AK445,IF(AI445&gt;0,(TODAY()-AI445),IF(AG445&gt;0,(TODAY()-AG445),IF(AF445&gt;0,(TODAY()-AF445),IF(X445&gt;0,(TODAY()-X445)," "))))))))</f>
        <v>0</v>
      </c>
      <c r="BD445" s="2" t="str">
        <f t="shared" si="19"/>
        <v>Not yet endorsed</v>
      </c>
      <c r="BE445" s="2" t="s">
        <v>75</v>
      </c>
      <c r="BG445" s="2" t="e">
        <v>#N/A</v>
      </c>
    </row>
    <row r="446" spans="2:60" hidden="1" x14ac:dyDescent="0.25">
      <c r="B446" s="2" t="s">
        <v>2183</v>
      </c>
      <c r="C446" s="2" t="s">
        <v>2184</v>
      </c>
      <c r="D446" s="44" t="s">
        <v>2185</v>
      </c>
      <c r="E446" s="2" t="s">
        <v>4</v>
      </c>
      <c r="F446" s="2">
        <v>0</v>
      </c>
      <c r="G446" s="2" t="s">
        <v>1</v>
      </c>
      <c r="H446" s="2" t="s">
        <v>120</v>
      </c>
      <c r="I446" s="2" t="s">
        <v>121</v>
      </c>
      <c r="J446" s="2" t="s">
        <v>122</v>
      </c>
      <c r="K446" s="2" t="s">
        <v>123</v>
      </c>
      <c r="L446" s="2" t="s">
        <v>788</v>
      </c>
      <c r="M446" s="2">
        <v>0</v>
      </c>
      <c r="N446" s="2">
        <v>0</v>
      </c>
      <c r="O446" s="2">
        <v>0</v>
      </c>
      <c r="P446" s="2" t="s">
        <v>789</v>
      </c>
      <c r="Q446" s="2">
        <v>0</v>
      </c>
      <c r="R446" s="29" t="e">
        <f>IF(INDEX(#REF!,MATCH('data '!$B446,#REF!,0),MATCH('data '!R$3,#REF!,0))=0,"",INDEX(#REF!,MATCH('data '!$B446,#REF!,0),MATCH('data '!R$3,#REF!,0)))</f>
        <v>#REF!</v>
      </c>
      <c r="S446" s="29" t="e">
        <f>IF(INDEX(#REF!,MATCH('data '!$B446,#REF!,0),MATCH('data '!S$3,#REF!,0))=0,"",INDEX(#REF!,MATCH('data '!$B446,#REF!,0),MATCH('data '!S$3,#REF!,0)))</f>
        <v>#REF!</v>
      </c>
      <c r="T446" s="29" t="e">
        <f>IF(INDEX(#REF!,MATCH('data '!$B446,#REF!,0),MATCH('data '!T$3,#REF!,0))=0,"",INDEX(#REF!,MATCH('data '!$B446,#REF!,0),MATCH('data '!T$3,#REF!,0)))</f>
        <v>#REF!</v>
      </c>
      <c r="V446" s="25" t="s">
        <v>204</v>
      </c>
      <c r="W446" s="25">
        <v>0</v>
      </c>
      <c r="AC446" s="8" t="e">
        <f>VLOOKUP(B446,#REF!,19,0)</f>
        <v>#REF!</v>
      </c>
      <c r="AP446" s="8" t="str">
        <f t="shared" si="18"/>
        <v>Not yet endorsed</v>
      </c>
      <c r="AQ446" s="10" t="b" cm="1">
        <f t="array" aca="1" ref="AQ446" ca="1">IF(AM446&gt;0,(TODAY()-AM446),IF(AL446&gt;0,(TODAY()-AL446),IF(AK446&gt;0,(TODAY()-AK446,IF(AI446&gt;0,(TODAY()-AI446),IF(AG446&gt;0,(TODAY()-AG446),IF(AF446&gt;0,(TODAY()-AF446),IF(X446&gt;0,(TODAY()-X446)," "))))))))</f>
        <v>0</v>
      </c>
      <c r="BD446" s="2" t="str">
        <f t="shared" si="19"/>
        <v>Not yet endorsed</v>
      </c>
      <c r="BE446" s="2" t="s">
        <v>75</v>
      </c>
      <c r="BG446" s="2" t="e">
        <v>#N/A</v>
      </c>
    </row>
    <row r="447" spans="2:60" hidden="1" x14ac:dyDescent="0.25">
      <c r="B447" s="2" t="s">
        <v>2186</v>
      </c>
      <c r="C447" s="2" t="s">
        <v>2187</v>
      </c>
      <c r="D447" s="44" t="s">
        <v>2188</v>
      </c>
      <c r="E447" s="2" t="s">
        <v>4</v>
      </c>
      <c r="F447" s="2" t="s">
        <v>575</v>
      </c>
      <c r="G447" s="2" t="s">
        <v>1</v>
      </c>
      <c r="H447" s="2" t="s">
        <v>120</v>
      </c>
      <c r="I447" s="2" t="s">
        <v>140</v>
      </c>
      <c r="J447" s="2" t="s">
        <v>122</v>
      </c>
      <c r="K447" s="2" t="s">
        <v>123</v>
      </c>
      <c r="L447" s="2" t="s">
        <v>2189</v>
      </c>
      <c r="M447" s="2">
        <v>0</v>
      </c>
      <c r="N447" s="2">
        <v>0</v>
      </c>
      <c r="O447" s="2">
        <v>0</v>
      </c>
      <c r="P447" s="2" t="s">
        <v>82</v>
      </c>
      <c r="Q447" s="2" t="s">
        <v>73</v>
      </c>
      <c r="R447" s="29" t="e">
        <f>IF(INDEX(#REF!,MATCH('data '!$B447,#REF!,0),MATCH('data '!R$3,#REF!,0))=0,"",INDEX(#REF!,MATCH('data '!$B447,#REF!,0),MATCH('data '!R$3,#REF!,0)))</f>
        <v>#REF!</v>
      </c>
      <c r="S447" s="29" t="e">
        <f>IF(INDEX(#REF!,MATCH('data '!$B447,#REF!,0),MATCH('data '!S$3,#REF!,0))=0,"",INDEX(#REF!,MATCH('data '!$B447,#REF!,0),MATCH('data '!S$3,#REF!,0)))</f>
        <v>#REF!</v>
      </c>
      <c r="T447" s="29" t="e">
        <f>IF(INDEX(#REF!,MATCH('data '!$B447,#REF!,0),MATCH('data '!T$3,#REF!,0))=0,"",INDEX(#REF!,MATCH('data '!$B447,#REF!,0),MATCH('data '!T$3,#REF!,0)))</f>
        <v>#REF!</v>
      </c>
      <c r="U447" s="8" t="s">
        <v>25</v>
      </c>
      <c r="V447" s="25" t="s">
        <v>731</v>
      </c>
      <c r="W447" s="25">
        <v>0</v>
      </c>
      <c r="AC447" s="8" t="e">
        <f>VLOOKUP(B447,#REF!,19,0)</f>
        <v>#REF!</v>
      </c>
      <c r="AE447" s="8" t="s">
        <v>438</v>
      </c>
      <c r="AF447" s="21">
        <v>45938</v>
      </c>
      <c r="AP447" s="8" t="str">
        <f t="shared" si="18"/>
        <v>Vendor Allocated</v>
      </c>
      <c r="AQ447" s="10" t="b" cm="1">
        <f t="array" aca="1" ref="AQ447" ca="1">IF(AM447&gt;0,(TODAY()-AM447),IF(AL447&gt;0,(TODAY()-AL447),IF(AK447&gt;0,(TODAY()-AK447,IF(AI447&gt;0,(TODAY()-AI447),IF(AG447&gt;0,(TODAY()-AG447),IF(AF447&gt;0,(TODAY()-AF447),IF(X447&gt;0,(TODAY()-X447)," "))))))))</f>
        <v>0</v>
      </c>
      <c r="BD447" s="2" t="str">
        <f t="shared" si="19"/>
        <v>Vendor Allocated</v>
      </c>
      <c r="BE447" s="2">
        <v>2</v>
      </c>
      <c r="BG447" s="2" t="s">
        <v>2190</v>
      </c>
    </row>
    <row r="448" spans="2:60" hidden="1" x14ac:dyDescent="0.25">
      <c r="B448" s="2" t="s">
        <v>2191</v>
      </c>
      <c r="C448" s="2" t="s">
        <v>2192</v>
      </c>
      <c r="D448" s="44" t="s">
        <v>2193</v>
      </c>
      <c r="E448" s="2" t="s">
        <v>3</v>
      </c>
      <c r="F448" s="2" t="s">
        <v>279</v>
      </c>
      <c r="G448" s="2" t="s">
        <v>1</v>
      </c>
      <c r="H448" s="2" t="s">
        <v>139</v>
      </c>
      <c r="I448" s="2" t="s">
        <v>140</v>
      </c>
      <c r="J448" s="2" t="s">
        <v>141</v>
      </c>
      <c r="K448" s="2" t="s">
        <v>280</v>
      </c>
      <c r="L448" s="2" t="s">
        <v>2007</v>
      </c>
      <c r="M448" s="2">
        <v>0</v>
      </c>
      <c r="N448" s="2">
        <v>18.070022999999999</v>
      </c>
      <c r="O448" s="2">
        <v>120.686216</v>
      </c>
      <c r="P448" s="2" t="s">
        <v>87</v>
      </c>
      <c r="Q448" s="2" t="s">
        <v>265</v>
      </c>
      <c r="R448" s="29" t="e">
        <f>IF(INDEX(#REF!,MATCH('data '!$B448,#REF!,0),MATCH('data '!R$3,#REF!,0))=0,"",INDEX(#REF!,MATCH('data '!$B448,#REF!,0),MATCH('data '!R$3,#REF!,0)))</f>
        <v>#REF!</v>
      </c>
      <c r="S448" s="29" t="e">
        <f>IF(INDEX(#REF!,MATCH('data '!$B448,#REF!,0),MATCH('data '!S$3,#REF!,0))=0,"",INDEX(#REF!,MATCH('data '!$B448,#REF!,0),MATCH('data '!S$3,#REF!,0)))</f>
        <v>#REF!</v>
      </c>
      <c r="T448" s="29" t="e">
        <f>IF(INDEX(#REF!,MATCH('data '!$B448,#REF!,0),MATCH('data '!T$3,#REF!,0))=0,"",INDEX(#REF!,MATCH('data '!$B448,#REF!,0),MATCH('data '!T$3,#REF!,0)))</f>
        <v>#REF!</v>
      </c>
      <c r="U448" s="8" t="s">
        <v>25</v>
      </c>
      <c r="V448" s="25" t="s">
        <v>266</v>
      </c>
      <c r="W448" s="25" t="s">
        <v>144</v>
      </c>
      <c r="X448" s="9" t="s">
        <v>25</v>
      </c>
      <c r="Y448" s="9">
        <v>45842</v>
      </c>
      <c r="AA448" s="8" t="s">
        <v>1256</v>
      </c>
      <c r="AC448" s="8" t="e">
        <f>VLOOKUP(B448,#REF!,19,0)</f>
        <v>#REF!</v>
      </c>
      <c r="AE448" s="8" t="s">
        <v>145</v>
      </c>
      <c r="AF448" s="8">
        <v>45905</v>
      </c>
      <c r="AG448" s="8">
        <v>45946</v>
      </c>
      <c r="AH448" s="8" t="s">
        <v>283</v>
      </c>
      <c r="AI448" s="8">
        <v>45950</v>
      </c>
      <c r="AJ448" s="8" t="s">
        <v>284</v>
      </c>
      <c r="AK448" s="8">
        <v>45952</v>
      </c>
      <c r="AL448" s="8">
        <v>45954</v>
      </c>
      <c r="AM448" s="8">
        <v>45965</v>
      </c>
      <c r="AP448" s="8" t="str">
        <f t="shared" ref="AP448:AP477" si="20">IF(AM448&gt;0,"Tempo Energized",IF(AL448&gt;0,"Tempo Permit Released",IF(AK448&gt;0,"COOP Surveyed",IF(AI448&gt;0,"PO Issued",IF(AG448&gt;0,"PQ Raised",IF(AF448&gt;0,"Vendor Allocated",IF(X448&gt;0,"BP Secured","Not yet endorsed")))))))</f>
        <v>Tempo Energized</v>
      </c>
      <c r="AQ448" s="10" cm="1">
        <f t="array" aca="1" ref="AQ448" ca="1">IF(AM448&gt;0,(TODAY()-AM448),IF(AL448&gt;0,(TODAY()-AL448),IF(AK448&gt;0,(TODAY()-AK448,IF(AI448&gt;0,(TODAY()-AI448),IF(AG448&gt;0,(TODAY()-AG448),IF(AF448&gt;0,(TODAY()-AF448),IF(X448&gt;0,(TODAY()-X448)," "))))))))</f>
        <v>141</v>
      </c>
      <c r="AT448" s="8">
        <v>45912</v>
      </c>
      <c r="AU448" s="8">
        <v>45950</v>
      </c>
      <c r="AV448" s="8">
        <v>45950</v>
      </c>
      <c r="AW448" s="8" t="s">
        <v>1694</v>
      </c>
      <c r="AX448" s="8">
        <v>45950</v>
      </c>
      <c r="AY448" s="8" t="s">
        <v>1695</v>
      </c>
      <c r="BD448" s="2" t="str">
        <f t="shared" ref="BD448:BD477" si="21">IF(BC448&gt;0,"Permanent Energized",IF(BB448&gt;0,"Bill deposit Paid",IF(BA448&gt;0,"Line Construction Completed",IF(AZ448&gt;0,"Line Construction Started",IF(AX448&gt;0,"PO Issued",IF(AV448&gt;0,"PQ Raised",IF(AU448&gt;0,"BoQ Approved",IF(AT448&gt;0,"BoQ Submitted",IF(AF448&gt;0,"Vendor Allocated",IF(X448&gt;0,"BP Secured",IF(U448&gt;0,"TSSR Approved","Not yet endorsed")))))))))))</f>
        <v>PO Issued</v>
      </c>
      <c r="BE448" s="2">
        <v>28</v>
      </c>
      <c r="BF448" s="2" t="s">
        <v>1152</v>
      </c>
      <c r="BG448" s="2" t="e">
        <v>#N/A</v>
      </c>
      <c r="BH448" s="2" t="e" vm="1">
        <v>#REF!</v>
      </c>
    </row>
    <row r="449" spans="1:60" hidden="1" x14ac:dyDescent="0.25">
      <c r="B449" s="7" t="s">
        <v>2194</v>
      </c>
      <c r="C449" s="2" t="s">
        <v>2195</v>
      </c>
      <c r="D449" s="44" t="s">
        <v>2196</v>
      </c>
      <c r="E449" s="2" t="s">
        <v>3</v>
      </c>
      <c r="F449" s="2" t="s">
        <v>279</v>
      </c>
      <c r="G449" s="2" t="s">
        <v>1</v>
      </c>
      <c r="H449" s="2" t="s">
        <v>139</v>
      </c>
      <c r="I449" s="2" t="s">
        <v>140</v>
      </c>
      <c r="J449" s="2" t="s">
        <v>141</v>
      </c>
      <c r="K449" s="2" t="s">
        <v>280</v>
      </c>
      <c r="L449" s="2" t="s">
        <v>2197</v>
      </c>
      <c r="M449" s="2">
        <v>0</v>
      </c>
      <c r="N449" s="2">
        <v>0</v>
      </c>
      <c r="O449" s="2">
        <v>0</v>
      </c>
      <c r="P449" s="2" t="s">
        <v>87</v>
      </c>
      <c r="Q449" s="2" t="s">
        <v>73</v>
      </c>
      <c r="R449" s="29" t="e">
        <f>IF(INDEX(#REF!,MATCH('data '!$B449,#REF!,0),MATCH('data '!R$3,#REF!,0))=0,"",INDEX(#REF!,MATCH('data '!$B449,#REF!,0),MATCH('data '!R$3,#REF!,0)))</f>
        <v>#REF!</v>
      </c>
      <c r="S449" s="29" t="e">
        <f>IF(INDEX(#REF!,MATCH('data '!$B449,#REF!,0),MATCH('data '!S$3,#REF!,0))=0,"",INDEX(#REF!,MATCH('data '!$B449,#REF!,0),MATCH('data '!S$3,#REF!,0)))</f>
        <v>#REF!</v>
      </c>
      <c r="T449" s="29" t="e">
        <f>IF(INDEX(#REF!,MATCH('data '!$B449,#REF!,0),MATCH('data '!T$3,#REF!,0))=0,"",INDEX(#REF!,MATCH('data '!$B449,#REF!,0),MATCH('data '!T$3,#REF!,0)))</f>
        <v>#REF!</v>
      </c>
      <c r="V449" s="25" t="s">
        <v>160</v>
      </c>
      <c r="W449" s="25" t="s">
        <v>144</v>
      </c>
      <c r="X449" s="9" t="s">
        <v>25</v>
      </c>
      <c r="Y449" s="9">
        <v>45922</v>
      </c>
      <c r="AC449" s="8" t="e">
        <f>VLOOKUP(B449,#REF!,19,0)</f>
        <v>#REF!</v>
      </c>
      <c r="AE449" s="8" t="s">
        <v>145</v>
      </c>
      <c r="AF449" s="8">
        <v>45938</v>
      </c>
      <c r="AG449" s="8">
        <v>45939</v>
      </c>
      <c r="AH449" s="8" t="s">
        <v>146</v>
      </c>
      <c r="AI449" s="8">
        <v>45943</v>
      </c>
      <c r="AJ449" s="8" t="s">
        <v>147</v>
      </c>
      <c r="AK449" s="8">
        <v>45950</v>
      </c>
      <c r="AL449" s="8">
        <v>45978</v>
      </c>
      <c r="AM449" s="8">
        <v>45993</v>
      </c>
      <c r="AP449" s="8" t="str">
        <f t="shared" si="20"/>
        <v>Tempo Energized</v>
      </c>
      <c r="AQ449" s="10" cm="1">
        <f t="array" aca="1" ref="AQ449" ca="1">IF(AM449&gt;0,(TODAY()-AM449),IF(AL449&gt;0,(TODAY()-AL449),IF(AK449&gt;0,(TODAY()-AK449,IF(AI449&gt;0,(TODAY()-AI449),IF(AG449&gt;0,(TODAY()-AG449),IF(AF449&gt;0,(TODAY()-AF449),IF(X449&gt;0,(TODAY()-X449)," "))))))))</f>
        <v>113</v>
      </c>
      <c r="AT449" s="8">
        <v>45994</v>
      </c>
      <c r="AU449" s="11"/>
      <c r="AV449" s="11"/>
      <c r="AW449" s="11"/>
      <c r="AX449" s="11"/>
      <c r="AY449" s="11"/>
      <c r="BD449" s="2" t="str">
        <f t="shared" si="21"/>
        <v>BoQ Submitted</v>
      </c>
      <c r="BE449" s="2">
        <v>2</v>
      </c>
      <c r="BG449" s="2" t="s">
        <v>149</v>
      </c>
      <c r="BH449" s="2" t="e" vm="1">
        <v>#REF!</v>
      </c>
    </row>
    <row r="450" spans="1:60" hidden="1" x14ac:dyDescent="0.25">
      <c r="A450" s="48"/>
      <c r="B450" s="7" t="s">
        <v>2198</v>
      </c>
      <c r="C450" s="49" t="s">
        <v>2199</v>
      </c>
      <c r="D450" s="44" t="s">
        <v>2200</v>
      </c>
      <c r="E450" s="2" t="s">
        <v>3</v>
      </c>
      <c r="F450" s="2" t="s">
        <v>138</v>
      </c>
      <c r="G450" s="2" t="s">
        <v>1</v>
      </c>
      <c r="H450" s="2" t="s">
        <v>139</v>
      </c>
      <c r="I450" s="2" t="s">
        <v>140</v>
      </c>
      <c r="J450" s="2" t="s">
        <v>141</v>
      </c>
      <c r="K450" s="2" t="s">
        <v>142</v>
      </c>
      <c r="L450" s="2" t="s">
        <v>2201</v>
      </c>
      <c r="M450" s="2">
        <v>0</v>
      </c>
      <c r="N450" s="2">
        <v>0</v>
      </c>
      <c r="O450" s="2">
        <v>0</v>
      </c>
      <c r="P450" s="2" t="s">
        <v>168</v>
      </c>
      <c r="Q450" s="2" t="s">
        <v>73</v>
      </c>
      <c r="R450" s="29" t="e">
        <f>IF(INDEX(#REF!,MATCH('data '!$B450,#REF!,0),MATCH('data '!R$3,#REF!,0))=0,"",INDEX(#REF!,MATCH('data '!$B450,#REF!,0),MATCH('data '!R$3,#REF!,0)))</f>
        <v>#REF!</v>
      </c>
      <c r="S450" s="29" t="e">
        <f>IF(INDEX(#REF!,MATCH('data '!$B450,#REF!,0),MATCH('data '!S$3,#REF!,0))=0,"",INDEX(#REF!,MATCH('data '!$B450,#REF!,0),MATCH('data '!S$3,#REF!,0)))</f>
        <v>#REF!</v>
      </c>
      <c r="T450" s="29" t="e">
        <f>IF(INDEX(#REF!,MATCH('data '!$B450,#REF!,0),MATCH('data '!T$3,#REF!,0))=0,"",INDEX(#REF!,MATCH('data '!$B450,#REF!,0),MATCH('data '!T$3,#REF!,0)))</f>
        <v>#REF!</v>
      </c>
      <c r="U450" s="8" t="s">
        <v>25</v>
      </c>
      <c r="V450" s="25" t="s">
        <v>102</v>
      </c>
      <c r="W450" s="25" t="s">
        <v>103</v>
      </c>
      <c r="X450" s="9" t="s">
        <v>25</v>
      </c>
      <c r="AC450" s="8" t="e">
        <f>VLOOKUP(B450,#REF!,19,0)</f>
        <v>#REF!</v>
      </c>
      <c r="AE450" s="8" t="s">
        <v>145</v>
      </c>
      <c r="AF450" s="21">
        <v>45938</v>
      </c>
      <c r="AG450" s="8">
        <v>45946</v>
      </c>
      <c r="AH450" s="8" t="s">
        <v>283</v>
      </c>
      <c r="AI450" s="8">
        <v>45950</v>
      </c>
      <c r="AJ450" s="8" t="s">
        <v>284</v>
      </c>
      <c r="AO450" s="8" t="s">
        <v>561</v>
      </c>
      <c r="AP450" s="8" t="str">
        <f t="shared" si="20"/>
        <v>PO Issued</v>
      </c>
      <c r="AQ450" s="10" t="b" cm="1">
        <f t="array" aca="1" ref="AQ450" ca="1">IF(AM450&gt;0,(TODAY()-AM450),IF(AL450&gt;0,(TODAY()-AL450),IF(AK450&gt;0,(TODAY()-AK450,IF(AI450&gt;0,(TODAY()-AI450),IF(AG450&gt;0,(TODAY()-AG450),IF(AF450&gt;0,(TODAY()-AF450),IF(X450&gt;0,(TODAY()-X450)," "))))))))</f>
        <v>0</v>
      </c>
      <c r="AT450" s="11"/>
      <c r="AU450" s="11"/>
      <c r="AV450" s="11"/>
      <c r="AW450" s="11"/>
      <c r="AX450" s="11"/>
      <c r="AY450" s="11"/>
      <c r="BD450" s="2" t="str">
        <f t="shared" si="21"/>
        <v>Vendor Allocated</v>
      </c>
      <c r="BE450" s="2">
        <v>2</v>
      </c>
      <c r="BG450" s="2" t="s">
        <v>149</v>
      </c>
      <c r="BH450" s="2" t="e" vm="1">
        <v>#REF!</v>
      </c>
    </row>
    <row r="451" spans="1:60" hidden="1" x14ac:dyDescent="0.25">
      <c r="B451" s="2" t="s">
        <v>2202</v>
      </c>
      <c r="C451" s="2" t="s">
        <v>2203</v>
      </c>
      <c r="D451" s="44" t="s">
        <v>2204</v>
      </c>
      <c r="E451" s="2" t="s">
        <v>3</v>
      </c>
      <c r="F451" s="2" t="s">
        <v>138</v>
      </c>
      <c r="G451" s="2" t="s">
        <v>1</v>
      </c>
      <c r="H451" s="2" t="s">
        <v>139</v>
      </c>
      <c r="I451" s="2" t="s">
        <v>140</v>
      </c>
      <c r="J451" s="2" t="s">
        <v>141</v>
      </c>
      <c r="K451" s="2" t="s">
        <v>142</v>
      </c>
      <c r="L451" s="2" t="s">
        <v>2205</v>
      </c>
      <c r="M451" s="2">
        <v>0</v>
      </c>
      <c r="N451" s="2">
        <v>0</v>
      </c>
      <c r="O451" s="2">
        <v>0</v>
      </c>
      <c r="P451" s="2" t="s">
        <v>204</v>
      </c>
      <c r="Q451" s="2" t="s">
        <v>73</v>
      </c>
      <c r="R451" s="29" t="e">
        <f>IF(INDEX(#REF!,MATCH('data '!$B451,#REF!,0),MATCH('data '!R$3,#REF!,0))=0,"",INDEX(#REF!,MATCH('data '!$B451,#REF!,0),MATCH('data '!R$3,#REF!,0)))</f>
        <v>#REF!</v>
      </c>
      <c r="S451" s="29" t="e">
        <f>IF(INDEX(#REF!,MATCH('data '!$B451,#REF!,0),MATCH('data '!S$3,#REF!,0))=0,"",INDEX(#REF!,MATCH('data '!$B451,#REF!,0),MATCH('data '!S$3,#REF!,0)))</f>
        <v>#REF!</v>
      </c>
      <c r="T451" s="29" t="e">
        <f>IF(INDEX(#REF!,MATCH('data '!$B451,#REF!,0),MATCH('data '!T$3,#REF!,0))=0,"",INDEX(#REF!,MATCH('data '!$B451,#REF!,0),MATCH('data '!T$3,#REF!,0)))</f>
        <v>#REF!</v>
      </c>
      <c r="U451" s="8" t="s">
        <v>25</v>
      </c>
      <c r="V451" s="25" t="s">
        <v>168</v>
      </c>
      <c r="W451" s="25" t="s">
        <v>176</v>
      </c>
      <c r="AC451" s="8" t="e">
        <f>VLOOKUP(B451,#REF!,19,0)</f>
        <v>#REF!</v>
      </c>
      <c r="AP451" s="8" t="str">
        <f t="shared" si="20"/>
        <v>Not yet endorsed</v>
      </c>
      <c r="AQ451" s="10" t="b" cm="1">
        <f t="array" aca="1" ref="AQ451" ca="1">IF(AM451&gt;0,(TODAY()-AM451),IF(AL451&gt;0,(TODAY()-AL451),IF(AK451&gt;0,(TODAY()-AK451,IF(AI451&gt;0,(TODAY()-AI451),IF(AG451&gt;0,(TODAY()-AG451),IF(AF451&gt;0,(TODAY()-AF451),IF(X451&gt;0,(TODAY()-X451)," "))))))))</f>
        <v>0</v>
      </c>
      <c r="BD451" s="2" t="str">
        <f t="shared" si="21"/>
        <v>TSSR Approved</v>
      </c>
      <c r="BE451" s="2" t="e">
        <v>#VALUE!</v>
      </c>
      <c r="BG451" s="2" t="e">
        <v>#N/A</v>
      </c>
      <c r="BH451" s="2" t="e" vm="1">
        <v>#REF!</v>
      </c>
    </row>
    <row r="452" spans="1:60" hidden="1" x14ac:dyDescent="0.25">
      <c r="B452" s="2" t="s">
        <v>2206</v>
      </c>
      <c r="C452" s="2" t="s">
        <v>2207</v>
      </c>
      <c r="D452" s="44" t="s">
        <v>2208</v>
      </c>
      <c r="E452" s="2" t="s">
        <v>4</v>
      </c>
      <c r="F452" s="2" t="s">
        <v>2209</v>
      </c>
      <c r="G452" s="2" t="s">
        <v>1</v>
      </c>
      <c r="H452" s="2" t="s">
        <v>139</v>
      </c>
      <c r="I452" s="2" t="s">
        <v>140</v>
      </c>
      <c r="J452" s="2" t="s">
        <v>122</v>
      </c>
      <c r="K452" s="2" t="s">
        <v>637</v>
      </c>
      <c r="L452" s="2" t="s">
        <v>2210</v>
      </c>
      <c r="M452" s="2">
        <v>0</v>
      </c>
      <c r="N452" s="2">
        <v>15.6736</v>
      </c>
      <c r="O452" s="2">
        <v>120.653482</v>
      </c>
      <c r="P452" s="2" t="s">
        <v>87</v>
      </c>
      <c r="Q452" s="2" t="s">
        <v>265</v>
      </c>
      <c r="R452" s="29" t="e">
        <f>IF(INDEX(#REF!,MATCH('data '!$B452,#REF!,0),MATCH('data '!R$3,#REF!,0))=0,"",INDEX(#REF!,MATCH('data '!$B452,#REF!,0),MATCH('data '!R$3,#REF!,0)))</f>
        <v>#REF!</v>
      </c>
      <c r="S452" s="29" t="e">
        <f>IF(INDEX(#REF!,MATCH('data '!$B452,#REF!,0),MATCH('data '!S$3,#REF!,0))=0,"",INDEX(#REF!,MATCH('data '!$B452,#REF!,0),MATCH('data '!S$3,#REF!,0)))</f>
        <v>#REF!</v>
      </c>
      <c r="T452" s="29" t="e">
        <f>IF(INDEX(#REF!,MATCH('data '!$B452,#REF!,0),MATCH('data '!T$3,#REF!,0))=0,"",INDEX(#REF!,MATCH('data '!$B452,#REF!,0),MATCH('data '!T$3,#REF!,0)))</f>
        <v>#REF!</v>
      </c>
      <c r="U452" s="8" t="s">
        <v>25</v>
      </c>
      <c r="V452" s="25" t="s">
        <v>266</v>
      </c>
      <c r="W452" s="25" t="s">
        <v>144</v>
      </c>
      <c r="X452" s="9" t="s">
        <v>25</v>
      </c>
      <c r="Y452" s="9">
        <v>45771</v>
      </c>
      <c r="Z452" s="8">
        <v>45721</v>
      </c>
      <c r="AA452" s="8" t="s">
        <v>2211</v>
      </c>
      <c r="AB452" s="8">
        <v>45874</v>
      </c>
      <c r="AC452" s="8" t="e">
        <f>VLOOKUP(B452,#REF!,19,0)</f>
        <v>#REF!</v>
      </c>
      <c r="AE452" s="8" t="s">
        <v>361</v>
      </c>
      <c r="AF452" s="8">
        <v>45778</v>
      </c>
      <c r="AH452" s="8" t="s">
        <v>362</v>
      </c>
      <c r="AP452" s="8" t="str">
        <f t="shared" si="20"/>
        <v>Vendor Allocated</v>
      </c>
      <c r="AQ452" s="10" t="b" cm="1">
        <f t="array" aca="1" ref="AQ452" ca="1">IF(AM452&gt;0,(TODAY()-AM452),IF(AL452&gt;0,(TODAY()-AL452),IF(AK452&gt;0,(TODAY()-AK452,IF(AI452&gt;0,(TODAY()-AI452),IF(AG452&gt;0,(TODAY()-AG452),IF(AF452&gt;0,(TODAY()-AF452),IF(X452&gt;0,(TODAY()-X452)," "))))))))</f>
        <v>0</v>
      </c>
      <c r="AT452" s="8">
        <v>45932</v>
      </c>
      <c r="AU452" s="8">
        <v>45947</v>
      </c>
      <c r="AV452" s="8">
        <v>45947</v>
      </c>
      <c r="AW452" s="8" t="s">
        <v>2212</v>
      </c>
      <c r="AX452" s="8">
        <v>45950</v>
      </c>
      <c r="AY452" s="8" t="s">
        <v>2213</v>
      </c>
      <c r="AZ452" s="8">
        <v>45989</v>
      </c>
      <c r="BA452" s="8">
        <v>45994</v>
      </c>
      <c r="BB452" s="8">
        <v>45991</v>
      </c>
      <c r="BC452" s="8">
        <v>46009</v>
      </c>
      <c r="BD452" s="2" t="str">
        <f t="shared" si="21"/>
        <v>Permanent Energized</v>
      </c>
      <c r="BE452" s="2">
        <v>8</v>
      </c>
      <c r="BF452" s="2" t="s">
        <v>2214</v>
      </c>
      <c r="BG452" s="2" t="e">
        <v>#N/A</v>
      </c>
      <c r="BH452" s="2" t="s">
        <v>2215</v>
      </c>
    </row>
    <row r="453" spans="1:60" hidden="1" x14ac:dyDescent="0.25">
      <c r="B453" s="2" t="s">
        <v>2216</v>
      </c>
      <c r="C453" s="2" t="s">
        <v>2217</v>
      </c>
      <c r="D453" s="44" t="s">
        <v>2218</v>
      </c>
      <c r="E453" s="2" t="s">
        <v>4</v>
      </c>
      <c r="F453" s="2" t="s">
        <v>2209</v>
      </c>
      <c r="G453" s="2" t="s">
        <v>1</v>
      </c>
      <c r="H453" s="2" t="s">
        <v>139</v>
      </c>
      <c r="I453" s="2" t="s">
        <v>140</v>
      </c>
      <c r="J453" s="2" t="s">
        <v>122</v>
      </c>
      <c r="K453" s="2" t="s">
        <v>637</v>
      </c>
      <c r="L453" s="2" t="s">
        <v>2219</v>
      </c>
      <c r="M453" s="2">
        <v>0</v>
      </c>
      <c r="N453" s="2">
        <v>15.66290654</v>
      </c>
      <c r="O453" s="2">
        <v>120.8590925</v>
      </c>
      <c r="P453" s="2" t="s">
        <v>87</v>
      </c>
      <c r="Q453" s="2" t="s">
        <v>265</v>
      </c>
      <c r="R453" s="29" t="e">
        <f>IF(INDEX(#REF!,MATCH('data '!$B453,#REF!,0),MATCH('data '!R$3,#REF!,0))=0,"",INDEX(#REF!,MATCH('data '!$B453,#REF!,0),MATCH('data '!R$3,#REF!,0)))</f>
        <v>#REF!</v>
      </c>
      <c r="S453" s="29" t="e">
        <f>IF(INDEX(#REF!,MATCH('data '!$B453,#REF!,0),MATCH('data '!S$3,#REF!,0))=0,"",INDEX(#REF!,MATCH('data '!$B453,#REF!,0),MATCH('data '!S$3,#REF!,0)))</f>
        <v>#REF!</v>
      </c>
      <c r="T453" s="29" t="e">
        <f>IF(INDEX(#REF!,MATCH('data '!$B453,#REF!,0),MATCH('data '!T$3,#REF!,0))=0,"",INDEX(#REF!,MATCH('data '!$B453,#REF!,0),MATCH('data '!T$3,#REF!,0)))</f>
        <v>#REF!</v>
      </c>
      <c r="U453" s="8" t="s">
        <v>25</v>
      </c>
      <c r="V453" s="25" t="s">
        <v>266</v>
      </c>
      <c r="W453" s="25" t="s">
        <v>144</v>
      </c>
      <c r="X453" s="9" t="s">
        <v>25</v>
      </c>
      <c r="Y453" s="9">
        <v>45745</v>
      </c>
      <c r="AA453" s="8" t="s">
        <v>2220</v>
      </c>
      <c r="AB453" s="8">
        <v>45854</v>
      </c>
      <c r="AC453" s="8" t="e">
        <f>VLOOKUP(B453,#REF!,19,0)</f>
        <v>#REF!</v>
      </c>
      <c r="AE453" s="8" t="s">
        <v>547</v>
      </c>
      <c r="AF453" s="8">
        <v>45919</v>
      </c>
      <c r="AH453" s="8" t="s">
        <v>362</v>
      </c>
      <c r="AP453" s="8" t="str">
        <f t="shared" si="20"/>
        <v>Vendor Allocated</v>
      </c>
      <c r="AQ453" s="10" t="b" cm="1">
        <f t="array" aca="1" ref="AQ453" ca="1">IF(AM453&gt;0,(TODAY()-AM453),IF(AL453&gt;0,(TODAY()-AL453),IF(AK453&gt;0,(TODAY()-AK453,IF(AI453&gt;0,(TODAY()-AI453),IF(AG453&gt;0,(TODAY()-AG453),IF(AF453&gt;0,(TODAY()-AF453),IF(X453&gt;0,(TODAY()-X453)," "))))))))</f>
        <v>0</v>
      </c>
      <c r="AT453" s="8">
        <v>45926</v>
      </c>
      <c r="AU453" s="8">
        <v>45937</v>
      </c>
      <c r="AV453" s="8">
        <v>45937</v>
      </c>
      <c r="AW453" s="8" t="s">
        <v>2221</v>
      </c>
      <c r="AX453" s="8">
        <v>45938</v>
      </c>
      <c r="AY453" s="8" t="s">
        <v>2222</v>
      </c>
      <c r="AZ453" s="8">
        <v>45987</v>
      </c>
      <c r="BA453" s="8">
        <v>45988</v>
      </c>
      <c r="BB453" s="8">
        <v>45989</v>
      </c>
      <c r="BC453" s="8">
        <v>45994</v>
      </c>
      <c r="BD453" s="2" t="str">
        <f t="shared" si="21"/>
        <v>Permanent Energized</v>
      </c>
      <c r="BE453" s="2">
        <v>2</v>
      </c>
      <c r="BF453" s="2" t="s">
        <v>2223</v>
      </c>
      <c r="BG453" s="2" t="e">
        <v>#N/A</v>
      </c>
      <c r="BH453" s="2" t="s">
        <v>2224</v>
      </c>
    </row>
    <row r="454" spans="1:60" hidden="1" x14ac:dyDescent="0.25">
      <c r="B454" s="2" t="s">
        <v>2225</v>
      </c>
      <c r="C454" s="2" t="s">
        <v>2226</v>
      </c>
      <c r="D454" s="44" t="s">
        <v>2227</v>
      </c>
      <c r="E454" s="2" t="s">
        <v>4</v>
      </c>
      <c r="F454" s="2" t="s">
        <v>2209</v>
      </c>
      <c r="G454" s="2" t="s">
        <v>1</v>
      </c>
      <c r="H454" s="2" t="s">
        <v>139</v>
      </c>
      <c r="I454" s="2" t="s">
        <v>140</v>
      </c>
      <c r="J454" s="2" t="s">
        <v>122</v>
      </c>
      <c r="K454" s="2" t="s">
        <v>637</v>
      </c>
      <c r="L454" s="2" t="s">
        <v>2219</v>
      </c>
      <c r="M454" s="2">
        <v>0</v>
      </c>
      <c r="N454" s="2">
        <v>15.620799999999999</v>
      </c>
      <c r="O454" s="2">
        <v>120.653482</v>
      </c>
      <c r="P454" s="2" t="s">
        <v>87</v>
      </c>
      <c r="Q454" s="2" t="s">
        <v>265</v>
      </c>
      <c r="R454" s="29" t="e">
        <f>IF(INDEX(#REF!,MATCH('data '!$B454,#REF!,0),MATCH('data '!R$3,#REF!,0))=0,"",INDEX(#REF!,MATCH('data '!$B454,#REF!,0),MATCH('data '!R$3,#REF!,0)))</f>
        <v>#REF!</v>
      </c>
      <c r="S454" s="29" t="e">
        <f>IF(INDEX(#REF!,MATCH('data '!$B454,#REF!,0),MATCH('data '!S$3,#REF!,0))=0,"",INDEX(#REF!,MATCH('data '!$B454,#REF!,0),MATCH('data '!S$3,#REF!,0)))</f>
        <v>#REF!</v>
      </c>
      <c r="T454" s="29" t="e">
        <f>IF(INDEX(#REF!,MATCH('data '!$B454,#REF!,0),MATCH('data '!T$3,#REF!,0))=0,"",INDEX(#REF!,MATCH('data '!$B454,#REF!,0),MATCH('data '!T$3,#REF!,0)))</f>
        <v>#REF!</v>
      </c>
      <c r="U454" s="8" t="s">
        <v>25</v>
      </c>
      <c r="V454" s="25" t="s">
        <v>266</v>
      </c>
      <c r="W454" s="25" t="s">
        <v>144</v>
      </c>
      <c r="X454" s="9" t="s">
        <v>25</v>
      </c>
      <c r="Y454" s="9">
        <v>45745</v>
      </c>
      <c r="Z454" s="8">
        <v>45720</v>
      </c>
      <c r="AA454" s="8">
        <v>45967</v>
      </c>
      <c r="AB454" s="8">
        <v>45854</v>
      </c>
      <c r="AC454" s="8" t="e">
        <f>VLOOKUP(B454,#REF!,19,0)</f>
        <v>#REF!</v>
      </c>
      <c r="AE454" s="8" t="s">
        <v>547</v>
      </c>
      <c r="AF454" s="8">
        <v>45919</v>
      </c>
      <c r="AH454" s="8" t="s">
        <v>362</v>
      </c>
      <c r="AP454" s="8" t="str">
        <f t="shared" si="20"/>
        <v>Vendor Allocated</v>
      </c>
      <c r="AQ454" s="10" t="b" cm="1">
        <f t="array" aca="1" ref="AQ454" ca="1">IF(AM454&gt;0,(TODAY()-AM454),IF(AL454&gt;0,(TODAY()-AL454),IF(AK454&gt;0,(TODAY()-AK454,IF(AI454&gt;0,(TODAY()-AI454),IF(AG454&gt;0,(TODAY()-AG454),IF(AF454&gt;0,(TODAY()-AF454),IF(X454&gt;0,(TODAY()-X454)," "))))))))</f>
        <v>0</v>
      </c>
      <c r="AT454" s="8">
        <v>45926</v>
      </c>
      <c r="AU454" s="8">
        <v>45937</v>
      </c>
      <c r="AV454" s="8">
        <v>45937</v>
      </c>
      <c r="AW454" s="8" t="s">
        <v>2221</v>
      </c>
      <c r="AX454" s="8">
        <v>45938</v>
      </c>
      <c r="AY454" s="8" t="s">
        <v>2222</v>
      </c>
      <c r="AZ454" s="8">
        <v>45987</v>
      </c>
      <c r="BA454" s="8">
        <v>45988</v>
      </c>
      <c r="BB454" s="8">
        <v>45989</v>
      </c>
      <c r="BC454" s="8">
        <v>45989</v>
      </c>
      <c r="BD454" s="2" t="str">
        <f t="shared" si="21"/>
        <v>Permanent Energized</v>
      </c>
      <c r="BE454" s="2">
        <v>2</v>
      </c>
      <c r="BF454" s="2" t="s">
        <v>2223</v>
      </c>
      <c r="BG454" s="2" t="e">
        <v>#N/A</v>
      </c>
      <c r="BH454" s="2" t="s">
        <v>2224</v>
      </c>
    </row>
    <row r="455" spans="1:60" hidden="1" x14ac:dyDescent="0.25">
      <c r="B455" s="2" t="s">
        <v>2228</v>
      </c>
      <c r="C455" s="2" t="s">
        <v>2229</v>
      </c>
      <c r="D455" s="44" t="s">
        <v>2230</v>
      </c>
      <c r="E455" s="2" t="s">
        <v>4</v>
      </c>
      <c r="F455" s="2" t="s">
        <v>2231</v>
      </c>
      <c r="G455" s="2" t="s">
        <v>1</v>
      </c>
      <c r="H455" s="2" t="s">
        <v>139</v>
      </c>
      <c r="I455" s="2" t="s">
        <v>140</v>
      </c>
      <c r="J455" s="2" t="s">
        <v>122</v>
      </c>
      <c r="K455" s="2" t="s">
        <v>637</v>
      </c>
      <c r="L455" s="2" t="s">
        <v>2232</v>
      </c>
      <c r="M455" s="2">
        <v>0</v>
      </c>
      <c r="N455" s="2">
        <v>15.762976999999999</v>
      </c>
      <c r="O455" s="2">
        <v>120.956579</v>
      </c>
      <c r="P455" s="2" t="s">
        <v>87</v>
      </c>
      <c r="Q455" s="2" t="s">
        <v>314</v>
      </c>
      <c r="R455" s="29" t="e">
        <f>IF(INDEX(#REF!,MATCH('data '!$B455,#REF!,0),MATCH('data '!R$3,#REF!,0))=0,"",INDEX(#REF!,MATCH('data '!$B455,#REF!,0),MATCH('data '!R$3,#REF!,0)))</f>
        <v>#REF!</v>
      </c>
      <c r="S455" s="29" t="e">
        <f>IF(INDEX(#REF!,MATCH('data '!$B455,#REF!,0),MATCH('data '!S$3,#REF!,0))=0,"",INDEX(#REF!,MATCH('data '!$B455,#REF!,0),MATCH('data '!S$3,#REF!,0)))</f>
        <v>#REF!</v>
      </c>
      <c r="T455" s="29" t="e">
        <f>IF(INDEX(#REF!,MATCH('data '!$B455,#REF!,0),MATCH('data '!T$3,#REF!,0))=0,"",INDEX(#REF!,MATCH('data '!$B455,#REF!,0),MATCH('data '!T$3,#REF!,0)))</f>
        <v>#REF!</v>
      </c>
      <c r="U455" s="8" t="s">
        <v>25</v>
      </c>
      <c r="V455" s="25" t="s">
        <v>160</v>
      </c>
      <c r="W455" s="25" t="s">
        <v>144</v>
      </c>
      <c r="X455" s="9" t="s">
        <v>25</v>
      </c>
      <c r="Y455" s="9">
        <v>45813</v>
      </c>
      <c r="AC455" s="8" t="e">
        <f>VLOOKUP(B455,#REF!,19,0)</f>
        <v>#REF!</v>
      </c>
      <c r="AE455" s="8" t="s">
        <v>1681</v>
      </c>
      <c r="AF455" s="8">
        <v>45908</v>
      </c>
      <c r="AG455" s="8">
        <v>45908</v>
      </c>
      <c r="AH455" s="8" t="s">
        <v>2031</v>
      </c>
      <c r="AI455" s="8">
        <v>45909</v>
      </c>
      <c r="AJ455" s="8" t="s">
        <v>2032</v>
      </c>
      <c r="AK455" s="8">
        <v>45916</v>
      </c>
      <c r="AL455" s="8">
        <v>45915</v>
      </c>
      <c r="AM455" s="8">
        <v>45936</v>
      </c>
      <c r="AP455" s="8" t="str">
        <f t="shared" si="20"/>
        <v>Tempo Energized</v>
      </c>
      <c r="AS455" s="8" t="s">
        <v>2233</v>
      </c>
      <c r="AT455" s="8">
        <v>45905</v>
      </c>
      <c r="AU455" s="8">
        <v>45930</v>
      </c>
      <c r="AV455" s="8">
        <v>45939</v>
      </c>
      <c r="AW455" s="8" t="s">
        <v>2034</v>
      </c>
      <c r="AX455" s="8">
        <v>45943</v>
      </c>
      <c r="AY455" s="8" t="s">
        <v>2035</v>
      </c>
      <c r="BD455" s="2" t="str">
        <f t="shared" si="21"/>
        <v>PO Issued</v>
      </c>
      <c r="BF455" s="2" t="s">
        <v>2234</v>
      </c>
      <c r="BG455" s="2" t="e">
        <v>#N/A</v>
      </c>
      <c r="BH455" s="2" t="s">
        <v>758</v>
      </c>
    </row>
    <row r="456" spans="1:60" hidden="1" x14ac:dyDescent="0.25">
      <c r="B456" s="2" t="s">
        <v>2235</v>
      </c>
      <c r="C456" s="2" t="s">
        <v>2236</v>
      </c>
      <c r="D456" s="44" t="s">
        <v>2237</v>
      </c>
      <c r="E456" s="2" t="s">
        <v>4</v>
      </c>
      <c r="F456" s="2" t="s">
        <v>2209</v>
      </c>
      <c r="G456" s="2" t="s">
        <v>1</v>
      </c>
      <c r="H456" s="2" t="s">
        <v>139</v>
      </c>
      <c r="I456" s="2" t="s">
        <v>140</v>
      </c>
      <c r="J456" s="2" t="s">
        <v>122</v>
      </c>
      <c r="K456" s="2" t="s">
        <v>637</v>
      </c>
      <c r="L456" s="2" t="s">
        <v>2210</v>
      </c>
      <c r="M456" s="2">
        <v>0</v>
      </c>
      <c r="N456" s="2">
        <v>0</v>
      </c>
      <c r="O456" s="2">
        <v>0</v>
      </c>
      <c r="P456" s="2" t="s">
        <v>1939</v>
      </c>
      <c r="Q456" s="2" t="s">
        <v>73</v>
      </c>
      <c r="R456" s="29" t="e">
        <f>IF(INDEX(#REF!,MATCH('data '!$B456,#REF!,0),MATCH('data '!R$3,#REF!,0))=0,"",INDEX(#REF!,MATCH('data '!$B456,#REF!,0),MATCH('data '!R$3,#REF!,0)))</f>
        <v>#REF!</v>
      </c>
      <c r="S456" s="29" t="e">
        <f>IF(INDEX(#REF!,MATCH('data '!$B456,#REF!,0),MATCH('data '!S$3,#REF!,0))=0,"",INDEX(#REF!,MATCH('data '!$B456,#REF!,0),MATCH('data '!S$3,#REF!,0)))</f>
        <v>#REF!</v>
      </c>
      <c r="T456" s="29" t="e">
        <f>IF(INDEX(#REF!,MATCH('data '!$B456,#REF!,0),MATCH('data '!T$3,#REF!,0))=0,"",INDEX(#REF!,MATCH('data '!$B456,#REF!,0),MATCH('data '!T$3,#REF!,0)))</f>
        <v>#REF!</v>
      </c>
      <c r="U456" s="8" t="s">
        <v>25</v>
      </c>
      <c r="V456" s="25" t="s">
        <v>82</v>
      </c>
      <c r="W456" s="25" t="s">
        <v>83</v>
      </c>
      <c r="AC456" s="8" t="e">
        <f>VLOOKUP(B456,#REF!,19,0)</f>
        <v>#REF!</v>
      </c>
      <c r="AP456" s="8" t="str">
        <f t="shared" si="20"/>
        <v>Not yet endorsed</v>
      </c>
      <c r="AQ456" s="10" t="b" cm="1">
        <f t="array" aca="1" ref="AQ456" ca="1">IF(AM456&gt;0,(TODAY()-AM456),IF(AL456&gt;0,(TODAY()-AL456),IF(AK456&gt;0,(TODAY()-AK456,IF(AI456&gt;0,(TODAY()-AI456),IF(AG456&gt;0,(TODAY()-AG456),IF(AF456&gt;0,(TODAY()-AF456),IF(X456&gt;0,(TODAY()-X456)," "))))))))</f>
        <v>0</v>
      </c>
      <c r="BD456" s="2" t="str">
        <f t="shared" si="21"/>
        <v>TSSR Approved</v>
      </c>
      <c r="BE456" s="2" t="e">
        <v>#VALUE!</v>
      </c>
      <c r="BG456" s="2" t="e">
        <v>#N/A</v>
      </c>
    </row>
    <row r="457" spans="1:60" hidden="1" x14ac:dyDescent="0.25">
      <c r="B457" s="2" t="s">
        <v>2238</v>
      </c>
      <c r="C457" s="2" t="s">
        <v>2239</v>
      </c>
      <c r="D457" s="44" t="s">
        <v>2240</v>
      </c>
      <c r="E457" s="2" t="s">
        <v>4</v>
      </c>
      <c r="F457" s="2" t="s">
        <v>2209</v>
      </c>
      <c r="G457" s="2" t="s">
        <v>1</v>
      </c>
      <c r="H457" s="2" t="s">
        <v>139</v>
      </c>
      <c r="I457" s="2" t="s">
        <v>140</v>
      </c>
      <c r="J457" s="2" t="s">
        <v>122</v>
      </c>
      <c r="K457" s="2" t="s">
        <v>637</v>
      </c>
      <c r="L457" s="2" t="s">
        <v>2241</v>
      </c>
      <c r="M457" s="2" t="s">
        <v>1166</v>
      </c>
      <c r="N457" s="2">
        <v>15.534975210000001</v>
      </c>
      <c r="O457" s="2">
        <v>120.88578</v>
      </c>
      <c r="P457" s="2" t="s">
        <v>87</v>
      </c>
      <c r="Q457" s="2" t="s">
        <v>265</v>
      </c>
      <c r="R457" s="29" t="e">
        <f>IF(INDEX(#REF!,MATCH('data '!$B457,#REF!,0),MATCH('data '!R$3,#REF!,0))=0,"",INDEX(#REF!,MATCH('data '!$B457,#REF!,0),MATCH('data '!R$3,#REF!,0)))</f>
        <v>#REF!</v>
      </c>
      <c r="S457" s="29" t="e">
        <f>IF(INDEX(#REF!,MATCH('data '!$B457,#REF!,0),MATCH('data '!S$3,#REF!,0))=0,"",INDEX(#REF!,MATCH('data '!$B457,#REF!,0),MATCH('data '!S$3,#REF!,0)))</f>
        <v>#REF!</v>
      </c>
      <c r="T457" s="29" t="e">
        <f>IF(INDEX(#REF!,MATCH('data '!$B457,#REF!,0),MATCH('data '!T$3,#REF!,0))=0,"",INDEX(#REF!,MATCH('data '!$B457,#REF!,0),MATCH('data '!T$3,#REF!,0)))</f>
        <v>#REF!</v>
      </c>
      <c r="U457" s="8" t="s">
        <v>25</v>
      </c>
      <c r="V457" s="25" t="s">
        <v>266</v>
      </c>
      <c r="W457" s="25" t="s">
        <v>144</v>
      </c>
      <c r="X457" s="9" t="s">
        <v>25</v>
      </c>
      <c r="Y457" s="9">
        <v>45819</v>
      </c>
      <c r="AA457" s="8">
        <v>45666</v>
      </c>
      <c r="AB457" s="8">
        <v>45926</v>
      </c>
      <c r="AC457" s="8" t="e">
        <f>VLOOKUP(B457,#REF!,19,0)</f>
        <v>#REF!</v>
      </c>
      <c r="AE457" s="8" t="s">
        <v>1681</v>
      </c>
      <c r="AF457" s="8">
        <v>45898</v>
      </c>
      <c r="AH457" s="8" t="s">
        <v>362</v>
      </c>
      <c r="AP457" s="8" t="str">
        <f t="shared" si="20"/>
        <v>Vendor Allocated</v>
      </c>
      <c r="AQ457" s="10" t="b" cm="1">
        <f t="array" aca="1" ref="AQ457" ca="1">IF(AM457&gt;0,(TODAY()-AM457),IF(AL457&gt;0,(TODAY()-AL457),IF(AK457&gt;0,(TODAY()-AK457,IF(AI457&gt;0,(TODAY()-AI457),IF(AG457&gt;0,(TODAY()-AG457),IF(AF457&gt;0,(TODAY()-AF457),IF(X457&gt;0,(TODAY()-X457)," "))))))))</f>
        <v>0</v>
      </c>
      <c r="AT457" s="8">
        <v>45905</v>
      </c>
      <c r="AU457" s="8">
        <v>45930</v>
      </c>
      <c r="AV457" s="8">
        <v>45939</v>
      </c>
      <c r="AW457" s="8" t="s">
        <v>2034</v>
      </c>
      <c r="AX457" s="8">
        <v>45943</v>
      </c>
      <c r="AY457" s="8" t="s">
        <v>2035</v>
      </c>
      <c r="BD457" s="2" t="str">
        <f t="shared" si="21"/>
        <v>PO Issued</v>
      </c>
      <c r="BE457" s="2">
        <v>1</v>
      </c>
      <c r="BF457" s="2" t="s">
        <v>2242</v>
      </c>
      <c r="BG457" s="2" t="e">
        <v>#N/A</v>
      </c>
      <c r="BH457" s="2" t="s">
        <v>2103</v>
      </c>
    </row>
    <row r="458" spans="1:60" hidden="1" x14ac:dyDescent="0.25">
      <c r="B458" s="2" t="s">
        <v>2243</v>
      </c>
      <c r="C458" s="2" t="s">
        <v>2244</v>
      </c>
      <c r="D458" s="44" t="s">
        <v>2245</v>
      </c>
      <c r="E458" s="2" t="s">
        <v>4</v>
      </c>
      <c r="F458" s="2" t="s">
        <v>636</v>
      </c>
      <c r="G458" s="2" t="s">
        <v>1</v>
      </c>
      <c r="H458" s="2" t="s">
        <v>139</v>
      </c>
      <c r="I458" s="2" t="s">
        <v>140</v>
      </c>
      <c r="J458" s="2" t="s">
        <v>122</v>
      </c>
      <c r="K458" s="2" t="s">
        <v>637</v>
      </c>
      <c r="L458" s="2" t="s">
        <v>638</v>
      </c>
      <c r="M458" s="2">
        <v>0</v>
      </c>
      <c r="N458" s="2">
        <v>15.4732</v>
      </c>
      <c r="O458" s="2">
        <v>120.9312</v>
      </c>
      <c r="P458" s="2" t="s">
        <v>87</v>
      </c>
      <c r="Q458" s="2" t="s">
        <v>265</v>
      </c>
      <c r="R458" s="29" t="e">
        <f>IF(INDEX(#REF!,MATCH('data '!$B458,#REF!,0),MATCH('data '!R$3,#REF!,0))=0,"",INDEX(#REF!,MATCH('data '!$B458,#REF!,0),MATCH('data '!R$3,#REF!,0)))</f>
        <v>#REF!</v>
      </c>
      <c r="S458" s="29" t="e">
        <f>IF(INDEX(#REF!,MATCH('data '!$B458,#REF!,0),MATCH('data '!S$3,#REF!,0))=0,"",INDEX(#REF!,MATCH('data '!$B458,#REF!,0),MATCH('data '!S$3,#REF!,0)))</f>
        <v>#REF!</v>
      </c>
      <c r="T458" s="29" t="e">
        <f>IF(INDEX(#REF!,MATCH('data '!$B458,#REF!,0),MATCH('data '!T$3,#REF!,0))=0,"",INDEX(#REF!,MATCH('data '!$B458,#REF!,0),MATCH('data '!T$3,#REF!,0)))</f>
        <v>#REF!</v>
      </c>
      <c r="U458" s="8" t="s">
        <v>25</v>
      </c>
      <c r="V458" s="25" t="s">
        <v>266</v>
      </c>
      <c r="W458" s="25" t="s">
        <v>144</v>
      </c>
      <c r="X458" s="9" t="s">
        <v>25</v>
      </c>
      <c r="Y458" s="9">
        <v>45786</v>
      </c>
      <c r="AA458" s="8" t="s">
        <v>306</v>
      </c>
      <c r="AC458" s="8" t="e">
        <f>VLOOKUP(B458,#REF!,19,0)</f>
        <v>#REF!</v>
      </c>
      <c r="AE458" s="8" t="s">
        <v>361</v>
      </c>
      <c r="AF458" s="8">
        <v>45793</v>
      </c>
      <c r="AH458" s="8" t="s">
        <v>362</v>
      </c>
      <c r="AP458" s="8" t="str">
        <f t="shared" si="20"/>
        <v>Vendor Allocated</v>
      </c>
      <c r="AQ458" s="10" t="b" cm="1">
        <f t="array" aca="1" ref="AQ458" ca="1">IF(AM458&gt;0,(TODAY()-AM458),IF(AL458&gt;0,(TODAY()-AL458),IF(AK458&gt;0,(TODAY()-AK458,IF(AI458&gt;0,(TODAY()-AI458),IF(AG458&gt;0,(TODAY()-AG458),IF(AF458&gt;0,(TODAY()-AF458),IF(X458&gt;0,(TODAY()-X458)," "))))))))</f>
        <v>0</v>
      </c>
      <c r="AT458" s="11"/>
      <c r="AU458" s="11"/>
      <c r="AV458" s="11"/>
      <c r="AW458" s="11"/>
      <c r="AX458" s="11"/>
      <c r="AY458" s="11"/>
      <c r="BD458" s="2" t="str">
        <f t="shared" si="21"/>
        <v>Vendor Allocated</v>
      </c>
      <c r="BE458" s="2">
        <v>147</v>
      </c>
      <c r="BF458" s="2" t="s">
        <v>757</v>
      </c>
      <c r="BG458" s="2" t="e">
        <v>#N/A</v>
      </c>
      <c r="BH458" s="2" t="s">
        <v>758</v>
      </c>
    </row>
    <row r="459" spans="1:60" hidden="1" x14ac:dyDescent="0.25">
      <c r="B459" s="2" t="s">
        <v>2246</v>
      </c>
      <c r="C459" s="2" t="s">
        <v>2247</v>
      </c>
      <c r="D459" s="44" t="s">
        <v>2248</v>
      </c>
      <c r="E459" s="2" t="s">
        <v>4</v>
      </c>
      <c r="F459" s="2" t="s">
        <v>2249</v>
      </c>
      <c r="G459" s="2" t="s">
        <v>1</v>
      </c>
      <c r="H459" s="2" t="s">
        <v>139</v>
      </c>
      <c r="I459" s="2" t="s">
        <v>140</v>
      </c>
      <c r="J459" s="2" t="s">
        <v>122</v>
      </c>
      <c r="K459" s="2" t="s">
        <v>637</v>
      </c>
      <c r="L459" s="2" t="s">
        <v>2250</v>
      </c>
      <c r="M459" s="2">
        <v>0</v>
      </c>
      <c r="N459" s="2">
        <v>15.402200000000001</v>
      </c>
      <c r="O459" s="2">
        <v>120.8078</v>
      </c>
      <c r="P459" s="2" t="s">
        <v>87</v>
      </c>
      <c r="Q459" s="2" t="s">
        <v>198</v>
      </c>
      <c r="R459" s="29" t="e">
        <f>IF(INDEX(#REF!,MATCH('data '!$B459,#REF!,0),MATCH('data '!R$3,#REF!,0))=0,"",INDEX(#REF!,MATCH('data '!$B459,#REF!,0),MATCH('data '!R$3,#REF!,0)))</f>
        <v>#REF!</v>
      </c>
      <c r="S459" s="29" t="e">
        <f>IF(INDEX(#REF!,MATCH('data '!$B459,#REF!,0),MATCH('data '!S$3,#REF!,0))=0,"",INDEX(#REF!,MATCH('data '!$B459,#REF!,0),MATCH('data '!S$3,#REF!,0)))</f>
        <v>#REF!</v>
      </c>
      <c r="T459" s="29" t="e">
        <f>IF(INDEX(#REF!,MATCH('data '!$B459,#REF!,0),MATCH('data '!T$3,#REF!,0))=0,"",INDEX(#REF!,MATCH('data '!$B459,#REF!,0),MATCH('data '!T$3,#REF!,0)))</f>
        <v>#REF!</v>
      </c>
      <c r="U459" s="8" t="s">
        <v>25</v>
      </c>
      <c r="V459" s="25" t="s">
        <v>185</v>
      </c>
      <c r="W459" s="25" t="s">
        <v>144</v>
      </c>
      <c r="X459" s="9" t="s">
        <v>25</v>
      </c>
      <c r="Y459" s="9">
        <v>45863</v>
      </c>
      <c r="Z459" s="8">
        <v>45908</v>
      </c>
      <c r="AC459" s="8" t="e">
        <f>VLOOKUP(B459,#REF!,19,0)</f>
        <v>#REF!</v>
      </c>
      <c r="AE459" s="8" t="s">
        <v>1681</v>
      </c>
      <c r="AF459" s="8">
        <v>45908</v>
      </c>
      <c r="AG459" s="8">
        <v>45908</v>
      </c>
      <c r="AH459" s="8" t="s">
        <v>2031</v>
      </c>
      <c r="AI459" s="8">
        <v>45909</v>
      </c>
      <c r="AJ459" s="8" t="s">
        <v>2032</v>
      </c>
      <c r="AK459" s="8">
        <v>45916</v>
      </c>
      <c r="AL459" s="8">
        <v>45938</v>
      </c>
      <c r="AM459" s="8">
        <v>45942</v>
      </c>
      <c r="AO459" s="8" t="s">
        <v>25</v>
      </c>
      <c r="AP459" s="8" t="str">
        <f t="shared" si="20"/>
        <v>Tempo Energized</v>
      </c>
      <c r="AS459" s="8" t="s">
        <v>2251</v>
      </c>
      <c r="AT459" s="8">
        <v>45905</v>
      </c>
      <c r="AU459" s="8">
        <v>45930</v>
      </c>
      <c r="AV459" s="8">
        <v>45939</v>
      </c>
      <c r="AW459" s="8" t="s">
        <v>2034</v>
      </c>
      <c r="AX459" s="8">
        <v>45943</v>
      </c>
      <c r="AY459" s="8" t="s">
        <v>2035</v>
      </c>
      <c r="BD459" s="2" t="str">
        <f t="shared" si="21"/>
        <v>PO Issued</v>
      </c>
      <c r="BG459" s="2" t="e">
        <v>#N/A</v>
      </c>
      <c r="BH459" s="2" t="s">
        <v>2252</v>
      </c>
    </row>
    <row r="460" spans="1:60" hidden="1" x14ac:dyDescent="0.25">
      <c r="B460" s="2" t="s">
        <v>2253</v>
      </c>
      <c r="C460" s="2" t="s">
        <v>2254</v>
      </c>
      <c r="D460" s="44" t="s">
        <v>2255</v>
      </c>
      <c r="E460" s="2" t="s">
        <v>4</v>
      </c>
      <c r="F460" s="2" t="s">
        <v>2249</v>
      </c>
      <c r="G460" s="2" t="s">
        <v>1</v>
      </c>
      <c r="H460" s="2" t="s">
        <v>139</v>
      </c>
      <c r="I460" s="2" t="s">
        <v>140</v>
      </c>
      <c r="J460" s="2" t="s">
        <v>122</v>
      </c>
      <c r="K460" s="2" t="s">
        <v>637</v>
      </c>
      <c r="L460" s="2" t="s">
        <v>2256</v>
      </c>
      <c r="M460" s="2">
        <v>0</v>
      </c>
      <c r="N460" s="2">
        <v>15.28373616</v>
      </c>
      <c r="O460" s="2">
        <v>120.8492559</v>
      </c>
      <c r="P460" s="2" t="s">
        <v>87</v>
      </c>
      <c r="Q460" s="2" t="s">
        <v>265</v>
      </c>
      <c r="R460" s="29" t="e">
        <f>IF(INDEX(#REF!,MATCH('data '!$B460,#REF!,0),MATCH('data '!R$3,#REF!,0))=0,"",INDEX(#REF!,MATCH('data '!$B460,#REF!,0),MATCH('data '!R$3,#REF!,0)))</f>
        <v>#REF!</v>
      </c>
      <c r="S460" s="29" t="e">
        <f>IF(INDEX(#REF!,MATCH('data '!$B460,#REF!,0),MATCH('data '!S$3,#REF!,0))=0,"",INDEX(#REF!,MATCH('data '!$B460,#REF!,0),MATCH('data '!S$3,#REF!,0)))</f>
        <v>#REF!</v>
      </c>
      <c r="T460" s="29" t="e">
        <f>IF(INDEX(#REF!,MATCH('data '!$B460,#REF!,0),MATCH('data '!T$3,#REF!,0))=0,"",INDEX(#REF!,MATCH('data '!$B460,#REF!,0),MATCH('data '!T$3,#REF!,0)))</f>
        <v>#REF!</v>
      </c>
      <c r="U460" s="8" t="s">
        <v>25</v>
      </c>
      <c r="V460" s="25" t="s">
        <v>266</v>
      </c>
      <c r="W460" s="25" t="s">
        <v>144</v>
      </c>
      <c r="X460" s="9" t="s">
        <v>25</v>
      </c>
      <c r="Y460" s="9">
        <v>45772</v>
      </c>
      <c r="AA460" s="8" t="s">
        <v>1167</v>
      </c>
      <c r="AC460" s="8" t="e">
        <f>VLOOKUP(B460,#REF!,19,0)</f>
        <v>#REF!</v>
      </c>
      <c r="AE460" s="8" t="s">
        <v>361</v>
      </c>
      <c r="AF460" s="8">
        <v>45779</v>
      </c>
      <c r="AH460" s="8" t="s">
        <v>362</v>
      </c>
      <c r="AP460" s="8" t="str">
        <f t="shared" si="20"/>
        <v>Vendor Allocated</v>
      </c>
      <c r="AQ460" s="10" t="b" cm="1">
        <f t="array" aca="1" ref="AQ460" ca="1">IF(AM460&gt;0,(TODAY()-AM460),IF(AL460&gt;0,(TODAY()-AL460),IF(AK460&gt;0,(TODAY()-AK460,IF(AI460&gt;0,(TODAY()-AI460),IF(AG460&gt;0,(TODAY()-AG460),IF(AF460&gt;0,(TODAY()-AF460),IF(X460&gt;0,(TODAY()-X460)," "))))))))</f>
        <v>0</v>
      </c>
      <c r="AT460" s="8">
        <v>45943</v>
      </c>
      <c r="AU460" s="8">
        <v>45957</v>
      </c>
      <c r="AV460" s="8">
        <v>45957</v>
      </c>
      <c r="AW460" s="8" t="s">
        <v>2257</v>
      </c>
      <c r="AX460" s="8">
        <v>45964</v>
      </c>
      <c r="AY460" s="8" t="s">
        <v>2258</v>
      </c>
      <c r="AZ460" s="8">
        <v>45987</v>
      </c>
      <c r="BA460" s="8">
        <v>45991</v>
      </c>
      <c r="BD460" s="2" t="str">
        <f t="shared" si="21"/>
        <v>Line Construction Completed</v>
      </c>
      <c r="BE460" s="2">
        <v>161</v>
      </c>
      <c r="BF460" s="2" t="s">
        <v>2259</v>
      </c>
      <c r="BG460" s="2" t="e">
        <v>#N/A</v>
      </c>
    </row>
    <row r="461" spans="1:60" hidden="1" x14ac:dyDescent="0.25">
      <c r="B461" s="2" t="s">
        <v>2260</v>
      </c>
      <c r="C461" s="2" t="s">
        <v>2261</v>
      </c>
      <c r="D461" s="44" t="s">
        <v>2262</v>
      </c>
      <c r="E461" s="2" t="s">
        <v>4</v>
      </c>
      <c r="F461" s="2" t="s">
        <v>2249</v>
      </c>
      <c r="G461" s="2" t="s">
        <v>1</v>
      </c>
      <c r="H461" s="2" t="s">
        <v>139</v>
      </c>
      <c r="I461" s="2" t="s">
        <v>140</v>
      </c>
      <c r="J461" s="2" t="s">
        <v>122</v>
      </c>
      <c r="K461" s="2" t="s">
        <v>637</v>
      </c>
      <c r="L461" s="2" t="s">
        <v>2263</v>
      </c>
      <c r="M461" s="2">
        <v>0</v>
      </c>
      <c r="N461" s="2">
        <v>15.283300000000001</v>
      </c>
      <c r="O461" s="2">
        <v>120.653482</v>
      </c>
      <c r="P461" s="2" t="s">
        <v>87</v>
      </c>
      <c r="Q461" s="2" t="s">
        <v>265</v>
      </c>
      <c r="R461" s="29" t="e">
        <f>IF(INDEX(#REF!,MATCH('data '!$B461,#REF!,0),MATCH('data '!R$3,#REF!,0))=0,"",INDEX(#REF!,MATCH('data '!$B461,#REF!,0),MATCH('data '!R$3,#REF!,0)))</f>
        <v>#REF!</v>
      </c>
      <c r="S461" s="29" t="e">
        <f>IF(INDEX(#REF!,MATCH('data '!$B461,#REF!,0),MATCH('data '!S$3,#REF!,0))=0,"",INDEX(#REF!,MATCH('data '!$B461,#REF!,0),MATCH('data '!S$3,#REF!,0)))</f>
        <v>#REF!</v>
      </c>
      <c r="T461" s="29" t="e">
        <f>IF(INDEX(#REF!,MATCH('data '!$B461,#REF!,0),MATCH('data '!T$3,#REF!,0))=0,"",INDEX(#REF!,MATCH('data '!$B461,#REF!,0),MATCH('data '!T$3,#REF!,0)))</f>
        <v>#REF!</v>
      </c>
      <c r="U461" s="8" t="s">
        <v>25</v>
      </c>
      <c r="V461" s="25" t="s">
        <v>266</v>
      </c>
      <c r="W461" s="25" t="s">
        <v>144</v>
      </c>
      <c r="X461" s="9" t="s">
        <v>25</v>
      </c>
      <c r="Y461" s="9">
        <v>45744</v>
      </c>
      <c r="AA461" s="8" t="s">
        <v>2264</v>
      </c>
      <c r="AB461" s="8">
        <v>45905</v>
      </c>
      <c r="AC461" s="8" t="e">
        <f>VLOOKUP(B461,#REF!,19,0)</f>
        <v>#REF!</v>
      </c>
      <c r="AE461" s="8" t="s">
        <v>547</v>
      </c>
      <c r="AF461" s="8">
        <v>45919</v>
      </c>
      <c r="AH461" s="8" t="s">
        <v>362</v>
      </c>
      <c r="AP461" s="8" t="str">
        <f t="shared" si="20"/>
        <v>Vendor Allocated</v>
      </c>
      <c r="AQ461" s="10" t="b" cm="1">
        <f t="array" aca="1" ref="AQ461" ca="1">IF(AM461&gt;0,(TODAY()-AM461),IF(AL461&gt;0,(TODAY()-AL461),IF(AK461&gt;0,(TODAY()-AK461,IF(AI461&gt;0,(TODAY()-AI461),IF(AG461&gt;0,(TODAY()-AG461),IF(AF461&gt;0,(TODAY()-AF461),IF(X461&gt;0,(TODAY()-X461)," "))))))))</f>
        <v>0</v>
      </c>
      <c r="AT461" s="8">
        <v>45926</v>
      </c>
      <c r="AU461" s="8">
        <v>45930</v>
      </c>
      <c r="AV461" s="8">
        <v>45936</v>
      </c>
      <c r="AW461" s="8" t="s">
        <v>2265</v>
      </c>
      <c r="AX461" s="8">
        <v>45936</v>
      </c>
      <c r="AY461" s="8" t="s">
        <v>2266</v>
      </c>
      <c r="AZ461" s="8">
        <v>45989</v>
      </c>
      <c r="BA461" s="8">
        <v>45990</v>
      </c>
      <c r="BB461" s="8">
        <v>45996</v>
      </c>
      <c r="BC461" s="8">
        <v>45666</v>
      </c>
      <c r="BD461" s="2" t="str">
        <f t="shared" si="21"/>
        <v>Permanent Energized</v>
      </c>
      <c r="BE461" s="2">
        <v>4</v>
      </c>
      <c r="BF461" s="2" t="s">
        <v>2267</v>
      </c>
      <c r="BG461" s="2" t="e">
        <v>#N/A</v>
      </c>
    </row>
    <row r="462" spans="1:60" hidden="1" x14ac:dyDescent="0.25">
      <c r="B462" s="2" t="s">
        <v>2268</v>
      </c>
      <c r="C462" s="2" t="s">
        <v>2269</v>
      </c>
      <c r="D462" s="44" t="s">
        <v>2270</v>
      </c>
      <c r="E462" s="2" t="s">
        <v>4</v>
      </c>
      <c r="F462" s="2" t="s">
        <v>2271</v>
      </c>
      <c r="G462" s="2" t="s">
        <v>1</v>
      </c>
      <c r="H462" s="2" t="s">
        <v>120</v>
      </c>
      <c r="I462" s="2" t="s">
        <v>140</v>
      </c>
      <c r="J462" s="2" t="s">
        <v>122</v>
      </c>
      <c r="K462" s="2" t="s">
        <v>723</v>
      </c>
      <c r="L462" s="2" t="s">
        <v>2272</v>
      </c>
      <c r="M462" s="2">
        <v>0</v>
      </c>
      <c r="N462" s="2">
        <v>0</v>
      </c>
      <c r="O462" s="2">
        <v>0</v>
      </c>
      <c r="P462" s="2" t="s">
        <v>72</v>
      </c>
      <c r="Q462" s="2" t="s">
        <v>73</v>
      </c>
      <c r="R462" s="29" t="e">
        <f>IF(INDEX(#REF!,MATCH('data '!$B462,#REF!,0),MATCH('data '!R$3,#REF!,0))=0,"",INDEX(#REF!,MATCH('data '!$B462,#REF!,0),MATCH('data '!R$3,#REF!,0)))</f>
        <v>#REF!</v>
      </c>
      <c r="S462" s="29" t="e">
        <f>IF(INDEX(#REF!,MATCH('data '!$B462,#REF!,0),MATCH('data '!S$3,#REF!,0))=0,"",INDEX(#REF!,MATCH('data '!$B462,#REF!,0),MATCH('data '!S$3,#REF!,0)))</f>
        <v>#REF!</v>
      </c>
      <c r="T462" s="29" t="e">
        <f>IF(INDEX(#REF!,MATCH('data '!$B462,#REF!,0),MATCH('data '!T$3,#REF!,0))=0,"",INDEX(#REF!,MATCH('data '!$B462,#REF!,0),MATCH('data '!T$3,#REF!,0)))</f>
        <v>#REF!</v>
      </c>
      <c r="V462" s="25" t="s">
        <v>74</v>
      </c>
      <c r="W462" s="25">
        <v>0</v>
      </c>
      <c r="AC462" s="8" t="e">
        <f>VLOOKUP(B462,#REF!,19,0)</f>
        <v>#REF!</v>
      </c>
      <c r="AP462" s="8" t="str">
        <f t="shared" si="20"/>
        <v>Not yet endorsed</v>
      </c>
      <c r="AQ462" s="10" t="b" cm="1">
        <f t="array" aca="1" ref="AQ462" ca="1">IF(AM462&gt;0,(TODAY()-AM462),IF(AL462&gt;0,(TODAY()-AL462),IF(AK462&gt;0,(TODAY()-AK462,IF(AI462&gt;0,(TODAY()-AI462),IF(AG462&gt;0,(TODAY()-AG462),IF(AF462&gt;0,(TODAY()-AF462),IF(X462&gt;0,(TODAY()-X462)," "))))))))</f>
        <v>0</v>
      </c>
      <c r="BD462" s="2" t="str">
        <f t="shared" si="21"/>
        <v>Not yet endorsed</v>
      </c>
      <c r="BE462" s="2" t="s">
        <v>75</v>
      </c>
      <c r="BG462" s="2" t="e">
        <v>#N/A</v>
      </c>
    </row>
    <row r="463" spans="1:60" hidden="1" x14ac:dyDescent="0.25">
      <c r="B463" s="2" t="s">
        <v>2273</v>
      </c>
      <c r="C463" s="2" t="s">
        <v>2274</v>
      </c>
      <c r="D463" s="44" t="s">
        <v>2275</v>
      </c>
      <c r="E463" s="2" t="s">
        <v>4</v>
      </c>
      <c r="F463" s="2" t="s">
        <v>2271</v>
      </c>
      <c r="G463" s="2" t="s">
        <v>1</v>
      </c>
      <c r="H463" s="2" t="s">
        <v>120</v>
      </c>
      <c r="I463" s="2" t="s">
        <v>140</v>
      </c>
      <c r="J463" s="2" t="s">
        <v>122</v>
      </c>
      <c r="K463" s="2" t="s">
        <v>723</v>
      </c>
      <c r="L463" s="2" t="s">
        <v>2276</v>
      </c>
      <c r="M463" s="2" t="s">
        <v>333</v>
      </c>
      <c r="N463" s="2">
        <v>14.967226999999999</v>
      </c>
      <c r="O463" s="2">
        <v>120.735423</v>
      </c>
      <c r="P463" s="2" t="s">
        <v>87</v>
      </c>
      <c r="Q463" s="2" t="s">
        <v>265</v>
      </c>
      <c r="R463" s="29" t="e">
        <f>IF(INDEX(#REF!,MATCH('data '!$B463,#REF!,0),MATCH('data '!R$3,#REF!,0))=0,"",INDEX(#REF!,MATCH('data '!$B463,#REF!,0),MATCH('data '!R$3,#REF!,0)))</f>
        <v>#REF!</v>
      </c>
      <c r="S463" s="29" t="e">
        <f>IF(INDEX(#REF!,MATCH('data '!$B463,#REF!,0),MATCH('data '!S$3,#REF!,0))=0,"",INDEX(#REF!,MATCH('data '!$B463,#REF!,0),MATCH('data '!S$3,#REF!,0)))</f>
        <v>#REF!</v>
      </c>
      <c r="T463" s="29" t="e">
        <f>IF(INDEX(#REF!,MATCH('data '!$B463,#REF!,0),MATCH('data '!T$3,#REF!,0))=0,"",INDEX(#REF!,MATCH('data '!$B463,#REF!,0),MATCH('data '!T$3,#REF!,0)))</f>
        <v>#REF!</v>
      </c>
      <c r="U463" s="8" t="s">
        <v>25</v>
      </c>
      <c r="V463" s="25" t="s">
        <v>266</v>
      </c>
      <c r="W463" s="25" t="s">
        <v>144</v>
      </c>
      <c r="X463" s="9" t="s">
        <v>25</v>
      </c>
      <c r="Y463" s="9">
        <v>45812</v>
      </c>
      <c r="AA463" s="8">
        <v>45877</v>
      </c>
      <c r="AB463" s="8">
        <v>45917</v>
      </c>
      <c r="AC463" s="8" t="e">
        <f>VLOOKUP(B463,#REF!,19,0)</f>
        <v>#REF!</v>
      </c>
      <c r="AE463" s="8" t="s">
        <v>530</v>
      </c>
      <c r="AF463" s="8">
        <v>45880</v>
      </c>
      <c r="AH463" s="8" t="s">
        <v>362</v>
      </c>
      <c r="AP463" s="8" t="str">
        <f t="shared" si="20"/>
        <v>Vendor Allocated</v>
      </c>
      <c r="AQ463" s="10" t="b" cm="1">
        <f t="array" aca="1" ref="AQ463" ca="1">IF(AM463&gt;0,(TODAY()-AM463),IF(AL463&gt;0,(TODAY()-AL463),IF(AK463&gt;0,(TODAY()-AK463,IF(AI463&gt;0,(TODAY()-AI463),IF(AG463&gt;0,(TODAY()-AG463),IF(AF463&gt;0,(TODAY()-AF463),IF(X463&gt;0,(TODAY()-X463)," "))))))))</f>
        <v>0</v>
      </c>
      <c r="AT463" s="8">
        <v>45887</v>
      </c>
      <c r="AU463" s="8">
        <v>45888</v>
      </c>
      <c r="AV463" s="8">
        <v>45936</v>
      </c>
      <c r="AW463" s="15" t="s">
        <v>1313</v>
      </c>
      <c r="AX463" s="8">
        <v>45937</v>
      </c>
      <c r="AY463" s="8" t="s">
        <v>1314</v>
      </c>
      <c r="BD463" s="2" t="str">
        <f t="shared" si="21"/>
        <v>PO Issued</v>
      </c>
      <c r="BE463" s="2">
        <v>3</v>
      </c>
      <c r="BF463" s="2" t="s">
        <v>2277</v>
      </c>
      <c r="BG463" s="2" t="e">
        <v>#N/A</v>
      </c>
    </row>
    <row r="464" spans="1:60" hidden="1" x14ac:dyDescent="0.25">
      <c r="B464" s="2" t="s">
        <v>2278</v>
      </c>
      <c r="C464" s="2" t="s">
        <v>2279</v>
      </c>
      <c r="D464" s="44" t="s">
        <v>2280</v>
      </c>
      <c r="E464" s="2" t="s">
        <v>3</v>
      </c>
      <c r="F464" s="2">
        <v>0</v>
      </c>
      <c r="G464" s="2" t="s">
        <v>1</v>
      </c>
      <c r="H464" s="2" t="s">
        <v>120</v>
      </c>
      <c r="I464" s="2" t="s">
        <v>121</v>
      </c>
      <c r="J464" s="2" t="s">
        <v>141</v>
      </c>
      <c r="K464" s="2" t="s">
        <v>370</v>
      </c>
      <c r="L464" s="2" t="s">
        <v>1323</v>
      </c>
      <c r="M464" s="2">
        <v>0</v>
      </c>
      <c r="N464" s="2">
        <v>0</v>
      </c>
      <c r="O464" s="2">
        <v>0</v>
      </c>
      <c r="P464" s="2" t="s">
        <v>248</v>
      </c>
      <c r="Q464" s="2">
        <v>0</v>
      </c>
      <c r="R464" s="29" t="e">
        <f>IF(INDEX(#REF!,MATCH('data '!$B464,#REF!,0),MATCH('data '!R$3,#REF!,0))=0,"",INDEX(#REF!,MATCH('data '!$B464,#REF!,0),MATCH('data '!R$3,#REF!,0)))</f>
        <v>#REF!</v>
      </c>
      <c r="S464" s="29" t="e">
        <f>IF(INDEX(#REF!,MATCH('data '!$B464,#REF!,0),MATCH('data '!S$3,#REF!,0))=0,"",INDEX(#REF!,MATCH('data '!$B464,#REF!,0),MATCH('data '!S$3,#REF!,0)))</f>
        <v>#REF!</v>
      </c>
      <c r="T464" s="29" t="e">
        <f>IF(INDEX(#REF!,MATCH('data '!$B464,#REF!,0),MATCH('data '!T$3,#REF!,0))=0,"",INDEX(#REF!,MATCH('data '!$B464,#REF!,0),MATCH('data '!T$3,#REF!,0)))</f>
        <v>#REF!</v>
      </c>
      <c r="V464" s="25" t="s">
        <v>656</v>
      </c>
      <c r="W464" s="25">
        <v>0</v>
      </c>
      <c r="AC464" s="8" t="e">
        <f>VLOOKUP(B464,#REF!,19,0)</f>
        <v>#REF!</v>
      </c>
      <c r="AP464" s="8" t="str">
        <f t="shared" si="20"/>
        <v>Not yet endorsed</v>
      </c>
      <c r="AQ464" s="10" t="b" cm="1">
        <f t="array" aca="1" ref="AQ464" ca="1">IF(AM464&gt;0,(TODAY()-AM464),IF(AL464&gt;0,(TODAY()-AL464),IF(AK464&gt;0,(TODAY()-AK464,IF(AI464&gt;0,(TODAY()-AI464),IF(AG464&gt;0,(TODAY()-AG464),IF(AF464&gt;0,(TODAY()-AF464),IF(X464&gt;0,(TODAY()-X464)," "))))))))</f>
        <v>0</v>
      </c>
      <c r="BD464" s="2" t="str">
        <f t="shared" si="21"/>
        <v>Not yet endorsed</v>
      </c>
      <c r="BE464" s="2" t="s">
        <v>75</v>
      </c>
      <c r="BG464" s="2" t="e">
        <v>#N/A</v>
      </c>
      <c r="BH464" s="2" t="e" vm="1">
        <v>#REF!</v>
      </c>
    </row>
    <row r="465" spans="2:60" hidden="1" x14ac:dyDescent="0.25">
      <c r="B465" s="2" t="s">
        <v>2281</v>
      </c>
      <c r="C465" s="2" t="s">
        <v>2282</v>
      </c>
      <c r="D465" s="44" t="s">
        <v>2283</v>
      </c>
      <c r="E465" s="2" t="s">
        <v>3</v>
      </c>
      <c r="F465" s="2">
        <v>0</v>
      </c>
      <c r="G465" s="2" t="s">
        <v>1</v>
      </c>
      <c r="H465" s="2" t="s">
        <v>120</v>
      </c>
      <c r="I465" s="2" t="s">
        <v>121</v>
      </c>
      <c r="J465" s="2" t="s">
        <v>141</v>
      </c>
      <c r="K465" s="2" t="s">
        <v>370</v>
      </c>
      <c r="L465" s="2" t="s">
        <v>2284</v>
      </c>
      <c r="M465" s="2">
        <v>0</v>
      </c>
      <c r="N465" s="2">
        <v>0</v>
      </c>
      <c r="O465" s="2">
        <v>0</v>
      </c>
      <c r="P465" s="2" t="s">
        <v>789</v>
      </c>
      <c r="Q465" s="2">
        <v>0</v>
      </c>
      <c r="R465" s="29" t="e">
        <f>IF(INDEX(#REF!,MATCH('data '!$B465,#REF!,0),MATCH('data '!R$3,#REF!,0))=0,"",INDEX(#REF!,MATCH('data '!$B465,#REF!,0),MATCH('data '!R$3,#REF!,0)))</f>
        <v>#REF!</v>
      </c>
      <c r="S465" s="29" t="e">
        <f>IF(INDEX(#REF!,MATCH('data '!$B465,#REF!,0),MATCH('data '!S$3,#REF!,0))=0,"",INDEX(#REF!,MATCH('data '!$B465,#REF!,0),MATCH('data '!S$3,#REF!,0)))</f>
        <v>#REF!</v>
      </c>
      <c r="T465" s="29" t="e">
        <f>IF(INDEX(#REF!,MATCH('data '!$B465,#REF!,0),MATCH('data '!T$3,#REF!,0))=0,"",INDEX(#REF!,MATCH('data '!$B465,#REF!,0),MATCH('data '!T$3,#REF!,0)))</f>
        <v>#REF!</v>
      </c>
      <c r="V465" s="25" t="s">
        <v>656</v>
      </c>
      <c r="W465" s="25">
        <v>0</v>
      </c>
      <c r="AC465" s="8" t="e">
        <f>VLOOKUP(B465,#REF!,19,0)</f>
        <v>#REF!</v>
      </c>
      <c r="AP465" s="8" t="str">
        <f t="shared" si="20"/>
        <v>Not yet endorsed</v>
      </c>
      <c r="AQ465" s="10" t="b" cm="1">
        <f t="array" aca="1" ref="AQ465" ca="1">IF(AM465&gt;0,(TODAY()-AM465),IF(AL465&gt;0,(TODAY()-AL465),IF(AK465&gt;0,(TODAY()-AK465,IF(AI465&gt;0,(TODAY()-AI465),IF(AG465&gt;0,(TODAY()-AG465),IF(AF465&gt;0,(TODAY()-AF465),IF(X465&gt;0,(TODAY()-X465)," "))))))))</f>
        <v>0</v>
      </c>
      <c r="BD465" s="2" t="str">
        <f t="shared" si="21"/>
        <v>Not yet endorsed</v>
      </c>
      <c r="BE465" s="2" t="s">
        <v>75</v>
      </c>
      <c r="BG465" s="2" t="e">
        <v>#N/A</v>
      </c>
      <c r="BH465" s="2" t="e" vm="1">
        <v>#REF!</v>
      </c>
    </row>
    <row r="466" spans="2:60" hidden="1" x14ac:dyDescent="0.25">
      <c r="B466" s="2" t="s">
        <v>2285</v>
      </c>
      <c r="C466" s="2" t="s">
        <v>2286</v>
      </c>
      <c r="D466" s="44" t="s">
        <v>2287</v>
      </c>
      <c r="E466" s="2" t="s">
        <v>3</v>
      </c>
      <c r="F466" s="2">
        <v>0</v>
      </c>
      <c r="G466" s="2" t="s">
        <v>1</v>
      </c>
      <c r="H466" s="2" t="s">
        <v>120</v>
      </c>
      <c r="I466" s="2" t="s">
        <v>121</v>
      </c>
      <c r="J466" s="2" t="s">
        <v>141</v>
      </c>
      <c r="K466" s="2" t="s">
        <v>370</v>
      </c>
      <c r="L466" s="2" t="s">
        <v>2284</v>
      </c>
      <c r="M466" s="2">
        <v>0</v>
      </c>
      <c r="N466" s="2">
        <v>0</v>
      </c>
      <c r="O466" s="2">
        <v>0</v>
      </c>
      <c r="P466" s="2" t="s">
        <v>789</v>
      </c>
      <c r="Q466" s="2">
        <v>0</v>
      </c>
      <c r="R466" s="29" t="e">
        <f>IF(INDEX(#REF!,MATCH('data '!$B466,#REF!,0),MATCH('data '!R$3,#REF!,0))=0,"",INDEX(#REF!,MATCH('data '!$B466,#REF!,0),MATCH('data '!R$3,#REF!,0)))</f>
        <v>#REF!</v>
      </c>
      <c r="S466" s="29" t="e">
        <f>IF(INDEX(#REF!,MATCH('data '!$B466,#REF!,0),MATCH('data '!S$3,#REF!,0))=0,"",INDEX(#REF!,MATCH('data '!$B466,#REF!,0),MATCH('data '!S$3,#REF!,0)))</f>
        <v>#REF!</v>
      </c>
      <c r="T466" s="29" t="e">
        <f>IF(INDEX(#REF!,MATCH('data '!$B466,#REF!,0),MATCH('data '!T$3,#REF!,0))=0,"",INDEX(#REF!,MATCH('data '!$B466,#REF!,0),MATCH('data '!T$3,#REF!,0)))</f>
        <v>#REF!</v>
      </c>
      <c r="V466" s="25" t="s">
        <v>656</v>
      </c>
      <c r="W466" s="25">
        <v>0</v>
      </c>
      <c r="AC466" s="8" t="e">
        <f>VLOOKUP(B466,#REF!,19,0)</f>
        <v>#REF!</v>
      </c>
      <c r="AP466" s="8" t="str">
        <f t="shared" si="20"/>
        <v>Not yet endorsed</v>
      </c>
      <c r="AQ466" s="10" t="b" cm="1">
        <f t="array" aca="1" ref="AQ466" ca="1">IF(AM466&gt;0,(TODAY()-AM466),IF(AL466&gt;0,(TODAY()-AL466),IF(AK466&gt;0,(TODAY()-AK466,IF(AI466&gt;0,(TODAY()-AI466),IF(AG466&gt;0,(TODAY()-AG466),IF(AF466&gt;0,(TODAY()-AF466),IF(X466&gt;0,(TODAY()-X466)," "))))))))</f>
        <v>0</v>
      </c>
      <c r="BD466" s="2" t="str">
        <f t="shared" si="21"/>
        <v>Not yet endorsed</v>
      </c>
      <c r="BE466" s="2" t="s">
        <v>75</v>
      </c>
      <c r="BG466" s="2" t="e">
        <v>#N/A</v>
      </c>
      <c r="BH466" s="2" t="e" vm="1">
        <v>#REF!</v>
      </c>
    </row>
    <row r="467" spans="2:60" hidden="1" x14ac:dyDescent="0.25">
      <c r="B467" s="2" t="s">
        <v>2288</v>
      </c>
      <c r="C467" s="2" t="s">
        <v>2289</v>
      </c>
      <c r="D467" s="44" t="s">
        <v>2290</v>
      </c>
      <c r="E467" s="2" t="s">
        <v>3</v>
      </c>
      <c r="F467" s="2">
        <v>0</v>
      </c>
      <c r="G467" s="2" t="s">
        <v>1</v>
      </c>
      <c r="H467" s="2" t="s">
        <v>120</v>
      </c>
      <c r="I467" s="2" t="s">
        <v>121</v>
      </c>
      <c r="J467" s="2" t="s">
        <v>141</v>
      </c>
      <c r="K467" s="2" t="s">
        <v>370</v>
      </c>
      <c r="L467" s="2" t="s">
        <v>2291</v>
      </c>
      <c r="M467" s="2">
        <v>0</v>
      </c>
      <c r="N467" s="2">
        <v>0</v>
      </c>
      <c r="O467" s="2">
        <v>0</v>
      </c>
      <c r="P467" s="2" t="s">
        <v>248</v>
      </c>
      <c r="Q467" s="2">
        <v>0</v>
      </c>
      <c r="R467" s="29" t="e">
        <f>IF(INDEX(#REF!,MATCH('data '!$B467,#REF!,0),MATCH('data '!R$3,#REF!,0))=0,"",INDEX(#REF!,MATCH('data '!$B467,#REF!,0),MATCH('data '!R$3,#REF!,0)))</f>
        <v>#REF!</v>
      </c>
      <c r="S467" s="29" t="e">
        <f>IF(INDEX(#REF!,MATCH('data '!$B467,#REF!,0),MATCH('data '!S$3,#REF!,0))=0,"",INDEX(#REF!,MATCH('data '!$B467,#REF!,0),MATCH('data '!S$3,#REF!,0)))</f>
        <v>#REF!</v>
      </c>
      <c r="T467" s="29" t="e">
        <f>IF(INDEX(#REF!,MATCH('data '!$B467,#REF!,0),MATCH('data '!T$3,#REF!,0))=0,"",INDEX(#REF!,MATCH('data '!$B467,#REF!,0),MATCH('data '!T$3,#REF!,0)))</f>
        <v>#REF!</v>
      </c>
      <c r="V467" s="25" t="s">
        <v>1725</v>
      </c>
      <c r="W467" s="25">
        <v>0</v>
      </c>
      <c r="AC467" s="8" t="e">
        <f>VLOOKUP(B467,#REF!,19,0)</f>
        <v>#REF!</v>
      </c>
      <c r="AP467" s="8" t="str">
        <f t="shared" si="20"/>
        <v>Not yet endorsed</v>
      </c>
      <c r="AQ467" s="10" t="b" cm="1">
        <f t="array" aca="1" ref="AQ467" ca="1">IF(AM467&gt;0,(TODAY()-AM467),IF(AL467&gt;0,(TODAY()-AL467),IF(AK467&gt;0,(TODAY()-AK467,IF(AI467&gt;0,(TODAY()-AI467),IF(AG467&gt;0,(TODAY()-AG467),IF(AF467&gt;0,(TODAY()-AF467),IF(X467&gt;0,(TODAY()-X467)," "))))))))</f>
        <v>0</v>
      </c>
      <c r="BD467" s="2" t="str">
        <f t="shared" si="21"/>
        <v>Not yet endorsed</v>
      </c>
      <c r="BE467" s="2" t="s">
        <v>75</v>
      </c>
      <c r="BG467" s="2" t="e">
        <v>#N/A</v>
      </c>
      <c r="BH467" s="2" t="e" vm="1">
        <v>#REF!</v>
      </c>
    </row>
    <row r="468" spans="2:60" hidden="1" x14ac:dyDescent="0.25">
      <c r="B468" s="2" t="s">
        <v>2292</v>
      </c>
      <c r="C468" s="2" t="s">
        <v>2293</v>
      </c>
      <c r="D468" s="44" t="s">
        <v>2294</v>
      </c>
      <c r="E468" s="2" t="s">
        <v>3</v>
      </c>
      <c r="F468" s="2">
        <v>0</v>
      </c>
      <c r="G468" s="2" t="s">
        <v>1</v>
      </c>
      <c r="H468" s="2" t="s">
        <v>120</v>
      </c>
      <c r="I468" s="2" t="s">
        <v>121</v>
      </c>
      <c r="J468" s="2" t="s">
        <v>141</v>
      </c>
      <c r="K468" s="2" t="s">
        <v>370</v>
      </c>
      <c r="L468" s="2" t="s">
        <v>1323</v>
      </c>
      <c r="M468" s="2">
        <v>0</v>
      </c>
      <c r="N468" s="2">
        <v>0</v>
      </c>
      <c r="O468" s="2">
        <v>0</v>
      </c>
      <c r="P468" s="2" t="s">
        <v>407</v>
      </c>
      <c r="Q468" s="2">
        <v>0</v>
      </c>
      <c r="R468" s="29" t="e">
        <f>IF(INDEX(#REF!,MATCH('data '!$B468,#REF!,0),MATCH('data '!R$3,#REF!,0))=0,"",INDEX(#REF!,MATCH('data '!$B468,#REF!,0),MATCH('data '!R$3,#REF!,0)))</f>
        <v>#REF!</v>
      </c>
      <c r="S468" s="29" t="e">
        <f>IF(INDEX(#REF!,MATCH('data '!$B468,#REF!,0),MATCH('data '!S$3,#REF!,0))=0,"",INDEX(#REF!,MATCH('data '!$B468,#REF!,0),MATCH('data '!S$3,#REF!,0)))</f>
        <v>#REF!</v>
      </c>
      <c r="T468" s="29" t="e">
        <f>IF(INDEX(#REF!,MATCH('data '!$B468,#REF!,0),MATCH('data '!T$3,#REF!,0))=0,"",INDEX(#REF!,MATCH('data '!$B468,#REF!,0),MATCH('data '!T$3,#REF!,0)))</f>
        <v>#REF!</v>
      </c>
      <c r="V468" s="25" t="s">
        <v>204</v>
      </c>
      <c r="W468" s="25">
        <v>0</v>
      </c>
      <c r="AC468" s="8" t="e">
        <f>VLOOKUP(B468,#REF!,19,0)</f>
        <v>#REF!</v>
      </c>
      <c r="AP468" s="8" t="str">
        <f t="shared" si="20"/>
        <v>Not yet endorsed</v>
      </c>
      <c r="AQ468" s="10" t="b" cm="1">
        <f t="array" aca="1" ref="AQ468" ca="1">IF(AM468&gt;0,(TODAY()-AM468),IF(AL468&gt;0,(TODAY()-AL468),IF(AK468&gt;0,(TODAY()-AK468,IF(AI468&gt;0,(TODAY()-AI468),IF(AG468&gt;0,(TODAY()-AG468),IF(AF468&gt;0,(TODAY()-AF468),IF(X468&gt;0,(TODAY()-X468)," "))))))))</f>
        <v>0</v>
      </c>
      <c r="BD468" s="2" t="str">
        <f t="shared" si="21"/>
        <v>Not yet endorsed</v>
      </c>
      <c r="BE468" s="2" t="s">
        <v>75</v>
      </c>
      <c r="BG468" s="2" t="e">
        <v>#N/A</v>
      </c>
      <c r="BH468" s="2" t="e" vm="1">
        <v>#REF!</v>
      </c>
    </row>
    <row r="469" spans="2:60" hidden="1" x14ac:dyDescent="0.25">
      <c r="B469" s="2" t="s">
        <v>2295</v>
      </c>
      <c r="C469" s="2" t="s">
        <v>2296</v>
      </c>
      <c r="D469" s="44" t="s">
        <v>2297</v>
      </c>
      <c r="E469" s="2" t="s">
        <v>5</v>
      </c>
      <c r="F469" s="2" t="s">
        <v>813</v>
      </c>
      <c r="G469" s="2" t="s">
        <v>1</v>
      </c>
      <c r="H469" s="2" t="s">
        <v>120</v>
      </c>
      <c r="I469" s="2" t="s">
        <v>140</v>
      </c>
      <c r="J469" s="2" t="s">
        <v>141</v>
      </c>
      <c r="K469" s="2" t="s">
        <v>370</v>
      </c>
      <c r="L469" s="2" t="s">
        <v>2298</v>
      </c>
      <c r="M469" s="2">
        <v>0</v>
      </c>
      <c r="N469" s="2">
        <v>0</v>
      </c>
      <c r="O469" s="2">
        <v>0</v>
      </c>
      <c r="P469" s="2" t="s">
        <v>72</v>
      </c>
      <c r="Q469" s="2" t="s">
        <v>73</v>
      </c>
      <c r="R469" s="29" t="e">
        <f>IF(INDEX(#REF!,MATCH('data '!$B469,#REF!,0),MATCH('data '!R$3,#REF!,0))=0,"",INDEX(#REF!,MATCH('data '!$B469,#REF!,0),MATCH('data '!R$3,#REF!,0)))</f>
        <v>#REF!</v>
      </c>
      <c r="S469" s="29" t="e">
        <f>IF(INDEX(#REF!,MATCH('data '!$B469,#REF!,0),MATCH('data '!S$3,#REF!,0))=0,"",INDEX(#REF!,MATCH('data '!$B469,#REF!,0),MATCH('data '!S$3,#REF!,0)))</f>
        <v>#REF!</v>
      </c>
      <c r="T469" s="29" t="e">
        <f>IF(INDEX(#REF!,MATCH('data '!$B469,#REF!,0),MATCH('data '!T$3,#REF!,0))=0,"",INDEX(#REF!,MATCH('data '!$B469,#REF!,0),MATCH('data '!T$3,#REF!,0)))</f>
        <v>#REF!</v>
      </c>
      <c r="V469" s="25" t="s">
        <v>74</v>
      </c>
      <c r="W469" s="25">
        <v>0</v>
      </c>
      <c r="AC469" s="8" t="e">
        <f>VLOOKUP(B469,#REF!,19,0)</f>
        <v>#REF!</v>
      </c>
      <c r="AE469" s="8" t="s">
        <v>389</v>
      </c>
      <c r="AP469" s="8" t="str">
        <f t="shared" si="20"/>
        <v>Not yet endorsed</v>
      </c>
      <c r="AQ469" s="10" t="b" cm="1">
        <f t="array" aca="1" ref="AQ469" ca="1">IF(AM469&gt;0,(TODAY()-AM469),IF(AL469&gt;0,(TODAY()-AL469),IF(AK469&gt;0,(TODAY()-AK469,IF(AI469&gt;0,(TODAY()-AI469),IF(AG469&gt;0,(TODAY()-AG469),IF(AF469&gt;0,(TODAY()-AF469),IF(X469&gt;0,(TODAY()-X469)," "))))))))</f>
        <v>0</v>
      </c>
      <c r="BD469" s="2" t="str">
        <f t="shared" si="21"/>
        <v>Not yet endorsed</v>
      </c>
      <c r="BE469" s="2" t="s">
        <v>75</v>
      </c>
      <c r="BG469" s="2" t="e">
        <v>#N/A</v>
      </c>
      <c r="BH469" s="2" t="e" vm="1">
        <v>#REF!</v>
      </c>
    </row>
    <row r="470" spans="2:60" hidden="1" x14ac:dyDescent="0.25">
      <c r="B470" s="2" t="s">
        <v>2299</v>
      </c>
      <c r="C470" s="2" t="s">
        <v>2300</v>
      </c>
      <c r="D470" s="44" t="s">
        <v>2301</v>
      </c>
      <c r="F470" s="2">
        <v>0</v>
      </c>
      <c r="G470" s="2" t="s">
        <v>1</v>
      </c>
      <c r="H470" s="2" t="s">
        <v>120</v>
      </c>
      <c r="I470" s="2" t="s">
        <v>121</v>
      </c>
      <c r="J470" s="2" t="e">
        <v>#N/A</v>
      </c>
      <c r="K470" s="2" t="e">
        <v>#N/A</v>
      </c>
      <c r="L470" s="2" t="e">
        <v>#N/A</v>
      </c>
      <c r="M470" s="2" t="e">
        <v>#N/A</v>
      </c>
      <c r="N470" s="2" t="e">
        <v>#N/A</v>
      </c>
      <c r="O470" s="2" t="e">
        <v>#N/A</v>
      </c>
      <c r="P470" s="2" t="s">
        <v>789</v>
      </c>
      <c r="Q470" s="2">
        <v>0</v>
      </c>
      <c r="R470" s="29" t="e">
        <f>IF(INDEX(#REF!,MATCH('data '!$B470,#REF!,0),MATCH('data '!R$3,#REF!,0))=0,"",INDEX(#REF!,MATCH('data '!$B470,#REF!,0),MATCH('data '!R$3,#REF!,0)))</f>
        <v>#REF!</v>
      </c>
      <c r="S470" s="29" t="e">
        <f>IF(INDEX(#REF!,MATCH('data '!$B470,#REF!,0),MATCH('data '!S$3,#REF!,0))=0,"",INDEX(#REF!,MATCH('data '!$B470,#REF!,0),MATCH('data '!S$3,#REF!,0)))</f>
        <v>#REF!</v>
      </c>
      <c r="T470" s="29" t="e">
        <f>IF(INDEX(#REF!,MATCH('data '!$B470,#REF!,0),MATCH('data '!T$3,#REF!,0))=0,"",INDEX(#REF!,MATCH('data '!$B470,#REF!,0),MATCH('data '!T$3,#REF!,0)))</f>
        <v>#REF!</v>
      </c>
      <c r="V470" s="25" t="s">
        <v>204</v>
      </c>
      <c r="W470" s="25">
        <v>0</v>
      </c>
      <c r="AC470" s="8" t="e">
        <f>VLOOKUP(B470,#REF!,19,0)</f>
        <v>#REF!</v>
      </c>
      <c r="AP470" s="8" t="str">
        <f t="shared" si="20"/>
        <v>Not yet endorsed</v>
      </c>
      <c r="AQ470" s="10" t="b" cm="1">
        <f t="array" aca="1" ref="AQ470" ca="1">IF(AM470&gt;0,(TODAY()-AM470),IF(AL470&gt;0,(TODAY()-AL470),IF(AK470&gt;0,(TODAY()-AK470,IF(AI470&gt;0,(TODAY()-AI470),IF(AG470&gt;0,(TODAY()-AG470),IF(AF470&gt;0,(TODAY()-AF470),IF(X470&gt;0,(TODAY()-X470)," "))))))))</f>
        <v>0</v>
      </c>
      <c r="BD470" s="2" t="str">
        <f t="shared" si="21"/>
        <v>Not yet endorsed</v>
      </c>
      <c r="BE470" s="2" t="s">
        <v>75</v>
      </c>
      <c r="BG470" s="2" t="e">
        <v>#N/A</v>
      </c>
    </row>
    <row r="471" spans="2:60" ht="30" hidden="1" x14ac:dyDescent="0.25">
      <c r="B471" s="26" t="s">
        <v>2302</v>
      </c>
      <c r="C471" s="26" t="s">
        <v>2303</v>
      </c>
      <c r="D471" s="56" t="s">
        <v>2304</v>
      </c>
      <c r="E471" s="2" t="s">
        <v>5</v>
      </c>
      <c r="F471" s="2" t="s">
        <v>813</v>
      </c>
      <c r="G471" s="2" t="s">
        <v>1</v>
      </c>
      <c r="H471" s="2" t="s">
        <v>120</v>
      </c>
      <c r="I471" s="2" t="s">
        <v>140</v>
      </c>
      <c r="J471" s="2" t="s">
        <v>141</v>
      </c>
      <c r="K471" s="2" t="s">
        <v>370</v>
      </c>
      <c r="L471" s="2" t="s">
        <v>2305</v>
      </c>
      <c r="M471" s="2">
        <v>0</v>
      </c>
      <c r="N471" s="2">
        <v>0</v>
      </c>
      <c r="O471" s="2">
        <v>0</v>
      </c>
      <c r="P471" s="2" t="s">
        <v>87</v>
      </c>
      <c r="Q471" s="2" t="s">
        <v>73</v>
      </c>
      <c r="R471" s="29" t="e">
        <f>IF(INDEX(#REF!,MATCH('data '!$B471,#REF!,0),MATCH('data '!R$3,#REF!,0))=0,"",INDEX(#REF!,MATCH('data '!$B471,#REF!,0),MATCH('data '!R$3,#REF!,0)))</f>
        <v>#REF!</v>
      </c>
      <c r="S471" s="29" t="e">
        <f>IF(INDEX(#REF!,MATCH('data '!$B471,#REF!,0),MATCH('data '!S$3,#REF!,0))=0,"",INDEX(#REF!,MATCH('data '!$B471,#REF!,0),MATCH('data '!S$3,#REF!,0)))</f>
        <v>#REF!</v>
      </c>
      <c r="T471" s="29" t="e">
        <f>IF(INDEX(#REF!,MATCH('data '!$B471,#REF!,0),MATCH('data '!T$3,#REF!,0))=0,"",INDEX(#REF!,MATCH('data '!$B471,#REF!,0),MATCH('data '!T$3,#REF!,0)))</f>
        <v>#REF!</v>
      </c>
      <c r="V471" s="25" t="s">
        <v>160</v>
      </c>
      <c r="W471" s="25" t="s">
        <v>144</v>
      </c>
      <c r="X471" s="9" t="s">
        <v>25</v>
      </c>
      <c r="Y471" s="9">
        <v>45926</v>
      </c>
      <c r="AC471" s="8" t="e">
        <f>VLOOKUP(B471,#REF!,19,0)</f>
        <v>#REF!</v>
      </c>
      <c r="AE471" s="8" t="s">
        <v>295</v>
      </c>
      <c r="AF471" s="8">
        <v>45938</v>
      </c>
      <c r="AG471" s="8">
        <v>45939</v>
      </c>
      <c r="AH471" s="8" t="s">
        <v>2306</v>
      </c>
      <c r="AI471" s="8">
        <v>45943</v>
      </c>
      <c r="AJ471" s="8" t="s">
        <v>2307</v>
      </c>
      <c r="AK471" s="8">
        <v>45936</v>
      </c>
      <c r="AL471" s="8">
        <v>45986</v>
      </c>
      <c r="AM471" s="8">
        <v>46004</v>
      </c>
      <c r="AP471" s="8" t="str">
        <f t="shared" si="20"/>
        <v>Tempo Energized</v>
      </c>
      <c r="AQ471" s="10" cm="1">
        <f t="array" aca="1" ref="AQ471" ca="1">IF(AM471&gt;0,(TODAY()-AM471),IF(AL471&gt;0,(TODAY()-AL471),IF(AK471&gt;0,(TODAY()-AK471,IF(AI471&gt;0,(TODAY()-AI471),IF(AG471&gt;0,(TODAY()-AG471),IF(AF471&gt;0,(TODAY()-AF471),IF(X471&gt;0,(TODAY()-X471)," "))))))))</f>
        <v>102</v>
      </c>
      <c r="AS471" s="8" t="s">
        <v>2308</v>
      </c>
      <c r="AT471" s="11"/>
      <c r="AU471" s="11"/>
      <c r="AV471" s="11"/>
      <c r="AW471" s="11"/>
      <c r="AX471" s="11"/>
      <c r="AY471" s="11"/>
      <c r="AZ471" s="8">
        <v>45996</v>
      </c>
      <c r="BA471" s="8">
        <v>45999</v>
      </c>
      <c r="BD471" s="2" t="str">
        <f t="shared" si="21"/>
        <v>Line Construction Completed</v>
      </c>
      <c r="BE471" s="2">
        <v>2</v>
      </c>
      <c r="BF471" s="2" t="s">
        <v>1616</v>
      </c>
      <c r="BG471" s="2" t="s">
        <v>540</v>
      </c>
      <c r="BH471" s="2" t="e" vm="1">
        <v>#REF!</v>
      </c>
    </row>
    <row r="472" spans="2:60" hidden="1" x14ac:dyDescent="0.25">
      <c r="B472" s="2" t="s">
        <v>2309</v>
      </c>
      <c r="C472" s="2" t="s">
        <v>2310</v>
      </c>
      <c r="D472" s="44" t="s">
        <v>2311</v>
      </c>
      <c r="F472" s="2">
        <v>0</v>
      </c>
      <c r="G472" s="2" t="s">
        <v>1</v>
      </c>
      <c r="H472" s="2" t="s">
        <v>120</v>
      </c>
      <c r="I472" s="2" t="s">
        <v>121</v>
      </c>
      <c r="J472" s="2" t="e">
        <v>#N/A</v>
      </c>
      <c r="K472" s="2" t="e">
        <v>#N/A</v>
      </c>
      <c r="L472" s="2" t="e">
        <v>#N/A</v>
      </c>
      <c r="M472" s="2" t="e">
        <v>#N/A</v>
      </c>
      <c r="N472" s="2" t="e">
        <v>#N/A</v>
      </c>
      <c r="O472" s="2" t="e">
        <v>#N/A</v>
      </c>
      <c r="P472" s="2" t="s">
        <v>568</v>
      </c>
      <c r="Q472" s="2">
        <v>0</v>
      </c>
      <c r="R472" s="29" t="e">
        <f>IF(INDEX(#REF!,MATCH('data '!$B472,#REF!,0),MATCH('data '!R$3,#REF!,0))=0,"",INDEX(#REF!,MATCH('data '!$B472,#REF!,0),MATCH('data '!R$3,#REF!,0)))</f>
        <v>#REF!</v>
      </c>
      <c r="S472" s="29" t="e">
        <f>IF(INDEX(#REF!,MATCH('data '!$B472,#REF!,0),MATCH('data '!S$3,#REF!,0))=0,"",INDEX(#REF!,MATCH('data '!$B472,#REF!,0),MATCH('data '!S$3,#REF!,0)))</f>
        <v>#REF!</v>
      </c>
      <c r="T472" s="29" t="e">
        <f>IF(INDEX(#REF!,MATCH('data '!$B472,#REF!,0),MATCH('data '!T$3,#REF!,0))=0,"",INDEX(#REF!,MATCH('data '!$B472,#REF!,0),MATCH('data '!T$3,#REF!,0)))</f>
        <v>#REF!</v>
      </c>
      <c r="V472" s="25" t="s">
        <v>204</v>
      </c>
      <c r="W472" s="25">
        <v>0</v>
      </c>
      <c r="AC472" s="8" t="e">
        <f>VLOOKUP(B472,#REF!,19,0)</f>
        <v>#REF!</v>
      </c>
      <c r="AP472" s="8" t="str">
        <f t="shared" si="20"/>
        <v>Not yet endorsed</v>
      </c>
      <c r="AQ472" s="10" t="b" cm="1">
        <f t="array" aca="1" ref="AQ472" ca="1">IF(AM472&gt;0,(TODAY()-AM472),IF(AL472&gt;0,(TODAY()-AL472),IF(AK472&gt;0,(TODAY()-AK472,IF(AI472&gt;0,(TODAY()-AI472),IF(AG472&gt;0,(TODAY()-AG472),IF(AF472&gt;0,(TODAY()-AF472),IF(X472&gt;0,(TODAY()-X472)," "))))))))</f>
        <v>0</v>
      </c>
      <c r="BD472" s="2" t="str">
        <f t="shared" si="21"/>
        <v>Not yet endorsed</v>
      </c>
      <c r="BE472" s="2" t="s">
        <v>75</v>
      </c>
      <c r="BG472" s="2" t="e">
        <v>#N/A</v>
      </c>
    </row>
    <row r="473" spans="2:60" hidden="1" x14ac:dyDescent="0.25">
      <c r="B473" s="2" t="s">
        <v>2312</v>
      </c>
      <c r="C473" s="2" t="s">
        <v>2313</v>
      </c>
      <c r="D473" s="44" t="s">
        <v>2314</v>
      </c>
      <c r="F473" s="2">
        <v>0</v>
      </c>
      <c r="G473" s="2" t="s">
        <v>1</v>
      </c>
      <c r="H473" s="2" t="s">
        <v>120</v>
      </c>
      <c r="I473" s="2" t="s">
        <v>121</v>
      </c>
      <c r="J473" s="2" t="e">
        <v>#N/A</v>
      </c>
      <c r="K473" s="2" t="e">
        <v>#N/A</v>
      </c>
      <c r="L473" s="2" t="e">
        <v>#N/A</v>
      </c>
      <c r="M473" s="2" t="e">
        <v>#N/A</v>
      </c>
      <c r="N473" s="2" t="e">
        <v>#N/A</v>
      </c>
      <c r="O473" s="2" t="e">
        <v>#N/A</v>
      </c>
      <c r="P473" s="2" t="s">
        <v>568</v>
      </c>
      <c r="Q473" s="2">
        <v>0</v>
      </c>
      <c r="R473" s="29" t="e">
        <f>IF(INDEX(#REF!,MATCH('data '!$B473,#REF!,0),MATCH('data '!R$3,#REF!,0))=0,"",INDEX(#REF!,MATCH('data '!$B473,#REF!,0),MATCH('data '!R$3,#REF!,0)))</f>
        <v>#REF!</v>
      </c>
      <c r="S473" s="29" t="e">
        <f>IF(INDEX(#REF!,MATCH('data '!$B473,#REF!,0),MATCH('data '!S$3,#REF!,0))=0,"",INDEX(#REF!,MATCH('data '!$B473,#REF!,0),MATCH('data '!S$3,#REF!,0)))</f>
        <v>#REF!</v>
      </c>
      <c r="T473" s="29" t="e">
        <f>IF(INDEX(#REF!,MATCH('data '!$B473,#REF!,0),MATCH('data '!T$3,#REF!,0))=0,"",INDEX(#REF!,MATCH('data '!$B473,#REF!,0),MATCH('data '!T$3,#REF!,0)))</f>
        <v>#REF!</v>
      </c>
      <c r="V473" s="25" t="s">
        <v>568</v>
      </c>
      <c r="W473" s="25">
        <v>0</v>
      </c>
      <c r="AC473" s="8" t="e">
        <f>VLOOKUP(B473,#REF!,19,0)</f>
        <v>#REF!</v>
      </c>
      <c r="AP473" s="8" t="str">
        <f t="shared" si="20"/>
        <v>Not yet endorsed</v>
      </c>
      <c r="AQ473" s="10" t="b" cm="1">
        <f t="array" aca="1" ref="AQ473" ca="1">IF(AM473&gt;0,(TODAY()-AM473),IF(AL473&gt;0,(TODAY()-AL473),IF(AK473&gt;0,(TODAY()-AK473,IF(AI473&gt;0,(TODAY()-AI473),IF(AG473&gt;0,(TODAY()-AG473),IF(AF473&gt;0,(TODAY()-AF473),IF(X473&gt;0,(TODAY()-X473)," "))))))))</f>
        <v>0</v>
      </c>
      <c r="BD473" s="2" t="str">
        <f t="shared" si="21"/>
        <v>Not yet endorsed</v>
      </c>
      <c r="BE473" s="2" t="s">
        <v>75</v>
      </c>
      <c r="BG473" s="2" t="e">
        <v>#N/A</v>
      </c>
    </row>
    <row r="474" spans="2:60" hidden="1" x14ac:dyDescent="0.25">
      <c r="B474" s="2" t="s">
        <v>2315</v>
      </c>
      <c r="C474" s="2" t="s">
        <v>2316</v>
      </c>
      <c r="D474" s="44" t="s">
        <v>2317</v>
      </c>
      <c r="E474" s="2" t="s">
        <v>5</v>
      </c>
      <c r="F474" s="2" t="s">
        <v>369</v>
      </c>
      <c r="G474" s="2" t="s">
        <v>1</v>
      </c>
      <c r="H474" s="2" t="s">
        <v>120</v>
      </c>
      <c r="I474" s="2" t="s">
        <v>140</v>
      </c>
      <c r="J474" s="2" t="s">
        <v>141</v>
      </c>
      <c r="K474" s="2" t="s">
        <v>370</v>
      </c>
      <c r="L474" s="2" t="s">
        <v>2318</v>
      </c>
      <c r="M474" s="2">
        <v>0</v>
      </c>
      <c r="N474" s="2">
        <v>0</v>
      </c>
      <c r="O474" s="2">
        <v>0</v>
      </c>
      <c r="P474" s="2" t="s">
        <v>82</v>
      </c>
      <c r="Q474" s="2" t="s">
        <v>73</v>
      </c>
      <c r="R474" s="29" t="e">
        <f>IF(INDEX(#REF!,MATCH('data '!$B474,#REF!,0),MATCH('data '!R$3,#REF!,0))=0,"",INDEX(#REF!,MATCH('data '!$B474,#REF!,0),MATCH('data '!R$3,#REF!,0)))</f>
        <v>#REF!</v>
      </c>
      <c r="S474" s="29" t="e">
        <f>IF(INDEX(#REF!,MATCH('data '!$B474,#REF!,0),MATCH('data '!S$3,#REF!,0))=0,"",INDEX(#REF!,MATCH('data '!$B474,#REF!,0),MATCH('data '!S$3,#REF!,0)))</f>
        <v>#REF!</v>
      </c>
      <c r="T474" s="29" t="e">
        <f>IF(INDEX(#REF!,MATCH('data '!$B474,#REF!,0),MATCH('data '!T$3,#REF!,0))=0,"",INDEX(#REF!,MATCH('data '!$B474,#REF!,0),MATCH('data '!T$3,#REF!,0)))</f>
        <v>#REF!</v>
      </c>
      <c r="U474" s="8" t="s">
        <v>25</v>
      </c>
      <c r="V474" s="25" t="s">
        <v>160</v>
      </c>
      <c r="W474" s="25" t="s">
        <v>144</v>
      </c>
      <c r="X474" s="9" t="s">
        <v>25</v>
      </c>
      <c r="Y474" s="9">
        <v>45950</v>
      </c>
      <c r="AC474" s="8" t="e">
        <f>VLOOKUP(B474,#REF!,19,0)</f>
        <v>#REF!</v>
      </c>
      <c r="AE474" s="8" t="s">
        <v>295</v>
      </c>
      <c r="AF474" s="21">
        <v>45938</v>
      </c>
      <c r="AG474" s="8">
        <v>45952</v>
      </c>
      <c r="AH474" s="8" t="s">
        <v>815</v>
      </c>
      <c r="AI474" s="8">
        <v>45958</v>
      </c>
      <c r="AJ474" s="8" t="s">
        <v>816</v>
      </c>
      <c r="AK474" s="8">
        <v>45976</v>
      </c>
      <c r="AL474" s="8">
        <v>45986</v>
      </c>
      <c r="AM474" s="8">
        <v>45990</v>
      </c>
      <c r="AP474" s="8" t="str">
        <f t="shared" si="20"/>
        <v>Tempo Energized</v>
      </c>
      <c r="AQ474" s="10" cm="1">
        <f t="array" aca="1" ref="AQ474" ca="1">IF(AM474&gt;0,(TODAY()-AM474),IF(AL474&gt;0,(TODAY()-AL474),IF(AK474&gt;0,(TODAY()-AK474,IF(AI474&gt;0,(TODAY()-AI474),IF(AG474&gt;0,(TODAY()-AG474),IF(AF474&gt;0,(TODAY()-AF474),IF(X474&gt;0,(TODAY()-X474)," "))))))))</f>
        <v>116</v>
      </c>
      <c r="AT474" s="8">
        <v>45994</v>
      </c>
      <c r="AU474" s="8">
        <v>46000</v>
      </c>
      <c r="AV474" s="8">
        <v>46000</v>
      </c>
      <c r="AW474" s="8" t="s">
        <v>2319</v>
      </c>
      <c r="AX474" s="8">
        <v>46002</v>
      </c>
      <c r="AY474" s="8" t="s">
        <v>2320</v>
      </c>
      <c r="AZ474" s="8">
        <v>45986</v>
      </c>
      <c r="BA474" s="8">
        <v>45996</v>
      </c>
      <c r="BD474" s="2" t="str">
        <f t="shared" si="21"/>
        <v>Line Construction Completed</v>
      </c>
      <c r="BE474" s="2">
        <v>2</v>
      </c>
      <c r="BG474" s="2" t="s">
        <v>540</v>
      </c>
      <c r="BH474" s="2" t="e" vm="1">
        <v>#REF!</v>
      </c>
    </row>
    <row r="475" spans="2:60" hidden="1" x14ac:dyDescent="0.25">
      <c r="B475" s="49" t="s">
        <v>2321</v>
      </c>
      <c r="C475" s="49" t="s">
        <v>2322</v>
      </c>
      <c r="D475" s="55" t="s">
        <v>2323</v>
      </c>
      <c r="E475" s="2" t="s">
        <v>5</v>
      </c>
      <c r="F475" s="2" t="s">
        <v>813</v>
      </c>
      <c r="G475" s="2" t="s">
        <v>1</v>
      </c>
      <c r="H475" s="2" t="s">
        <v>120</v>
      </c>
      <c r="I475" s="2" t="s">
        <v>140</v>
      </c>
      <c r="J475" s="2" t="s">
        <v>141</v>
      </c>
      <c r="K475" s="2" t="s">
        <v>370</v>
      </c>
      <c r="L475" s="2" t="s">
        <v>2324</v>
      </c>
      <c r="M475" s="2">
        <v>0</v>
      </c>
      <c r="N475" s="2">
        <v>0</v>
      </c>
      <c r="O475" s="2">
        <v>0</v>
      </c>
      <c r="P475" s="2" t="s">
        <v>82</v>
      </c>
      <c r="Q475" s="2" t="s">
        <v>73</v>
      </c>
      <c r="R475" s="29" t="e">
        <f>IF(INDEX(#REF!,MATCH('data '!$B475,#REF!,0),MATCH('data '!R$3,#REF!,0))=0,"",INDEX(#REF!,MATCH('data '!$B475,#REF!,0),MATCH('data '!R$3,#REF!,0)))</f>
        <v>#REF!</v>
      </c>
      <c r="S475" s="29" t="e">
        <f>IF(INDEX(#REF!,MATCH('data '!$B475,#REF!,0),MATCH('data '!S$3,#REF!,0))=0,"",INDEX(#REF!,MATCH('data '!$B475,#REF!,0),MATCH('data '!S$3,#REF!,0)))</f>
        <v>#REF!</v>
      </c>
      <c r="T475" s="29" t="e">
        <f>IF(INDEX(#REF!,MATCH('data '!$B475,#REF!,0),MATCH('data '!T$3,#REF!,0))=0,"",INDEX(#REF!,MATCH('data '!$B475,#REF!,0),MATCH('data '!T$3,#REF!,0)))</f>
        <v>#REF!</v>
      </c>
      <c r="U475" s="8" t="s">
        <v>25</v>
      </c>
      <c r="V475" s="25" t="s">
        <v>87</v>
      </c>
      <c r="W475" s="25" t="s">
        <v>144</v>
      </c>
      <c r="X475" s="9" t="s">
        <v>25</v>
      </c>
      <c r="Y475" s="53">
        <v>45966</v>
      </c>
      <c r="AC475" s="8" t="e">
        <f>VLOOKUP(B475,#REF!,19,0)</f>
        <v>#REF!</v>
      </c>
      <c r="AE475" s="8" t="s">
        <v>295</v>
      </c>
      <c r="AF475" s="21">
        <v>45938</v>
      </c>
      <c r="AG475" s="8">
        <v>45952</v>
      </c>
      <c r="AH475" s="8" t="s">
        <v>815</v>
      </c>
      <c r="AI475" s="8">
        <v>45958</v>
      </c>
      <c r="AJ475" s="8" t="s">
        <v>816</v>
      </c>
      <c r="AK475" s="8">
        <v>46371</v>
      </c>
      <c r="AP475" s="8" t="str">
        <f t="shared" si="20"/>
        <v>COOP Surveyed</v>
      </c>
      <c r="AQ475" s="10" t="e" cm="1">
        <f t="array" aca="1" ref="AQ475" ca="1">IF(AM475&gt;0,(TODAY()-AM475),IF(AL475&gt;0,(TODAY()-AL475),IF(AK475&gt;0,(TODAY()-AK475,IF(AI475&gt;0,(TODAY()-AI475),IF(AG475&gt;0,(TODAY()-AG475),IF(AF475&gt;0,(TODAY()-AF475),IF(X475&gt;0,(TODAY()-X475)," "))))))))</f>
        <v>#VALUE!</v>
      </c>
      <c r="AT475" s="11"/>
      <c r="AU475" s="11"/>
      <c r="AV475" s="11"/>
      <c r="AW475" s="11"/>
      <c r="AX475" s="11"/>
      <c r="AY475" s="11"/>
      <c r="BD475" s="2" t="str">
        <f t="shared" si="21"/>
        <v>Vendor Allocated</v>
      </c>
      <c r="BE475" s="2">
        <v>2</v>
      </c>
      <c r="BG475" s="2" t="s">
        <v>540</v>
      </c>
      <c r="BH475" s="2" t="e" vm="1">
        <v>#REF!</v>
      </c>
    </row>
    <row r="476" spans="2:60" hidden="1" x14ac:dyDescent="0.25">
      <c r="B476" s="2" t="s">
        <v>2325</v>
      </c>
      <c r="C476" s="2" t="s">
        <v>2326</v>
      </c>
      <c r="D476" s="44" t="s">
        <v>2327</v>
      </c>
      <c r="E476" s="2" t="s">
        <v>3</v>
      </c>
      <c r="F476" s="2">
        <v>0</v>
      </c>
      <c r="G476" s="2" t="s">
        <v>1</v>
      </c>
      <c r="H476" s="2" t="s">
        <v>120</v>
      </c>
      <c r="I476" s="2" t="s">
        <v>121</v>
      </c>
      <c r="J476" s="2" t="s">
        <v>141</v>
      </c>
      <c r="K476" s="2" t="s">
        <v>370</v>
      </c>
      <c r="L476" s="2" t="s">
        <v>2324</v>
      </c>
      <c r="M476" s="2">
        <v>0</v>
      </c>
      <c r="N476" s="2">
        <v>0</v>
      </c>
      <c r="O476" s="2">
        <v>0</v>
      </c>
      <c r="P476" s="2" t="s">
        <v>789</v>
      </c>
      <c r="Q476" s="2">
        <v>0</v>
      </c>
      <c r="R476" s="29" t="e">
        <f>IF(INDEX(#REF!,MATCH('data '!$B476,#REF!,0),MATCH('data '!R$3,#REF!,0))=0,"",INDEX(#REF!,MATCH('data '!$B476,#REF!,0),MATCH('data '!R$3,#REF!,0)))</f>
        <v>#REF!</v>
      </c>
      <c r="S476" s="29" t="e">
        <f>IF(INDEX(#REF!,MATCH('data '!$B476,#REF!,0),MATCH('data '!S$3,#REF!,0))=0,"",INDEX(#REF!,MATCH('data '!$B476,#REF!,0),MATCH('data '!S$3,#REF!,0)))</f>
        <v>#REF!</v>
      </c>
      <c r="T476" s="29" t="e">
        <f>IF(INDEX(#REF!,MATCH('data '!$B476,#REF!,0),MATCH('data '!T$3,#REF!,0))=0,"",INDEX(#REF!,MATCH('data '!$B476,#REF!,0),MATCH('data '!T$3,#REF!,0)))</f>
        <v>#REF!</v>
      </c>
      <c r="V476" s="25" t="s">
        <v>204</v>
      </c>
      <c r="W476" s="25">
        <v>0</v>
      </c>
      <c r="AC476" s="8" t="e">
        <f>VLOOKUP(B476,#REF!,19,0)</f>
        <v>#REF!</v>
      </c>
      <c r="AP476" s="8" t="str">
        <f t="shared" si="20"/>
        <v>Not yet endorsed</v>
      </c>
      <c r="AQ476" s="10" t="b" cm="1">
        <f t="array" aca="1" ref="AQ476" ca="1">IF(AM476&gt;0,(TODAY()-AM476),IF(AL476&gt;0,(TODAY()-AL476),IF(AK476&gt;0,(TODAY()-AK476,IF(AI476&gt;0,(TODAY()-AI476),IF(AG476&gt;0,(TODAY()-AG476),IF(AF476&gt;0,(TODAY()-AF476),IF(X476&gt;0,(TODAY()-X476)," "))))))))</f>
        <v>0</v>
      </c>
      <c r="BD476" s="2" t="str">
        <f t="shared" si="21"/>
        <v>Not yet endorsed</v>
      </c>
      <c r="BE476" s="2" t="s">
        <v>75</v>
      </c>
      <c r="BG476" s="2" t="e">
        <v>#N/A</v>
      </c>
      <c r="BH476" s="2" t="e" vm="1">
        <v>#REF!</v>
      </c>
    </row>
    <row r="477" spans="2:60" hidden="1" x14ac:dyDescent="0.25">
      <c r="B477" s="2" t="s">
        <v>2328</v>
      </c>
      <c r="C477" s="2" t="s">
        <v>2329</v>
      </c>
      <c r="D477" s="44" t="s">
        <v>2330</v>
      </c>
      <c r="E477" s="2" t="s">
        <v>5</v>
      </c>
      <c r="F477" s="2" t="s">
        <v>369</v>
      </c>
      <c r="G477" s="2" t="s">
        <v>1</v>
      </c>
      <c r="H477" s="2" t="s">
        <v>120</v>
      </c>
      <c r="I477" s="2" t="s">
        <v>140</v>
      </c>
      <c r="J477" s="2" t="s">
        <v>141</v>
      </c>
      <c r="K477" s="2" t="s">
        <v>370</v>
      </c>
      <c r="L477" s="2" t="s">
        <v>2331</v>
      </c>
      <c r="M477" s="2">
        <v>0</v>
      </c>
      <c r="N477" s="2">
        <v>16.019632000000001</v>
      </c>
      <c r="O477" s="2">
        <v>120.550472</v>
      </c>
      <c r="P477" s="2" t="s">
        <v>87</v>
      </c>
      <c r="Q477" s="2" t="s">
        <v>198</v>
      </c>
      <c r="R477" s="29" t="e">
        <f>IF(INDEX(#REF!,MATCH('data '!$B477,#REF!,0),MATCH('data '!R$3,#REF!,0))=0,"",INDEX(#REF!,MATCH('data '!$B477,#REF!,0),MATCH('data '!R$3,#REF!,0)))</f>
        <v>#REF!</v>
      </c>
      <c r="S477" s="29" t="e">
        <f>IF(INDEX(#REF!,MATCH('data '!$B477,#REF!,0),MATCH('data '!S$3,#REF!,0))=0,"",INDEX(#REF!,MATCH('data '!$B477,#REF!,0),MATCH('data '!S$3,#REF!,0)))</f>
        <v>#REF!</v>
      </c>
      <c r="T477" s="29" t="e">
        <f>IF(INDEX(#REF!,MATCH('data '!$B477,#REF!,0),MATCH('data '!T$3,#REF!,0))=0,"",INDEX(#REF!,MATCH('data '!$B477,#REF!,0),MATCH('data '!T$3,#REF!,0)))</f>
        <v>#REF!</v>
      </c>
      <c r="V477" s="25" t="s">
        <v>351</v>
      </c>
      <c r="W477" s="25" t="s">
        <v>144</v>
      </c>
      <c r="X477" s="9" t="s">
        <v>25</v>
      </c>
      <c r="Y477" s="9">
        <v>45863</v>
      </c>
      <c r="Z477" s="8">
        <v>45969</v>
      </c>
      <c r="AC477" s="8" t="e">
        <f>VLOOKUP(B477,#REF!,19,0)</f>
        <v>#REF!</v>
      </c>
      <c r="AE477" s="8" t="s">
        <v>295</v>
      </c>
      <c r="AF477" s="8">
        <v>45908</v>
      </c>
      <c r="AG477" s="8">
        <v>45908</v>
      </c>
      <c r="AH477" s="8" t="s">
        <v>373</v>
      </c>
      <c r="AI477" s="8">
        <v>45909</v>
      </c>
      <c r="AJ477" s="8" t="s">
        <v>374</v>
      </c>
      <c r="AK477" s="8">
        <v>45916</v>
      </c>
      <c r="AL477" s="8">
        <v>45915</v>
      </c>
      <c r="AM477" s="8">
        <v>45929</v>
      </c>
      <c r="AP477" s="8" t="str">
        <f t="shared" si="20"/>
        <v>Tempo Energized</v>
      </c>
      <c r="AT477" s="8">
        <v>45915</v>
      </c>
      <c r="AU477" s="8">
        <v>45924</v>
      </c>
      <c r="AV477" s="8">
        <v>45936</v>
      </c>
      <c r="AW477" s="8" t="s">
        <v>377</v>
      </c>
      <c r="AX477" s="8">
        <v>45939</v>
      </c>
      <c r="AY477" s="8" t="s">
        <v>378</v>
      </c>
      <c r="BD477" s="2" t="str">
        <f t="shared" si="21"/>
        <v>PO Issued</v>
      </c>
      <c r="BE477" s="2">
        <v>4</v>
      </c>
      <c r="BG477" s="2" t="e">
        <v>#N/A</v>
      </c>
      <c r="BH477" s="2" t="e" vm="1">
        <v>#REF!</v>
      </c>
    </row>
    <row r="478" spans="2:60" hidden="1" x14ac:dyDescent="0.25">
      <c r="B478" s="2" t="s">
        <v>2332</v>
      </c>
      <c r="C478" s="2" t="s">
        <v>2333</v>
      </c>
      <c r="D478" s="44" t="s">
        <v>2334</v>
      </c>
      <c r="E478" s="2" t="s">
        <v>3</v>
      </c>
      <c r="F478" s="2">
        <v>0</v>
      </c>
      <c r="G478" s="2" t="s">
        <v>1</v>
      </c>
      <c r="H478" s="2" t="s">
        <v>120</v>
      </c>
      <c r="I478" s="2" t="s">
        <v>121</v>
      </c>
      <c r="J478" s="2" t="s">
        <v>141</v>
      </c>
      <c r="K478" s="2" t="s">
        <v>370</v>
      </c>
      <c r="L478" s="2" t="s">
        <v>650</v>
      </c>
      <c r="M478" s="2">
        <v>0</v>
      </c>
      <c r="N478" s="2">
        <v>0</v>
      </c>
      <c r="O478" s="2">
        <v>0</v>
      </c>
      <c r="P478" s="2" t="s">
        <v>248</v>
      </c>
      <c r="Q478" s="2">
        <v>0</v>
      </c>
      <c r="R478" s="29" t="e">
        <f>IF(INDEX(#REF!,MATCH('data '!$B478,#REF!,0),MATCH('data '!R$3,#REF!,0))=0,"",INDEX(#REF!,MATCH('data '!$B478,#REF!,0),MATCH('data '!R$3,#REF!,0)))</f>
        <v>#REF!</v>
      </c>
      <c r="S478" s="29" t="e">
        <f>IF(INDEX(#REF!,MATCH('data '!$B478,#REF!,0),MATCH('data '!S$3,#REF!,0))=0,"",INDEX(#REF!,MATCH('data '!$B478,#REF!,0),MATCH('data '!S$3,#REF!,0)))</f>
        <v>#REF!</v>
      </c>
      <c r="T478" s="29" t="e">
        <f>IF(INDEX(#REF!,MATCH('data '!$B478,#REF!,0),MATCH('data '!T$3,#REF!,0))=0,"",INDEX(#REF!,MATCH('data '!$B478,#REF!,0),MATCH('data '!T$3,#REF!,0)))</f>
        <v>#REF!</v>
      </c>
      <c r="V478" s="25" t="s">
        <v>204</v>
      </c>
      <c r="W478" s="25">
        <v>0</v>
      </c>
      <c r="AC478" s="8" t="e">
        <f>VLOOKUP(B478,#REF!,19,0)</f>
        <v>#REF!</v>
      </c>
      <c r="AP478" s="8" t="str">
        <f t="shared" ref="AP478:AP515" si="22">IF(AM478&gt;0,"Tempo Energized",IF(AL478&gt;0,"Tempo Permit Released",IF(AK478&gt;0,"COOP Surveyed",IF(AI478&gt;0,"PO Issued",IF(AG478&gt;0,"PQ Raised",IF(AF478&gt;0,"Vendor Allocated",IF(X478&gt;0,"BP Secured","Not yet endorsed")))))))</f>
        <v>Not yet endorsed</v>
      </c>
      <c r="AQ478" s="10" t="b" cm="1">
        <f t="array" aca="1" ref="AQ478" ca="1">IF(AM478&gt;0,(TODAY()-AM478),IF(AL478&gt;0,(TODAY()-AL478),IF(AK478&gt;0,(TODAY()-AK478,IF(AI478&gt;0,(TODAY()-AI478),IF(AG478&gt;0,(TODAY()-AG478),IF(AF478&gt;0,(TODAY()-AF478),IF(X478&gt;0,(TODAY()-X478)," "))))))))</f>
        <v>0</v>
      </c>
      <c r="BD478" s="2" t="str">
        <f t="shared" ref="BD478:BD515" si="23">IF(BC478&gt;0,"Permanent Energized",IF(BB478&gt;0,"Bill deposit Paid",IF(BA478&gt;0,"Line Construction Completed",IF(AZ478&gt;0,"Line Construction Started",IF(AX478&gt;0,"PO Issued",IF(AV478&gt;0,"PQ Raised",IF(AU478&gt;0,"BoQ Approved",IF(AT478&gt;0,"BoQ Submitted",IF(AF478&gt;0,"Vendor Allocated",IF(X478&gt;0,"BP Secured",IF(U478&gt;0,"TSSR Approved","Not yet endorsed")))))))))))</f>
        <v>Not yet endorsed</v>
      </c>
      <c r="BE478" s="2" t="s">
        <v>75</v>
      </c>
      <c r="BG478" s="2" t="e">
        <v>#N/A</v>
      </c>
      <c r="BH478" s="2" t="e" vm="1">
        <v>#REF!</v>
      </c>
    </row>
    <row r="479" spans="2:60" hidden="1" x14ac:dyDescent="0.25">
      <c r="B479" s="2" t="s">
        <v>2335</v>
      </c>
      <c r="C479" s="2" t="s">
        <v>2336</v>
      </c>
      <c r="D479" s="44" t="s">
        <v>2337</v>
      </c>
      <c r="F479" s="2">
        <v>0</v>
      </c>
      <c r="G479" s="2" t="s">
        <v>1</v>
      </c>
      <c r="H479" s="2" t="s">
        <v>120</v>
      </c>
      <c r="I479" s="2" t="s">
        <v>121</v>
      </c>
      <c r="J479" s="2" t="e">
        <v>#N/A</v>
      </c>
      <c r="K479" s="2" t="e">
        <v>#N/A</v>
      </c>
      <c r="L479" s="2" t="e">
        <v>#N/A</v>
      </c>
      <c r="M479" s="2" t="e">
        <v>#N/A</v>
      </c>
      <c r="N479" s="2" t="e">
        <v>#N/A</v>
      </c>
      <c r="O479" s="2" t="e">
        <v>#N/A</v>
      </c>
      <c r="P479" s="2" t="s">
        <v>789</v>
      </c>
      <c r="Q479" s="2">
        <v>0</v>
      </c>
      <c r="R479" s="29" t="e">
        <f>IF(INDEX(#REF!,MATCH('data '!$B479,#REF!,0),MATCH('data '!R$3,#REF!,0))=0,"",INDEX(#REF!,MATCH('data '!$B479,#REF!,0),MATCH('data '!R$3,#REF!,0)))</f>
        <v>#REF!</v>
      </c>
      <c r="S479" s="29" t="e">
        <f>IF(INDEX(#REF!,MATCH('data '!$B479,#REF!,0),MATCH('data '!S$3,#REF!,0))=0,"",INDEX(#REF!,MATCH('data '!$B479,#REF!,0),MATCH('data '!S$3,#REF!,0)))</f>
        <v>#REF!</v>
      </c>
      <c r="T479" s="29" t="e">
        <f>IF(INDEX(#REF!,MATCH('data '!$B479,#REF!,0),MATCH('data '!T$3,#REF!,0))=0,"",INDEX(#REF!,MATCH('data '!$B479,#REF!,0),MATCH('data '!T$3,#REF!,0)))</f>
        <v>#REF!</v>
      </c>
      <c r="V479" s="25" t="s">
        <v>204</v>
      </c>
      <c r="W479" s="25">
        <v>0</v>
      </c>
      <c r="AC479" s="8" t="e">
        <f>VLOOKUP(B479,#REF!,19,0)</f>
        <v>#REF!</v>
      </c>
      <c r="AP479" s="8" t="str">
        <f t="shared" si="22"/>
        <v>Not yet endorsed</v>
      </c>
      <c r="AQ479" s="10" t="b" cm="1">
        <f t="array" aca="1" ref="AQ479" ca="1">IF(AM479&gt;0,(TODAY()-AM479),IF(AL479&gt;0,(TODAY()-AL479),IF(AK479&gt;0,(TODAY()-AK479,IF(AI479&gt;0,(TODAY()-AI479),IF(AG479&gt;0,(TODAY()-AG479),IF(AF479&gt;0,(TODAY()-AF479),IF(X479&gt;0,(TODAY()-X479)," "))))))))</f>
        <v>0</v>
      </c>
      <c r="BD479" s="2" t="str">
        <f t="shared" si="23"/>
        <v>Not yet endorsed</v>
      </c>
      <c r="BE479" s="2" t="s">
        <v>75</v>
      </c>
      <c r="BG479" s="2" t="e">
        <v>#N/A</v>
      </c>
    </row>
    <row r="480" spans="2:60" hidden="1" x14ac:dyDescent="0.25">
      <c r="B480" s="2" t="s">
        <v>2338</v>
      </c>
      <c r="C480" s="2" t="s">
        <v>2339</v>
      </c>
      <c r="D480" s="44" t="s">
        <v>2340</v>
      </c>
      <c r="E480" s="2" t="s">
        <v>3</v>
      </c>
      <c r="F480" s="2">
        <v>0</v>
      </c>
      <c r="G480" s="2" t="s">
        <v>1</v>
      </c>
      <c r="H480" s="2" t="s">
        <v>120</v>
      </c>
      <c r="I480" s="2" t="s">
        <v>121</v>
      </c>
      <c r="J480" s="2" t="s">
        <v>141</v>
      </c>
      <c r="K480" s="2" t="s">
        <v>370</v>
      </c>
      <c r="L480" s="2" t="s">
        <v>2341</v>
      </c>
      <c r="M480" s="2">
        <v>0</v>
      </c>
      <c r="N480" s="2">
        <v>0</v>
      </c>
      <c r="O480" s="2">
        <v>0</v>
      </c>
      <c r="P480" s="2" t="s">
        <v>248</v>
      </c>
      <c r="Q480" s="2">
        <v>0</v>
      </c>
      <c r="R480" s="29" t="e">
        <f>IF(INDEX(#REF!,MATCH('data '!$B480,#REF!,0),MATCH('data '!R$3,#REF!,0))=0,"",INDEX(#REF!,MATCH('data '!$B480,#REF!,0),MATCH('data '!R$3,#REF!,0)))</f>
        <v>#REF!</v>
      </c>
      <c r="S480" s="29" t="e">
        <f>IF(INDEX(#REF!,MATCH('data '!$B480,#REF!,0),MATCH('data '!S$3,#REF!,0))=0,"",INDEX(#REF!,MATCH('data '!$B480,#REF!,0),MATCH('data '!S$3,#REF!,0)))</f>
        <v>#REF!</v>
      </c>
      <c r="T480" s="29" t="e">
        <f>IF(INDEX(#REF!,MATCH('data '!$B480,#REF!,0),MATCH('data '!T$3,#REF!,0))=0,"",INDEX(#REF!,MATCH('data '!$B480,#REF!,0),MATCH('data '!T$3,#REF!,0)))</f>
        <v>#REF!</v>
      </c>
      <c r="V480" s="25" t="s">
        <v>204</v>
      </c>
      <c r="W480" s="25">
        <v>0</v>
      </c>
      <c r="AC480" s="8" t="e">
        <f>VLOOKUP(B480,#REF!,19,0)</f>
        <v>#REF!</v>
      </c>
      <c r="AP480" s="8" t="str">
        <f t="shared" si="22"/>
        <v>Not yet endorsed</v>
      </c>
      <c r="AQ480" s="10" t="b" cm="1">
        <f t="array" aca="1" ref="AQ480" ca="1">IF(AM480&gt;0,(TODAY()-AM480),IF(AL480&gt;0,(TODAY()-AL480),IF(AK480&gt;0,(TODAY()-AK480,IF(AI480&gt;0,(TODAY()-AI480),IF(AG480&gt;0,(TODAY()-AG480),IF(AF480&gt;0,(TODAY()-AF480),IF(X480&gt;0,(TODAY()-X480)," "))))))))</f>
        <v>0</v>
      </c>
      <c r="BD480" s="2" t="str">
        <f t="shared" si="23"/>
        <v>Not yet endorsed</v>
      </c>
      <c r="BE480" s="2" t="s">
        <v>75</v>
      </c>
      <c r="BG480" s="2" t="e">
        <v>#N/A</v>
      </c>
      <c r="BH480" s="2" t="e" vm="1">
        <v>#REF!</v>
      </c>
    </row>
    <row r="481" spans="2:60" hidden="1" x14ac:dyDescent="0.25">
      <c r="B481" s="2" t="s">
        <v>2342</v>
      </c>
      <c r="C481" s="2" t="s">
        <v>2343</v>
      </c>
      <c r="D481" s="44" t="s">
        <v>2344</v>
      </c>
      <c r="F481" s="2">
        <v>0</v>
      </c>
      <c r="G481" s="2" t="s">
        <v>1</v>
      </c>
      <c r="H481" s="2" t="s">
        <v>120</v>
      </c>
      <c r="I481" s="2" t="s">
        <v>121</v>
      </c>
      <c r="J481" s="2" t="e">
        <v>#N/A</v>
      </c>
      <c r="K481" s="2" t="e">
        <v>#N/A</v>
      </c>
      <c r="L481" s="2" t="e">
        <v>#N/A</v>
      </c>
      <c r="M481" s="2" t="e">
        <v>#N/A</v>
      </c>
      <c r="N481" s="2" t="e">
        <v>#N/A</v>
      </c>
      <c r="O481" s="2" t="e">
        <v>#N/A</v>
      </c>
      <c r="P481" s="2" t="s">
        <v>789</v>
      </c>
      <c r="Q481" s="2">
        <v>0</v>
      </c>
      <c r="R481" s="29" t="e">
        <f>IF(INDEX(#REF!,MATCH('data '!$B481,#REF!,0),MATCH('data '!R$3,#REF!,0))=0,"",INDEX(#REF!,MATCH('data '!$B481,#REF!,0),MATCH('data '!R$3,#REF!,0)))</f>
        <v>#REF!</v>
      </c>
      <c r="S481" s="29" t="e">
        <f>IF(INDEX(#REF!,MATCH('data '!$B481,#REF!,0),MATCH('data '!S$3,#REF!,0))=0,"",INDEX(#REF!,MATCH('data '!$B481,#REF!,0),MATCH('data '!S$3,#REF!,0)))</f>
        <v>#REF!</v>
      </c>
      <c r="T481" s="29" t="e">
        <f>IF(INDEX(#REF!,MATCH('data '!$B481,#REF!,0),MATCH('data '!T$3,#REF!,0))=0,"",INDEX(#REF!,MATCH('data '!$B481,#REF!,0),MATCH('data '!T$3,#REF!,0)))</f>
        <v>#REF!</v>
      </c>
      <c r="V481" s="25" t="s">
        <v>204</v>
      </c>
      <c r="W481" s="25">
        <v>0</v>
      </c>
      <c r="AC481" s="8" t="e">
        <f>VLOOKUP(B481,#REF!,19,0)</f>
        <v>#REF!</v>
      </c>
      <c r="AP481" s="8" t="str">
        <f t="shared" si="22"/>
        <v>Not yet endorsed</v>
      </c>
      <c r="AQ481" s="10" t="b" cm="1">
        <f t="array" aca="1" ref="AQ481" ca="1">IF(AM481&gt;0,(TODAY()-AM481),IF(AL481&gt;0,(TODAY()-AL481),IF(AK481&gt;0,(TODAY()-AK481,IF(AI481&gt;0,(TODAY()-AI481),IF(AG481&gt;0,(TODAY()-AG481),IF(AF481&gt;0,(TODAY()-AF481),IF(X481&gt;0,(TODAY()-X481)," "))))))))</f>
        <v>0</v>
      </c>
      <c r="BD481" s="2" t="str">
        <f t="shared" si="23"/>
        <v>Not yet endorsed</v>
      </c>
      <c r="BE481" s="2" t="s">
        <v>75</v>
      </c>
      <c r="BG481" s="2" t="e">
        <v>#N/A</v>
      </c>
    </row>
    <row r="482" spans="2:60" hidden="1" x14ac:dyDescent="0.25">
      <c r="B482" s="2" t="s">
        <v>2345</v>
      </c>
      <c r="C482" s="2" t="s">
        <v>2346</v>
      </c>
      <c r="D482" s="44" t="s">
        <v>2347</v>
      </c>
      <c r="E482" s="2" t="s">
        <v>5</v>
      </c>
      <c r="F482" s="2" t="s">
        <v>369</v>
      </c>
      <c r="G482" s="2" t="s">
        <v>1</v>
      </c>
      <c r="H482" s="2" t="s">
        <v>120</v>
      </c>
      <c r="I482" s="2" t="s">
        <v>140</v>
      </c>
      <c r="J482" s="2" t="s">
        <v>141</v>
      </c>
      <c r="K482" s="2" t="s">
        <v>370</v>
      </c>
      <c r="L482" s="2" t="s">
        <v>793</v>
      </c>
      <c r="M482" s="2">
        <v>0</v>
      </c>
      <c r="N482" s="2">
        <v>15.929500000000001</v>
      </c>
      <c r="O482" s="2">
        <v>120.64982000000001</v>
      </c>
      <c r="P482" s="2" t="s">
        <v>87</v>
      </c>
      <c r="Q482" s="2" t="s">
        <v>73</v>
      </c>
      <c r="R482" s="29" t="e">
        <f>IF(INDEX(#REF!,MATCH('data '!$B482,#REF!,0),MATCH('data '!R$3,#REF!,0))=0,"",INDEX(#REF!,MATCH('data '!$B482,#REF!,0),MATCH('data '!R$3,#REF!,0)))</f>
        <v>#REF!</v>
      </c>
      <c r="S482" s="29" t="e">
        <f>IF(INDEX(#REF!,MATCH('data '!$B482,#REF!,0),MATCH('data '!S$3,#REF!,0))=0,"",INDEX(#REF!,MATCH('data '!$B482,#REF!,0),MATCH('data '!S$3,#REF!,0)))</f>
        <v>#REF!</v>
      </c>
      <c r="T482" s="29" t="e">
        <f>IF(INDEX(#REF!,MATCH('data '!$B482,#REF!,0),MATCH('data '!T$3,#REF!,0))=0,"",INDEX(#REF!,MATCH('data '!$B482,#REF!,0),MATCH('data '!T$3,#REF!,0)))</f>
        <v>#REF!</v>
      </c>
      <c r="U482" s="8" t="s">
        <v>25</v>
      </c>
      <c r="V482" s="25" t="s">
        <v>266</v>
      </c>
      <c r="W482" s="25" t="s">
        <v>144</v>
      </c>
      <c r="X482" s="9" t="s">
        <v>25</v>
      </c>
      <c r="Y482" s="9">
        <v>45889</v>
      </c>
      <c r="AC482" s="8" t="e">
        <f>VLOOKUP(B482,#REF!,19,0)</f>
        <v>#REF!</v>
      </c>
      <c r="AE482" s="8" t="s">
        <v>295</v>
      </c>
      <c r="AF482" s="8">
        <v>45908</v>
      </c>
      <c r="AG482" s="8">
        <v>45908</v>
      </c>
      <c r="AH482" s="8" t="s">
        <v>373</v>
      </c>
      <c r="AI482" s="8">
        <v>45909</v>
      </c>
      <c r="AJ482" s="8" t="s">
        <v>374</v>
      </c>
      <c r="AK482" s="8">
        <v>45916</v>
      </c>
      <c r="AL482" s="8">
        <v>45915</v>
      </c>
      <c r="AM482" s="8">
        <v>45961</v>
      </c>
      <c r="AP482" s="8" t="str">
        <f t="shared" si="22"/>
        <v>Tempo Energized</v>
      </c>
      <c r="AS482" s="8" t="s">
        <v>2348</v>
      </c>
      <c r="AT482" s="8">
        <v>45986</v>
      </c>
      <c r="AU482" s="8">
        <v>45987</v>
      </c>
      <c r="AV482" s="8">
        <v>45987</v>
      </c>
      <c r="AW482" s="8" t="s">
        <v>2349</v>
      </c>
      <c r="AX482" s="8">
        <v>45988</v>
      </c>
      <c r="AY482" s="8" t="s">
        <v>2350</v>
      </c>
      <c r="BD482" s="2" t="str">
        <f t="shared" si="23"/>
        <v>PO Issued</v>
      </c>
      <c r="BE482" s="2">
        <v>32</v>
      </c>
      <c r="BF482" s="2" t="s">
        <v>1616</v>
      </c>
      <c r="BG482" s="2" t="e">
        <v>#N/A</v>
      </c>
      <c r="BH482" s="2" t="e" vm="1">
        <v>#REF!</v>
      </c>
    </row>
    <row r="483" spans="2:60" hidden="1" x14ac:dyDescent="0.25">
      <c r="B483" s="26" t="s">
        <v>2351</v>
      </c>
      <c r="C483" s="26" t="s">
        <v>2352</v>
      </c>
      <c r="D483" s="46" t="s">
        <v>2353</v>
      </c>
      <c r="E483" s="2" t="s">
        <v>5</v>
      </c>
      <c r="F483" s="2" t="s">
        <v>369</v>
      </c>
      <c r="G483" s="2" t="s">
        <v>1</v>
      </c>
      <c r="H483" s="2" t="s">
        <v>120</v>
      </c>
      <c r="I483" s="2" t="s">
        <v>140</v>
      </c>
      <c r="J483" s="2" t="s">
        <v>141</v>
      </c>
      <c r="K483" s="2" t="s">
        <v>370</v>
      </c>
      <c r="L483" s="2" t="s">
        <v>793</v>
      </c>
      <c r="M483" s="2">
        <v>0</v>
      </c>
      <c r="N483" s="2">
        <v>15.9628</v>
      </c>
      <c r="O483" s="2">
        <v>120.67859</v>
      </c>
      <c r="P483" s="2" t="s">
        <v>87</v>
      </c>
      <c r="Q483" s="2" t="s">
        <v>265</v>
      </c>
      <c r="R483" s="29" t="e">
        <f>IF(INDEX(#REF!,MATCH('data '!$B483,#REF!,0),MATCH('data '!R$3,#REF!,0))=0,"",INDEX(#REF!,MATCH('data '!$B483,#REF!,0),MATCH('data '!R$3,#REF!,0)))</f>
        <v>#REF!</v>
      </c>
      <c r="S483" s="29" t="e">
        <f>IF(INDEX(#REF!,MATCH('data '!$B483,#REF!,0),MATCH('data '!S$3,#REF!,0))=0,"",INDEX(#REF!,MATCH('data '!$B483,#REF!,0),MATCH('data '!S$3,#REF!,0)))</f>
        <v>#REF!</v>
      </c>
      <c r="T483" s="29" t="e">
        <f>IF(INDEX(#REF!,MATCH('data '!$B483,#REF!,0),MATCH('data '!T$3,#REF!,0))=0,"",INDEX(#REF!,MATCH('data '!$B483,#REF!,0),MATCH('data '!T$3,#REF!,0)))</f>
        <v>#REF!</v>
      </c>
      <c r="U483" s="8" t="s">
        <v>25</v>
      </c>
      <c r="V483" s="25" t="s">
        <v>266</v>
      </c>
      <c r="W483" s="25" t="s">
        <v>144</v>
      </c>
      <c r="X483" s="9" t="s">
        <v>25</v>
      </c>
      <c r="Y483" s="9">
        <v>45796</v>
      </c>
      <c r="Z483" s="8">
        <v>45754</v>
      </c>
      <c r="AA483" s="8" t="s">
        <v>2354</v>
      </c>
      <c r="AB483" s="8">
        <v>45909</v>
      </c>
      <c r="AC483" s="8" t="e">
        <f>VLOOKUP(B483,#REF!,19,0)</f>
        <v>#REF!</v>
      </c>
      <c r="AE483" s="8" t="s">
        <v>295</v>
      </c>
      <c r="AF483" s="8">
        <v>45915</v>
      </c>
      <c r="AG483" s="8">
        <v>45952</v>
      </c>
      <c r="AH483" s="8" t="s">
        <v>815</v>
      </c>
      <c r="AI483" s="8">
        <v>45958</v>
      </c>
      <c r="AJ483" s="8" t="s">
        <v>816</v>
      </c>
      <c r="AP483" s="8" t="str">
        <f t="shared" si="22"/>
        <v>PO Issued</v>
      </c>
      <c r="AQ483" s="10" t="b" cm="1">
        <f t="array" aca="1" ref="AQ483" ca="1">IF(AM483&gt;0,(TODAY()-AM483),IF(AL483&gt;0,(TODAY()-AL483),IF(AK483&gt;0,(TODAY()-AK483,IF(AI483&gt;0,(TODAY()-AI483),IF(AG483&gt;0,(TODAY()-AG483),IF(AF483&gt;0,(TODAY()-AF483),IF(X483&gt;0,(TODAY()-X483)," "))))))))</f>
        <v>0</v>
      </c>
      <c r="AS483" s="8" t="s">
        <v>2355</v>
      </c>
      <c r="AT483" s="8">
        <v>45922</v>
      </c>
      <c r="AU483" s="8">
        <v>45924</v>
      </c>
      <c r="AV483" s="8">
        <v>45936</v>
      </c>
      <c r="AW483" s="8" t="s">
        <v>377</v>
      </c>
      <c r="AX483" s="8">
        <v>45939</v>
      </c>
      <c r="AY483" s="8" t="s">
        <v>378</v>
      </c>
      <c r="AZ483" s="8">
        <v>45929</v>
      </c>
      <c r="BA483" s="8">
        <v>45932</v>
      </c>
      <c r="BD483" s="2" t="str">
        <f t="shared" si="23"/>
        <v>Line Construction Completed</v>
      </c>
      <c r="BE483" s="2">
        <v>11</v>
      </c>
      <c r="BF483" s="2" t="s">
        <v>2356</v>
      </c>
      <c r="BG483" s="2" t="e">
        <v>#N/A</v>
      </c>
      <c r="BH483" s="2" t="e" vm="1">
        <v>#REF!</v>
      </c>
    </row>
    <row r="484" spans="2:60" hidden="1" x14ac:dyDescent="0.25">
      <c r="B484" s="2" t="s">
        <v>2357</v>
      </c>
      <c r="C484" s="2" t="s">
        <v>2358</v>
      </c>
      <c r="D484" s="44" t="s">
        <v>2359</v>
      </c>
      <c r="E484" s="2" t="s">
        <v>3</v>
      </c>
      <c r="F484" s="2">
        <v>0</v>
      </c>
      <c r="G484" s="2" t="s">
        <v>1</v>
      </c>
      <c r="H484" s="2" t="s">
        <v>120</v>
      </c>
      <c r="I484" s="2" t="s">
        <v>121</v>
      </c>
      <c r="J484" s="2" t="s">
        <v>141</v>
      </c>
      <c r="K484" s="2" t="s">
        <v>370</v>
      </c>
      <c r="L484" s="2" t="s">
        <v>1979</v>
      </c>
      <c r="M484" s="2">
        <v>0</v>
      </c>
      <c r="N484" s="2">
        <v>0</v>
      </c>
      <c r="O484" s="2">
        <v>0</v>
      </c>
      <c r="P484" s="2" t="s">
        <v>789</v>
      </c>
      <c r="Q484" s="2">
        <v>0</v>
      </c>
      <c r="R484" s="29" t="e">
        <f>IF(INDEX(#REF!,MATCH('data '!$B484,#REF!,0),MATCH('data '!R$3,#REF!,0))=0,"",INDEX(#REF!,MATCH('data '!$B484,#REF!,0),MATCH('data '!R$3,#REF!,0)))</f>
        <v>#REF!</v>
      </c>
      <c r="S484" s="29" t="e">
        <f>IF(INDEX(#REF!,MATCH('data '!$B484,#REF!,0),MATCH('data '!S$3,#REF!,0))=0,"",INDEX(#REF!,MATCH('data '!$B484,#REF!,0),MATCH('data '!S$3,#REF!,0)))</f>
        <v>#REF!</v>
      </c>
      <c r="T484" s="29" t="e">
        <f>IF(INDEX(#REF!,MATCH('data '!$B484,#REF!,0),MATCH('data '!T$3,#REF!,0))=0,"",INDEX(#REF!,MATCH('data '!$B484,#REF!,0),MATCH('data '!T$3,#REF!,0)))</f>
        <v>#REF!</v>
      </c>
      <c r="V484" s="25" t="s">
        <v>204</v>
      </c>
      <c r="W484" s="25">
        <v>0</v>
      </c>
      <c r="AC484" s="8" t="e">
        <f>VLOOKUP(B484,#REF!,19,0)</f>
        <v>#REF!</v>
      </c>
      <c r="AP484" s="8" t="str">
        <f t="shared" si="22"/>
        <v>Not yet endorsed</v>
      </c>
      <c r="AQ484" s="10" t="b" cm="1">
        <f t="array" aca="1" ref="AQ484" ca="1">IF(AM484&gt;0,(TODAY()-AM484),IF(AL484&gt;0,(TODAY()-AL484),IF(AK484&gt;0,(TODAY()-AK484,IF(AI484&gt;0,(TODAY()-AI484),IF(AG484&gt;0,(TODAY()-AG484),IF(AF484&gt;0,(TODAY()-AF484),IF(X484&gt;0,(TODAY()-X484)," "))))))))</f>
        <v>0</v>
      </c>
      <c r="BD484" s="2" t="str">
        <f t="shared" si="23"/>
        <v>Not yet endorsed</v>
      </c>
      <c r="BE484" s="2" t="s">
        <v>75</v>
      </c>
      <c r="BG484" s="2" t="e">
        <v>#N/A</v>
      </c>
      <c r="BH484" s="2" t="e" vm="1">
        <v>#REF!</v>
      </c>
    </row>
    <row r="485" spans="2:60" hidden="1" x14ac:dyDescent="0.25">
      <c r="B485" s="2" t="s">
        <v>2360</v>
      </c>
      <c r="C485" s="2" t="s">
        <v>2361</v>
      </c>
      <c r="D485" s="44" t="s">
        <v>2362</v>
      </c>
      <c r="E485" s="2" t="s">
        <v>3</v>
      </c>
      <c r="F485" s="2">
        <v>0</v>
      </c>
      <c r="G485" s="2" t="s">
        <v>1</v>
      </c>
      <c r="H485" s="2" t="s">
        <v>120</v>
      </c>
      <c r="I485" s="2" t="s">
        <v>121</v>
      </c>
      <c r="J485" s="2" t="s">
        <v>141</v>
      </c>
      <c r="K485" s="2" t="s">
        <v>370</v>
      </c>
      <c r="L485" s="2" t="s">
        <v>2341</v>
      </c>
      <c r="M485" s="2">
        <v>0</v>
      </c>
      <c r="N485" s="2">
        <v>0</v>
      </c>
      <c r="O485" s="2">
        <v>0</v>
      </c>
      <c r="P485" s="2" t="s">
        <v>789</v>
      </c>
      <c r="Q485" s="2">
        <v>0</v>
      </c>
      <c r="R485" s="29" t="e">
        <f>IF(INDEX(#REF!,MATCH('data '!$B485,#REF!,0),MATCH('data '!R$3,#REF!,0))=0,"",INDEX(#REF!,MATCH('data '!$B485,#REF!,0),MATCH('data '!R$3,#REF!,0)))</f>
        <v>#REF!</v>
      </c>
      <c r="S485" s="29" t="e">
        <f>IF(INDEX(#REF!,MATCH('data '!$B485,#REF!,0),MATCH('data '!S$3,#REF!,0))=0,"",INDEX(#REF!,MATCH('data '!$B485,#REF!,0),MATCH('data '!S$3,#REF!,0)))</f>
        <v>#REF!</v>
      </c>
      <c r="T485" s="29" t="e">
        <f>IF(INDEX(#REF!,MATCH('data '!$B485,#REF!,0),MATCH('data '!T$3,#REF!,0))=0,"",INDEX(#REF!,MATCH('data '!$B485,#REF!,0),MATCH('data '!T$3,#REF!,0)))</f>
        <v>#REF!</v>
      </c>
      <c r="V485" s="25" t="s">
        <v>204</v>
      </c>
      <c r="W485" s="25">
        <v>0</v>
      </c>
      <c r="AC485" s="8" t="e">
        <f>VLOOKUP(B485,#REF!,19,0)</f>
        <v>#REF!</v>
      </c>
      <c r="AP485" s="8" t="str">
        <f t="shared" si="22"/>
        <v>Not yet endorsed</v>
      </c>
      <c r="AQ485" s="10" t="b" cm="1">
        <f t="array" aca="1" ref="AQ485" ca="1">IF(AM485&gt;0,(TODAY()-AM485),IF(AL485&gt;0,(TODAY()-AL485),IF(AK485&gt;0,(TODAY()-AK485,IF(AI485&gt;0,(TODAY()-AI485),IF(AG485&gt;0,(TODAY()-AG485),IF(AF485&gt;0,(TODAY()-AF485),IF(X485&gt;0,(TODAY()-X485)," "))))))))</f>
        <v>0</v>
      </c>
      <c r="BD485" s="2" t="str">
        <f t="shared" si="23"/>
        <v>Not yet endorsed</v>
      </c>
      <c r="BE485" s="2" t="s">
        <v>75</v>
      </c>
      <c r="BG485" s="2" t="e">
        <v>#N/A</v>
      </c>
      <c r="BH485" s="2" t="e" vm="1">
        <v>#REF!</v>
      </c>
    </row>
    <row r="486" spans="2:60" hidden="1" x14ac:dyDescent="0.25">
      <c r="B486" s="2" t="s">
        <v>2363</v>
      </c>
      <c r="C486" s="2" t="s">
        <v>2364</v>
      </c>
      <c r="D486" s="44" t="s">
        <v>2365</v>
      </c>
      <c r="E486" s="2" t="s">
        <v>3</v>
      </c>
      <c r="F486" s="2">
        <v>0</v>
      </c>
      <c r="G486" s="2" t="s">
        <v>1</v>
      </c>
      <c r="H486" s="2" t="s">
        <v>120</v>
      </c>
      <c r="I486" s="2" t="s">
        <v>121</v>
      </c>
      <c r="J486" s="2" t="s">
        <v>141</v>
      </c>
      <c r="K486" s="2" t="s">
        <v>370</v>
      </c>
      <c r="L486" s="2" t="s">
        <v>2341</v>
      </c>
      <c r="M486" s="2">
        <v>0</v>
      </c>
      <c r="N486" s="2">
        <v>0</v>
      </c>
      <c r="O486" s="2">
        <v>0</v>
      </c>
      <c r="P486" s="2" t="s">
        <v>125</v>
      </c>
      <c r="Q486" s="2">
        <v>0</v>
      </c>
      <c r="R486" s="29" t="e">
        <f>IF(INDEX(#REF!,MATCH('data '!$B486,#REF!,0),MATCH('data '!R$3,#REF!,0))=0,"",INDEX(#REF!,MATCH('data '!$B486,#REF!,0),MATCH('data '!R$3,#REF!,0)))</f>
        <v>#REF!</v>
      </c>
      <c r="S486" s="29" t="e">
        <f>IF(INDEX(#REF!,MATCH('data '!$B486,#REF!,0),MATCH('data '!S$3,#REF!,0))=0,"",INDEX(#REF!,MATCH('data '!$B486,#REF!,0),MATCH('data '!S$3,#REF!,0)))</f>
        <v>#REF!</v>
      </c>
      <c r="T486" s="29" t="e">
        <f>IF(INDEX(#REF!,MATCH('data '!$B486,#REF!,0),MATCH('data '!T$3,#REF!,0))=0,"",INDEX(#REF!,MATCH('data '!$B486,#REF!,0),MATCH('data '!T$3,#REF!,0)))</f>
        <v>#REF!</v>
      </c>
      <c r="V486" s="25" t="s">
        <v>204</v>
      </c>
      <c r="W486" s="25">
        <v>0</v>
      </c>
      <c r="AC486" s="8" t="e">
        <f>VLOOKUP(B486,#REF!,19,0)</f>
        <v>#REF!</v>
      </c>
      <c r="AP486" s="8" t="str">
        <f t="shared" si="22"/>
        <v>Not yet endorsed</v>
      </c>
      <c r="AQ486" s="10" t="b" cm="1">
        <f t="array" aca="1" ref="AQ486" ca="1">IF(AM486&gt;0,(TODAY()-AM486),IF(AL486&gt;0,(TODAY()-AL486),IF(AK486&gt;0,(TODAY()-AK486,IF(AI486&gt;0,(TODAY()-AI486),IF(AG486&gt;0,(TODAY()-AG486),IF(AF486&gt;0,(TODAY()-AF486),IF(X486&gt;0,(TODAY()-X486)," "))))))))</f>
        <v>0</v>
      </c>
      <c r="BD486" s="2" t="str">
        <f t="shared" si="23"/>
        <v>Not yet endorsed</v>
      </c>
      <c r="BE486" s="2" t="s">
        <v>75</v>
      </c>
      <c r="BG486" s="2" t="e">
        <v>#N/A</v>
      </c>
      <c r="BH486" s="2" t="e" vm="1">
        <v>#REF!</v>
      </c>
    </row>
    <row r="487" spans="2:60" hidden="1" x14ac:dyDescent="0.25">
      <c r="B487" s="2" t="s">
        <v>2366</v>
      </c>
      <c r="C487" s="2" t="s">
        <v>2367</v>
      </c>
      <c r="D487" s="44" t="s">
        <v>2368</v>
      </c>
      <c r="E487" s="2" t="s">
        <v>3</v>
      </c>
      <c r="F487" s="2">
        <v>0</v>
      </c>
      <c r="G487" s="2" t="s">
        <v>1</v>
      </c>
      <c r="H487" s="2" t="s">
        <v>120</v>
      </c>
      <c r="I487" s="2" t="s">
        <v>121</v>
      </c>
      <c r="J487" s="2" t="s">
        <v>141</v>
      </c>
      <c r="K487" s="2" t="s">
        <v>370</v>
      </c>
      <c r="L487" s="2" t="s">
        <v>2369</v>
      </c>
      <c r="M487" s="2">
        <v>0</v>
      </c>
      <c r="N487" s="2">
        <v>0</v>
      </c>
      <c r="O487" s="2">
        <v>0</v>
      </c>
      <c r="P487" s="2" t="s">
        <v>789</v>
      </c>
      <c r="Q487" s="2">
        <v>0</v>
      </c>
      <c r="R487" s="29" t="e">
        <f>IF(INDEX(#REF!,MATCH('data '!$B487,#REF!,0),MATCH('data '!R$3,#REF!,0))=0,"",INDEX(#REF!,MATCH('data '!$B487,#REF!,0),MATCH('data '!R$3,#REF!,0)))</f>
        <v>#REF!</v>
      </c>
      <c r="S487" s="29" t="e">
        <f>IF(INDEX(#REF!,MATCH('data '!$B487,#REF!,0),MATCH('data '!S$3,#REF!,0))=0,"",INDEX(#REF!,MATCH('data '!$B487,#REF!,0),MATCH('data '!S$3,#REF!,0)))</f>
        <v>#REF!</v>
      </c>
      <c r="T487" s="29" t="e">
        <f>IF(INDEX(#REF!,MATCH('data '!$B487,#REF!,0),MATCH('data '!T$3,#REF!,0))=0,"",INDEX(#REF!,MATCH('data '!$B487,#REF!,0),MATCH('data '!T$3,#REF!,0)))</f>
        <v>#REF!</v>
      </c>
      <c r="V487" s="25" t="s">
        <v>204</v>
      </c>
      <c r="W487" s="25">
        <v>0</v>
      </c>
      <c r="AC487" s="8" t="e">
        <f>VLOOKUP(B487,#REF!,19,0)</f>
        <v>#REF!</v>
      </c>
      <c r="AP487" s="8" t="str">
        <f t="shared" si="22"/>
        <v>Not yet endorsed</v>
      </c>
      <c r="AQ487" s="10" t="b" cm="1">
        <f t="array" aca="1" ref="AQ487" ca="1">IF(AM487&gt;0,(TODAY()-AM487),IF(AL487&gt;0,(TODAY()-AL487),IF(AK487&gt;0,(TODAY()-AK487,IF(AI487&gt;0,(TODAY()-AI487),IF(AG487&gt;0,(TODAY()-AG487),IF(AF487&gt;0,(TODAY()-AF487),IF(X487&gt;0,(TODAY()-X487)," "))))))))</f>
        <v>0</v>
      </c>
      <c r="BD487" s="2" t="str">
        <f t="shared" si="23"/>
        <v>Not yet endorsed</v>
      </c>
      <c r="BE487" s="2" t="s">
        <v>75</v>
      </c>
      <c r="BG487" s="2" t="e">
        <v>#N/A</v>
      </c>
      <c r="BH487" s="2" t="e" vm="1">
        <v>#REF!</v>
      </c>
    </row>
    <row r="488" spans="2:60" hidden="1" x14ac:dyDescent="0.25">
      <c r="B488" s="2" t="s">
        <v>2370</v>
      </c>
      <c r="C488" s="2" t="s">
        <v>2371</v>
      </c>
      <c r="D488" s="44" t="s">
        <v>2372</v>
      </c>
      <c r="E488" s="2" t="s">
        <v>3</v>
      </c>
      <c r="F488" s="2">
        <v>0</v>
      </c>
      <c r="G488" s="2" t="s">
        <v>1</v>
      </c>
      <c r="H488" s="2" t="s">
        <v>120</v>
      </c>
      <c r="I488" s="2" t="s">
        <v>121</v>
      </c>
      <c r="J488" s="2" t="s">
        <v>141</v>
      </c>
      <c r="K488" s="2" t="s">
        <v>370</v>
      </c>
      <c r="L488" s="2" t="s">
        <v>2369</v>
      </c>
      <c r="M488" s="2">
        <v>0</v>
      </c>
      <c r="N488" s="2">
        <v>0</v>
      </c>
      <c r="O488" s="2">
        <v>0</v>
      </c>
      <c r="P488" s="2" t="s">
        <v>789</v>
      </c>
      <c r="Q488" s="2">
        <v>0</v>
      </c>
      <c r="R488" s="29" t="e">
        <f>IF(INDEX(#REF!,MATCH('data '!$B488,#REF!,0),MATCH('data '!R$3,#REF!,0))=0,"",INDEX(#REF!,MATCH('data '!$B488,#REF!,0),MATCH('data '!R$3,#REF!,0)))</f>
        <v>#REF!</v>
      </c>
      <c r="S488" s="29" t="e">
        <f>IF(INDEX(#REF!,MATCH('data '!$B488,#REF!,0),MATCH('data '!S$3,#REF!,0))=0,"",INDEX(#REF!,MATCH('data '!$B488,#REF!,0),MATCH('data '!S$3,#REF!,0)))</f>
        <v>#REF!</v>
      </c>
      <c r="T488" s="29" t="e">
        <f>IF(INDEX(#REF!,MATCH('data '!$B488,#REF!,0),MATCH('data '!T$3,#REF!,0))=0,"",INDEX(#REF!,MATCH('data '!$B488,#REF!,0),MATCH('data '!T$3,#REF!,0)))</f>
        <v>#REF!</v>
      </c>
      <c r="V488" s="25" t="s">
        <v>204</v>
      </c>
      <c r="W488" s="25">
        <v>0</v>
      </c>
      <c r="AC488" s="8" t="e">
        <f>VLOOKUP(B488,#REF!,19,0)</f>
        <v>#REF!</v>
      </c>
      <c r="AP488" s="8" t="str">
        <f t="shared" si="22"/>
        <v>Not yet endorsed</v>
      </c>
      <c r="AQ488" s="10" t="b" cm="1">
        <f t="array" aca="1" ref="AQ488" ca="1">IF(AM488&gt;0,(TODAY()-AM488),IF(AL488&gt;0,(TODAY()-AL488),IF(AK488&gt;0,(TODAY()-AK488,IF(AI488&gt;0,(TODAY()-AI488),IF(AG488&gt;0,(TODAY()-AG488),IF(AF488&gt;0,(TODAY()-AF488),IF(X488&gt;0,(TODAY()-X488)," "))))))))</f>
        <v>0</v>
      </c>
      <c r="BD488" s="2" t="str">
        <f t="shared" si="23"/>
        <v>Not yet endorsed</v>
      </c>
      <c r="BE488" s="2" t="s">
        <v>75</v>
      </c>
      <c r="BG488" s="2" t="e">
        <v>#N/A</v>
      </c>
      <c r="BH488" s="2" t="e" vm="1">
        <v>#REF!</v>
      </c>
    </row>
    <row r="489" spans="2:60" hidden="1" x14ac:dyDescent="0.25">
      <c r="B489" s="2" t="s">
        <v>2373</v>
      </c>
      <c r="C489" s="2" t="s">
        <v>2374</v>
      </c>
      <c r="D489" s="44" t="s">
        <v>2375</v>
      </c>
      <c r="E489" s="2" t="s">
        <v>3</v>
      </c>
      <c r="F489" s="2">
        <v>0</v>
      </c>
      <c r="G489" s="2" t="s">
        <v>1</v>
      </c>
      <c r="H489" s="2" t="s">
        <v>120</v>
      </c>
      <c r="I489" s="2" t="s">
        <v>121</v>
      </c>
      <c r="J489" s="2" t="s">
        <v>141</v>
      </c>
      <c r="K489" s="2" t="s">
        <v>370</v>
      </c>
      <c r="L489" s="2" t="s">
        <v>2369</v>
      </c>
      <c r="M489" s="2">
        <v>0</v>
      </c>
      <c r="N489" s="2">
        <v>0</v>
      </c>
      <c r="O489" s="2">
        <v>0</v>
      </c>
      <c r="P489" s="2" t="s">
        <v>789</v>
      </c>
      <c r="Q489" s="2">
        <v>0</v>
      </c>
      <c r="R489" s="29" t="e">
        <f>IF(INDEX(#REF!,MATCH('data '!$B489,#REF!,0),MATCH('data '!R$3,#REF!,0))=0,"",INDEX(#REF!,MATCH('data '!$B489,#REF!,0),MATCH('data '!R$3,#REF!,0)))</f>
        <v>#REF!</v>
      </c>
      <c r="S489" s="29" t="e">
        <f>IF(INDEX(#REF!,MATCH('data '!$B489,#REF!,0),MATCH('data '!S$3,#REF!,0))=0,"",INDEX(#REF!,MATCH('data '!$B489,#REF!,0),MATCH('data '!S$3,#REF!,0)))</f>
        <v>#REF!</v>
      </c>
      <c r="T489" s="29" t="e">
        <f>IF(INDEX(#REF!,MATCH('data '!$B489,#REF!,0),MATCH('data '!T$3,#REF!,0))=0,"",INDEX(#REF!,MATCH('data '!$B489,#REF!,0),MATCH('data '!T$3,#REF!,0)))</f>
        <v>#REF!</v>
      </c>
      <c r="V489" s="25" t="s">
        <v>204</v>
      </c>
      <c r="W489" s="25">
        <v>0</v>
      </c>
      <c r="AC489" s="8" t="e">
        <f>VLOOKUP(B489,#REF!,19,0)</f>
        <v>#REF!</v>
      </c>
      <c r="AP489" s="8" t="str">
        <f t="shared" si="22"/>
        <v>Not yet endorsed</v>
      </c>
      <c r="AQ489" s="10" t="b" cm="1">
        <f t="array" aca="1" ref="AQ489" ca="1">IF(AM489&gt;0,(TODAY()-AM489),IF(AL489&gt;0,(TODAY()-AL489),IF(AK489&gt;0,(TODAY()-AK489,IF(AI489&gt;0,(TODAY()-AI489),IF(AG489&gt;0,(TODAY()-AG489),IF(AF489&gt;0,(TODAY()-AF489),IF(X489&gt;0,(TODAY()-X489)," "))))))))</f>
        <v>0</v>
      </c>
      <c r="BD489" s="2" t="str">
        <f t="shared" si="23"/>
        <v>Not yet endorsed</v>
      </c>
      <c r="BE489" s="2" t="s">
        <v>75</v>
      </c>
      <c r="BG489" s="2" t="e">
        <v>#N/A</v>
      </c>
      <c r="BH489" s="2" t="e" vm="1">
        <v>#REF!</v>
      </c>
    </row>
    <row r="490" spans="2:60" hidden="1" x14ac:dyDescent="0.25">
      <c r="B490" s="2" t="s">
        <v>2376</v>
      </c>
      <c r="C490" s="2" t="s">
        <v>2377</v>
      </c>
      <c r="D490" s="44" t="s">
        <v>2378</v>
      </c>
      <c r="E490" s="2" t="s">
        <v>5</v>
      </c>
      <c r="F490" s="2" t="s">
        <v>382</v>
      </c>
      <c r="G490" s="2" t="s">
        <v>1</v>
      </c>
      <c r="H490" s="2" t="s">
        <v>120</v>
      </c>
      <c r="I490" s="2" t="s">
        <v>140</v>
      </c>
      <c r="J490" s="2" t="s">
        <v>141</v>
      </c>
      <c r="K490" s="2" t="s">
        <v>370</v>
      </c>
      <c r="L490" s="2" t="s">
        <v>393</v>
      </c>
      <c r="M490" s="2">
        <v>0</v>
      </c>
      <c r="N490" s="2">
        <v>0</v>
      </c>
      <c r="O490" s="2">
        <v>0</v>
      </c>
      <c r="P490" s="2" t="s">
        <v>248</v>
      </c>
      <c r="Q490" s="2" t="s">
        <v>73</v>
      </c>
      <c r="R490" s="29" t="e">
        <f>IF(INDEX(#REF!,MATCH('data '!$B490,#REF!,0),MATCH('data '!R$3,#REF!,0))=0,"",INDEX(#REF!,MATCH('data '!$B490,#REF!,0),MATCH('data '!R$3,#REF!,0)))</f>
        <v>#REF!</v>
      </c>
      <c r="S490" s="29" t="e">
        <f>IF(INDEX(#REF!,MATCH('data '!$B490,#REF!,0),MATCH('data '!S$3,#REF!,0))=0,"",INDEX(#REF!,MATCH('data '!$B490,#REF!,0),MATCH('data '!S$3,#REF!,0)))</f>
        <v>#REF!</v>
      </c>
      <c r="T490" s="29" t="e">
        <f>IF(INDEX(#REF!,MATCH('data '!$B490,#REF!,0),MATCH('data '!T$3,#REF!,0))=0,"",INDEX(#REF!,MATCH('data '!$B490,#REF!,0),MATCH('data '!T$3,#REF!,0)))</f>
        <v>#REF!</v>
      </c>
      <c r="V490" s="25" t="s">
        <v>204</v>
      </c>
      <c r="W490" s="25">
        <v>0</v>
      </c>
      <c r="AC490" s="8" t="e">
        <f>VLOOKUP(B490,#REF!,19,0)</f>
        <v>#REF!</v>
      </c>
      <c r="AE490" s="8" t="s">
        <v>389</v>
      </c>
      <c r="AP490" s="8" t="str">
        <f t="shared" si="22"/>
        <v>Not yet endorsed</v>
      </c>
      <c r="AQ490" s="10" t="b" cm="1">
        <f t="array" aca="1" ref="AQ490" ca="1">IF(AM490&gt;0,(TODAY()-AM490),IF(AL490&gt;0,(TODAY()-AL490),IF(AK490&gt;0,(TODAY()-AK490,IF(AI490&gt;0,(TODAY()-AI490),IF(AG490&gt;0,(TODAY()-AG490),IF(AF490&gt;0,(TODAY()-AF490),IF(X490&gt;0,(TODAY()-X490)," "))))))))</f>
        <v>0</v>
      </c>
      <c r="BD490" s="2" t="str">
        <f t="shared" si="23"/>
        <v>Not yet endorsed</v>
      </c>
      <c r="BE490" s="2" t="s">
        <v>75</v>
      </c>
      <c r="BG490" s="2" t="e">
        <v>#N/A</v>
      </c>
      <c r="BH490" s="2" t="e" vm="1">
        <v>#REF!</v>
      </c>
    </row>
    <row r="491" spans="2:60" hidden="1" x14ac:dyDescent="0.25">
      <c r="B491" s="2" t="s">
        <v>2379</v>
      </c>
      <c r="C491" s="2" t="s">
        <v>2380</v>
      </c>
      <c r="D491" s="44" t="s">
        <v>2381</v>
      </c>
      <c r="E491" s="2" t="s">
        <v>5</v>
      </c>
      <c r="F491" s="2" t="s">
        <v>382</v>
      </c>
      <c r="G491" s="2" t="s">
        <v>1</v>
      </c>
      <c r="H491" s="2" t="s">
        <v>120</v>
      </c>
      <c r="I491" s="2" t="s">
        <v>140</v>
      </c>
      <c r="J491" s="2" t="s">
        <v>141</v>
      </c>
      <c r="K491" s="2" t="s">
        <v>370</v>
      </c>
      <c r="L491" s="2" t="s">
        <v>393</v>
      </c>
      <c r="M491" s="2">
        <v>0</v>
      </c>
      <c r="N491" s="2">
        <v>15.89925</v>
      </c>
      <c r="O491" s="2">
        <v>120.405925</v>
      </c>
      <c r="P491" s="2" t="s">
        <v>87</v>
      </c>
      <c r="Q491" s="2" t="s">
        <v>219</v>
      </c>
      <c r="R491" s="29" t="e">
        <f>IF(INDEX(#REF!,MATCH('data '!$B491,#REF!,0),MATCH('data '!R$3,#REF!,0))=0,"",INDEX(#REF!,MATCH('data '!$B491,#REF!,0),MATCH('data '!R$3,#REF!,0)))</f>
        <v>#REF!</v>
      </c>
      <c r="S491" s="29" t="e">
        <f>IF(INDEX(#REF!,MATCH('data '!$B491,#REF!,0),MATCH('data '!S$3,#REF!,0))=0,"",INDEX(#REF!,MATCH('data '!$B491,#REF!,0),MATCH('data '!S$3,#REF!,0)))</f>
        <v>#REF!</v>
      </c>
      <c r="T491" s="29" t="e">
        <f>IF(INDEX(#REF!,MATCH('data '!$B491,#REF!,0),MATCH('data '!T$3,#REF!,0))=0,"",INDEX(#REF!,MATCH('data '!$B491,#REF!,0),MATCH('data '!T$3,#REF!,0)))</f>
        <v>#REF!</v>
      </c>
      <c r="U491" s="8" t="s">
        <v>25</v>
      </c>
      <c r="V491" s="25" t="s">
        <v>383</v>
      </c>
      <c r="W491" s="25" t="s">
        <v>144</v>
      </c>
      <c r="X491" s="9" t="s">
        <v>25</v>
      </c>
      <c r="Y491" s="9">
        <v>45869</v>
      </c>
      <c r="Z491" s="8">
        <v>45817</v>
      </c>
      <c r="AC491" s="8" t="e">
        <f>VLOOKUP(B491,#REF!,19,0)</f>
        <v>#REF!</v>
      </c>
      <c r="AE491" s="8" t="s">
        <v>295</v>
      </c>
      <c r="AF491" s="8">
        <v>45908</v>
      </c>
      <c r="AG491" s="8">
        <v>45908</v>
      </c>
      <c r="AH491" s="8" t="s">
        <v>373</v>
      </c>
      <c r="AI491" s="8">
        <v>45909</v>
      </c>
      <c r="AJ491" s="8" t="s">
        <v>374</v>
      </c>
      <c r="AK491" s="8">
        <v>45916</v>
      </c>
      <c r="AL491" s="11">
        <v>45915</v>
      </c>
      <c r="AM491" s="8">
        <v>45954</v>
      </c>
      <c r="AP491" s="8" t="str">
        <f t="shared" si="22"/>
        <v>Tempo Energized</v>
      </c>
      <c r="AS491" s="8" t="s">
        <v>2382</v>
      </c>
      <c r="AT491" s="8">
        <v>45922</v>
      </c>
      <c r="AU491" s="8">
        <v>45924</v>
      </c>
      <c r="AV491" s="8">
        <v>45936</v>
      </c>
      <c r="AW491" s="8" t="s">
        <v>377</v>
      </c>
      <c r="AX491" s="8">
        <v>45939</v>
      </c>
      <c r="AY491" s="8" t="s">
        <v>378</v>
      </c>
      <c r="AZ491" s="8">
        <v>45930</v>
      </c>
      <c r="BA491" s="8">
        <v>45932</v>
      </c>
      <c r="BD491" s="2" t="str">
        <f t="shared" si="23"/>
        <v>Line Construction Completed</v>
      </c>
      <c r="BE491" s="2">
        <v>8</v>
      </c>
      <c r="BF491" s="2" t="s">
        <v>2356</v>
      </c>
      <c r="BG491" s="2" t="e">
        <v>#N/A</v>
      </c>
      <c r="BH491" s="2" t="e" vm="1">
        <v>#REF!</v>
      </c>
    </row>
    <row r="492" spans="2:60" hidden="1" x14ac:dyDescent="0.25">
      <c r="B492" s="2" t="s">
        <v>2383</v>
      </c>
      <c r="C492" s="2" t="s">
        <v>2384</v>
      </c>
      <c r="D492" s="44" t="s">
        <v>2385</v>
      </c>
      <c r="E492" s="2" t="s">
        <v>5</v>
      </c>
      <c r="F492" s="2" t="s">
        <v>382</v>
      </c>
      <c r="G492" s="2" t="s">
        <v>1</v>
      </c>
      <c r="H492" s="2" t="s">
        <v>120</v>
      </c>
      <c r="I492" s="2" t="s">
        <v>140</v>
      </c>
      <c r="J492" s="2" t="s">
        <v>141</v>
      </c>
      <c r="K492" s="2" t="s">
        <v>370</v>
      </c>
      <c r="L492" s="26" t="s">
        <v>2386</v>
      </c>
      <c r="M492" s="2">
        <v>0</v>
      </c>
      <c r="N492" s="2">
        <v>15.83361</v>
      </c>
      <c r="O492" s="2">
        <v>120.381654</v>
      </c>
      <c r="P492" s="2" t="s">
        <v>87</v>
      </c>
      <c r="Q492" s="2" t="s">
        <v>314</v>
      </c>
      <c r="R492" s="29" t="e">
        <f>IF(INDEX(#REF!,MATCH('data '!$B492,#REF!,0),MATCH('data '!R$3,#REF!,0))=0,"",INDEX(#REF!,MATCH('data '!$B492,#REF!,0),MATCH('data '!R$3,#REF!,0)))</f>
        <v>#REF!</v>
      </c>
      <c r="S492" s="29" t="e">
        <f>IF(INDEX(#REF!,MATCH('data '!$B492,#REF!,0),MATCH('data '!S$3,#REF!,0))=0,"",INDEX(#REF!,MATCH('data '!$B492,#REF!,0),MATCH('data '!S$3,#REF!,0)))</f>
        <v>#REF!</v>
      </c>
      <c r="T492" s="29" t="e">
        <f>IF(INDEX(#REF!,MATCH('data '!$B492,#REF!,0),MATCH('data '!T$3,#REF!,0))=0,"",INDEX(#REF!,MATCH('data '!$B492,#REF!,0),MATCH('data '!T$3,#REF!,0)))</f>
        <v>#REF!</v>
      </c>
      <c r="U492" s="8" t="s">
        <v>25</v>
      </c>
      <c r="V492" s="25" t="s">
        <v>266</v>
      </c>
      <c r="W492" s="25" t="s">
        <v>144</v>
      </c>
      <c r="X492" s="9" t="s">
        <v>25</v>
      </c>
      <c r="Y492" s="9">
        <v>45909</v>
      </c>
      <c r="AC492" s="8" t="e">
        <f>VLOOKUP(B492,#REF!,19,0)</f>
        <v>#REF!</v>
      </c>
      <c r="AE492" s="8" t="s">
        <v>295</v>
      </c>
      <c r="AF492" s="8">
        <v>45938</v>
      </c>
      <c r="AG492" s="8">
        <v>45939</v>
      </c>
      <c r="AH492" s="8" t="s">
        <v>2306</v>
      </c>
      <c r="AI492" s="8">
        <v>45943</v>
      </c>
      <c r="AJ492" s="27" t="s">
        <v>2307</v>
      </c>
      <c r="AK492" s="8">
        <v>45939</v>
      </c>
      <c r="AL492" s="8">
        <v>45987</v>
      </c>
      <c r="AM492" s="8">
        <v>45996</v>
      </c>
      <c r="AP492" s="8" t="str">
        <f t="shared" si="22"/>
        <v>Tempo Energized</v>
      </c>
      <c r="AQ492" s="10" cm="1">
        <f t="array" aca="1" ref="AQ492" ca="1">IF(AM492&gt;0,(TODAY()-AM492),IF(AL492&gt;0,(TODAY()-AL492),IF(AK492&gt;0,(TODAY()-AK492,IF(AI492&gt;0,(TODAY()-AI492),IF(AG492&gt;0,(TODAY()-AG492),IF(AF492&gt;0,(TODAY()-AF492),IF(X492&gt;0,(TODAY()-X492)," "))))))))</f>
        <v>110</v>
      </c>
      <c r="AS492" s="8" t="s">
        <v>956</v>
      </c>
      <c r="AT492" s="8">
        <v>45994</v>
      </c>
      <c r="AU492" s="8">
        <v>45994</v>
      </c>
      <c r="AV492" s="8">
        <v>45994</v>
      </c>
      <c r="AW492" s="8" t="s">
        <v>957</v>
      </c>
      <c r="AX492" s="8">
        <v>45995</v>
      </c>
      <c r="AY492" s="8" t="s">
        <v>958</v>
      </c>
      <c r="BD492" s="2" t="str">
        <f t="shared" si="23"/>
        <v>PO Issued</v>
      </c>
      <c r="BE492" s="2">
        <v>2</v>
      </c>
      <c r="BF492" s="2" t="s">
        <v>1616</v>
      </c>
      <c r="BG492" s="2" t="s">
        <v>540</v>
      </c>
      <c r="BH492" s="2" t="e" vm="1">
        <v>#REF!</v>
      </c>
    </row>
    <row r="493" spans="2:60" hidden="1" x14ac:dyDescent="0.25">
      <c r="B493" s="2" t="s">
        <v>2387</v>
      </c>
      <c r="C493" s="2" t="s">
        <v>2388</v>
      </c>
      <c r="D493" s="44" t="s">
        <v>2389</v>
      </c>
      <c r="E493" s="2" t="s">
        <v>3</v>
      </c>
      <c r="F493" s="2">
        <v>0</v>
      </c>
      <c r="G493" s="2" t="s">
        <v>1</v>
      </c>
      <c r="H493" s="2" t="s">
        <v>120</v>
      </c>
      <c r="I493" s="2" t="s">
        <v>121</v>
      </c>
      <c r="J493" s="2" t="s">
        <v>141</v>
      </c>
      <c r="K493" s="2" t="s">
        <v>370</v>
      </c>
      <c r="L493" s="2" t="s">
        <v>1894</v>
      </c>
      <c r="M493" s="2">
        <v>0</v>
      </c>
      <c r="N493" s="2">
        <v>0</v>
      </c>
      <c r="O493" s="2">
        <v>0</v>
      </c>
      <c r="P493" s="2" t="s">
        <v>248</v>
      </c>
      <c r="Q493" s="2">
        <v>0</v>
      </c>
      <c r="R493" s="29" t="e">
        <f>IF(INDEX(#REF!,MATCH('data '!$B493,#REF!,0),MATCH('data '!R$3,#REF!,0))=0,"",INDEX(#REF!,MATCH('data '!$B493,#REF!,0),MATCH('data '!R$3,#REF!,0)))</f>
        <v>#REF!</v>
      </c>
      <c r="S493" s="29" t="e">
        <f>IF(INDEX(#REF!,MATCH('data '!$B493,#REF!,0),MATCH('data '!S$3,#REF!,0))=0,"",INDEX(#REF!,MATCH('data '!$B493,#REF!,0),MATCH('data '!S$3,#REF!,0)))</f>
        <v>#REF!</v>
      </c>
      <c r="T493" s="29" t="e">
        <f>IF(INDEX(#REF!,MATCH('data '!$B493,#REF!,0),MATCH('data '!T$3,#REF!,0))=0,"",INDEX(#REF!,MATCH('data '!$B493,#REF!,0),MATCH('data '!T$3,#REF!,0)))</f>
        <v>#REF!</v>
      </c>
      <c r="V493" s="25" t="s">
        <v>204</v>
      </c>
      <c r="W493" s="25">
        <v>0</v>
      </c>
      <c r="AC493" s="8" t="e">
        <f>VLOOKUP(B493,#REF!,19,0)</f>
        <v>#REF!</v>
      </c>
      <c r="AP493" s="8" t="str">
        <f t="shared" si="22"/>
        <v>Not yet endorsed</v>
      </c>
      <c r="AQ493" s="10" t="b" cm="1">
        <f t="array" aca="1" ref="AQ493" ca="1">IF(AM493&gt;0,(TODAY()-AM493),IF(AL493&gt;0,(TODAY()-AL493),IF(AK493&gt;0,(TODAY()-AK493,IF(AI493&gt;0,(TODAY()-AI493),IF(AG493&gt;0,(TODAY()-AG493),IF(AF493&gt;0,(TODAY()-AF493),IF(X493&gt;0,(TODAY()-X493)," "))))))))</f>
        <v>0</v>
      </c>
      <c r="BD493" s="2" t="str">
        <f t="shared" si="23"/>
        <v>Not yet endorsed</v>
      </c>
      <c r="BE493" s="2" t="s">
        <v>75</v>
      </c>
      <c r="BG493" s="2" t="e">
        <v>#N/A</v>
      </c>
      <c r="BH493" s="2" t="e" vm="1">
        <v>#REF!</v>
      </c>
    </row>
    <row r="494" spans="2:60" hidden="1" x14ac:dyDescent="0.25">
      <c r="B494" s="2" t="s">
        <v>2390</v>
      </c>
      <c r="C494" s="2" t="s">
        <v>2391</v>
      </c>
      <c r="D494" s="44" t="s">
        <v>2392</v>
      </c>
      <c r="F494" s="2">
        <v>0</v>
      </c>
      <c r="G494" s="2" t="s">
        <v>1</v>
      </c>
      <c r="H494" s="2" t="s">
        <v>120</v>
      </c>
      <c r="I494" s="2" t="s">
        <v>121</v>
      </c>
      <c r="J494" s="2" t="e">
        <v>#N/A</v>
      </c>
      <c r="K494" s="2" t="e">
        <v>#N/A</v>
      </c>
      <c r="L494" s="2" t="e">
        <v>#N/A</v>
      </c>
      <c r="M494" s="2" t="e">
        <v>#N/A</v>
      </c>
      <c r="N494" s="2" t="e">
        <v>#N/A</v>
      </c>
      <c r="O494" s="2" t="e">
        <v>#N/A</v>
      </c>
      <c r="P494" s="2" t="s">
        <v>125</v>
      </c>
      <c r="Q494" s="2">
        <v>0</v>
      </c>
      <c r="R494" s="29" t="e">
        <f>IF(INDEX(#REF!,MATCH('data '!$B494,#REF!,0),MATCH('data '!R$3,#REF!,0))=0,"",INDEX(#REF!,MATCH('data '!$B494,#REF!,0),MATCH('data '!R$3,#REF!,0)))</f>
        <v>#REF!</v>
      </c>
      <c r="S494" s="29" t="e">
        <f>IF(INDEX(#REF!,MATCH('data '!$B494,#REF!,0),MATCH('data '!S$3,#REF!,0))=0,"",INDEX(#REF!,MATCH('data '!$B494,#REF!,0),MATCH('data '!S$3,#REF!,0)))</f>
        <v>#REF!</v>
      </c>
      <c r="T494" s="29" t="e">
        <f>IF(INDEX(#REF!,MATCH('data '!$B494,#REF!,0),MATCH('data '!T$3,#REF!,0))=0,"",INDEX(#REF!,MATCH('data '!$B494,#REF!,0),MATCH('data '!T$3,#REF!,0)))</f>
        <v>#REF!</v>
      </c>
      <c r="V494" s="25" t="s">
        <v>731</v>
      </c>
      <c r="W494" s="25">
        <v>0</v>
      </c>
      <c r="AC494" s="8" t="e">
        <f>VLOOKUP(B494,#REF!,19,0)</f>
        <v>#REF!</v>
      </c>
      <c r="AP494" s="8" t="str">
        <f t="shared" si="22"/>
        <v>Not yet endorsed</v>
      </c>
      <c r="AQ494" s="10" t="b" cm="1">
        <f t="array" aca="1" ref="AQ494" ca="1">IF(AM494&gt;0,(TODAY()-AM494),IF(AL494&gt;0,(TODAY()-AL494),IF(AK494&gt;0,(TODAY()-AK494,IF(AI494&gt;0,(TODAY()-AI494),IF(AG494&gt;0,(TODAY()-AG494),IF(AF494&gt;0,(TODAY()-AF494),IF(X494&gt;0,(TODAY()-X494)," "))))))))</f>
        <v>0</v>
      </c>
      <c r="BD494" s="2" t="str">
        <f t="shared" si="23"/>
        <v>Not yet endorsed</v>
      </c>
      <c r="BE494" s="2" t="s">
        <v>75</v>
      </c>
      <c r="BG494" s="2" t="e">
        <v>#N/A</v>
      </c>
    </row>
    <row r="495" spans="2:60" hidden="1" x14ac:dyDescent="0.25">
      <c r="B495" s="2" t="s">
        <v>2393</v>
      </c>
      <c r="C495" s="2" t="s">
        <v>2394</v>
      </c>
      <c r="D495" s="44" t="s">
        <v>2395</v>
      </c>
      <c r="F495" s="2">
        <v>0</v>
      </c>
      <c r="G495" s="2" t="s">
        <v>1</v>
      </c>
      <c r="H495" s="2" t="s">
        <v>120</v>
      </c>
      <c r="I495" s="2" t="s">
        <v>121</v>
      </c>
      <c r="J495" s="2" t="e">
        <v>#N/A</v>
      </c>
      <c r="K495" s="2" t="e">
        <v>#N/A</v>
      </c>
      <c r="L495" s="2" t="e">
        <v>#N/A</v>
      </c>
      <c r="M495" s="2" t="e">
        <v>#N/A</v>
      </c>
      <c r="N495" s="2" t="e">
        <v>#N/A</v>
      </c>
      <c r="O495" s="2" t="e">
        <v>#N/A</v>
      </c>
      <c r="P495" s="2" t="s">
        <v>789</v>
      </c>
      <c r="Q495" s="2">
        <v>0</v>
      </c>
      <c r="R495" s="29" t="e">
        <f>IF(INDEX(#REF!,MATCH('data '!$B495,#REF!,0),MATCH('data '!R$3,#REF!,0))=0,"",INDEX(#REF!,MATCH('data '!$B495,#REF!,0),MATCH('data '!R$3,#REF!,0)))</f>
        <v>#REF!</v>
      </c>
      <c r="S495" s="29" t="e">
        <f>IF(INDEX(#REF!,MATCH('data '!$B495,#REF!,0),MATCH('data '!S$3,#REF!,0))=0,"",INDEX(#REF!,MATCH('data '!$B495,#REF!,0),MATCH('data '!S$3,#REF!,0)))</f>
        <v>#REF!</v>
      </c>
      <c r="T495" s="29" t="e">
        <f>IF(INDEX(#REF!,MATCH('data '!$B495,#REF!,0),MATCH('data '!T$3,#REF!,0))=0,"",INDEX(#REF!,MATCH('data '!$B495,#REF!,0),MATCH('data '!T$3,#REF!,0)))</f>
        <v>#REF!</v>
      </c>
      <c r="V495" s="25" t="s">
        <v>204</v>
      </c>
      <c r="W495" s="25">
        <v>0</v>
      </c>
      <c r="AC495" s="8" t="e">
        <f>VLOOKUP(B495,#REF!,19,0)</f>
        <v>#REF!</v>
      </c>
      <c r="AP495" s="8" t="str">
        <f t="shared" si="22"/>
        <v>Not yet endorsed</v>
      </c>
      <c r="AQ495" s="10" t="b" cm="1">
        <f t="array" aca="1" ref="AQ495" ca="1">IF(AM495&gt;0,(TODAY()-AM495),IF(AL495&gt;0,(TODAY()-AL495),IF(AK495&gt;0,(TODAY()-AK495,IF(AI495&gt;0,(TODAY()-AI495),IF(AG495&gt;0,(TODAY()-AG495),IF(AF495&gt;0,(TODAY()-AF495),IF(X495&gt;0,(TODAY()-X495)," "))))))))</f>
        <v>0</v>
      </c>
      <c r="BD495" s="2" t="str">
        <f t="shared" si="23"/>
        <v>Not yet endorsed</v>
      </c>
      <c r="BE495" s="2" t="s">
        <v>75</v>
      </c>
      <c r="BG495" s="2" t="e">
        <v>#N/A</v>
      </c>
    </row>
    <row r="496" spans="2:60" hidden="1" x14ac:dyDescent="0.25">
      <c r="B496" s="26" t="s">
        <v>2396</v>
      </c>
      <c r="C496" s="26" t="s">
        <v>2397</v>
      </c>
      <c r="D496" s="46" t="s">
        <v>2398</v>
      </c>
      <c r="E496" s="2" t="s">
        <v>5</v>
      </c>
      <c r="F496" s="2" t="s">
        <v>1613</v>
      </c>
      <c r="G496" s="2" t="s">
        <v>1</v>
      </c>
      <c r="H496" s="2" t="s">
        <v>120</v>
      </c>
      <c r="I496" s="2" t="s">
        <v>140</v>
      </c>
      <c r="J496" s="2" t="s">
        <v>141</v>
      </c>
      <c r="K496" s="2" t="s">
        <v>370</v>
      </c>
      <c r="L496" s="2" t="s">
        <v>836</v>
      </c>
      <c r="M496" s="2">
        <v>0</v>
      </c>
      <c r="N496" s="2">
        <v>16.257375</v>
      </c>
      <c r="O496" s="2">
        <v>119.891465</v>
      </c>
      <c r="P496" s="2" t="s">
        <v>87</v>
      </c>
      <c r="Q496" s="2" t="s">
        <v>73</v>
      </c>
      <c r="R496" s="29" t="e">
        <f>IF(INDEX(#REF!,MATCH('data '!$B496,#REF!,0),MATCH('data '!R$3,#REF!,0))=0,"",INDEX(#REF!,MATCH('data '!$B496,#REF!,0),MATCH('data '!R$3,#REF!,0)))</f>
        <v>#REF!</v>
      </c>
      <c r="S496" s="29" t="e">
        <f>IF(INDEX(#REF!,MATCH('data '!$B496,#REF!,0),MATCH('data '!S$3,#REF!,0))=0,"",INDEX(#REF!,MATCH('data '!$B496,#REF!,0),MATCH('data '!S$3,#REF!,0)))</f>
        <v>#REF!</v>
      </c>
      <c r="T496" s="29" t="e">
        <f>IF(INDEX(#REF!,MATCH('data '!$B496,#REF!,0),MATCH('data '!T$3,#REF!,0))=0,"",INDEX(#REF!,MATCH('data '!$B496,#REF!,0),MATCH('data '!T$3,#REF!,0)))</f>
        <v>#REF!</v>
      </c>
      <c r="V496" s="25" t="s">
        <v>351</v>
      </c>
      <c r="W496" s="25" t="s">
        <v>144</v>
      </c>
      <c r="X496" s="9" t="s">
        <v>25</v>
      </c>
      <c r="Y496" s="9">
        <v>45915</v>
      </c>
      <c r="AC496" s="8" t="e">
        <f>VLOOKUP(B496,#REF!,19,0)</f>
        <v>#REF!</v>
      </c>
      <c r="AE496" s="8" t="s">
        <v>295</v>
      </c>
      <c r="AF496" s="8">
        <v>45938</v>
      </c>
      <c r="AG496" s="8">
        <v>45939</v>
      </c>
      <c r="AH496" s="8" t="s">
        <v>2306</v>
      </c>
      <c r="AI496" s="8">
        <v>45943</v>
      </c>
      <c r="AJ496" s="8" t="s">
        <v>2307</v>
      </c>
      <c r="AK496" s="8">
        <v>45939</v>
      </c>
      <c r="AP496" s="8" t="str">
        <f t="shared" si="22"/>
        <v>COOP Surveyed</v>
      </c>
      <c r="AQ496" s="10" t="e" cm="1">
        <f t="array" aca="1" ref="AQ496" ca="1">IF(AM496&gt;0,(TODAY()-AM496),IF(AL496&gt;0,(TODAY()-AL496),IF(AK496&gt;0,(TODAY()-AK496,IF(AI496&gt;0,(TODAY()-AI496),IF(AG496&gt;0,(TODAY()-AG496),IF(AF496&gt;0,(TODAY()-AF496),IF(X496&gt;0,(TODAY()-X496)," "))))))))</f>
        <v>#VALUE!</v>
      </c>
      <c r="AS496" s="8" t="s">
        <v>956</v>
      </c>
      <c r="AT496" s="8">
        <v>45994</v>
      </c>
      <c r="AU496" s="8">
        <v>45994</v>
      </c>
      <c r="AV496" s="8">
        <v>45994</v>
      </c>
      <c r="AW496" s="8" t="s">
        <v>957</v>
      </c>
      <c r="AX496" s="8">
        <v>45995</v>
      </c>
      <c r="AY496" s="8" t="s">
        <v>958</v>
      </c>
      <c r="BD496" s="2" t="str">
        <f t="shared" si="23"/>
        <v>PO Issued</v>
      </c>
      <c r="BE496" s="2">
        <v>2</v>
      </c>
      <c r="BF496" s="2" t="s">
        <v>1616</v>
      </c>
      <c r="BG496" s="2" t="s">
        <v>540</v>
      </c>
      <c r="BH496" s="2" t="e" vm="1">
        <v>#REF!</v>
      </c>
    </row>
    <row r="497" spans="2:60" hidden="1" x14ac:dyDescent="0.25">
      <c r="B497" s="2" t="s">
        <v>2399</v>
      </c>
      <c r="C497" s="2" t="s">
        <v>2400</v>
      </c>
      <c r="D497" s="44" t="s">
        <v>2401</v>
      </c>
      <c r="E497" s="2" t="s">
        <v>5</v>
      </c>
      <c r="F497" s="2" t="s">
        <v>1916</v>
      </c>
      <c r="G497" s="2" t="s">
        <v>1</v>
      </c>
      <c r="H497" s="2" t="s">
        <v>120</v>
      </c>
      <c r="I497" s="2" t="s">
        <v>140</v>
      </c>
      <c r="J497" s="2" t="s">
        <v>141</v>
      </c>
      <c r="K497" s="2" t="s">
        <v>370</v>
      </c>
      <c r="L497" s="2" t="s">
        <v>1917</v>
      </c>
      <c r="M497" s="2" t="s">
        <v>305</v>
      </c>
      <c r="N497" s="2">
        <v>16.149121600000001</v>
      </c>
      <c r="O497" s="2">
        <v>120.5228456</v>
      </c>
      <c r="P497" s="2" t="s">
        <v>87</v>
      </c>
      <c r="Q497" s="2" t="s">
        <v>265</v>
      </c>
      <c r="R497" s="29" t="e">
        <f>IF(INDEX(#REF!,MATCH('data '!$B497,#REF!,0),MATCH('data '!R$3,#REF!,0))=0,"",INDEX(#REF!,MATCH('data '!$B497,#REF!,0),MATCH('data '!R$3,#REF!,0)))</f>
        <v>#REF!</v>
      </c>
      <c r="S497" s="29" t="e">
        <f>IF(INDEX(#REF!,MATCH('data '!$B497,#REF!,0),MATCH('data '!S$3,#REF!,0))=0,"",INDEX(#REF!,MATCH('data '!$B497,#REF!,0),MATCH('data '!S$3,#REF!,0)))</f>
        <v>#REF!</v>
      </c>
      <c r="T497" s="29" t="e">
        <f>IF(INDEX(#REF!,MATCH('data '!$B497,#REF!,0),MATCH('data '!T$3,#REF!,0))=0,"",INDEX(#REF!,MATCH('data '!$B497,#REF!,0),MATCH('data '!T$3,#REF!,0)))</f>
        <v>#REF!</v>
      </c>
      <c r="U497" s="8" t="s">
        <v>25</v>
      </c>
      <c r="V497" s="25" t="s">
        <v>266</v>
      </c>
      <c r="W497" s="25" t="s">
        <v>144</v>
      </c>
      <c r="X497" s="9" t="s">
        <v>25</v>
      </c>
      <c r="Y497" s="9">
        <v>45793</v>
      </c>
      <c r="Z497" s="8">
        <v>45967</v>
      </c>
      <c r="AA497" s="8" t="s">
        <v>2402</v>
      </c>
      <c r="AB497" s="8">
        <v>45931</v>
      </c>
      <c r="AC497" s="8" t="e">
        <f>VLOOKUP(B497,#REF!,19,0)</f>
        <v>#REF!</v>
      </c>
      <c r="AE497" s="8" t="s">
        <v>295</v>
      </c>
      <c r="AF497" s="8">
        <v>45915</v>
      </c>
      <c r="AG497" s="8">
        <v>45946</v>
      </c>
      <c r="AH497" s="8" t="s">
        <v>954</v>
      </c>
      <c r="AI497" s="8">
        <v>45950</v>
      </c>
      <c r="AJ497" s="8" t="s">
        <v>955</v>
      </c>
      <c r="AK497" s="8">
        <v>45916</v>
      </c>
      <c r="AL497" s="8">
        <v>45947</v>
      </c>
      <c r="AM497" s="8">
        <v>45966</v>
      </c>
      <c r="AP497" s="8" t="str">
        <f t="shared" si="22"/>
        <v>Tempo Energized</v>
      </c>
      <c r="AQ497" s="10" cm="1">
        <f t="array" aca="1" ref="AQ497" ca="1">IF(AM497&gt;0,(TODAY()-AM497),IF(AL497&gt;0,(TODAY()-AL497),IF(AK497&gt;0,(TODAY()-AK497,IF(AI497&gt;0,(TODAY()-AI497),IF(AG497&gt;0,(TODAY()-AG497),IF(AF497&gt;0,(TODAY()-AF497),IF(X497&gt;0,(TODAY()-X497)," "))))))))</f>
        <v>140</v>
      </c>
      <c r="AR497" s="10" t="s">
        <v>2403</v>
      </c>
      <c r="AS497" s="8" t="s">
        <v>2404</v>
      </c>
      <c r="AT497" s="8">
        <v>45922</v>
      </c>
      <c r="AU497" s="8">
        <v>45924</v>
      </c>
      <c r="AV497" s="8">
        <v>45936</v>
      </c>
      <c r="AW497" s="8" t="s">
        <v>377</v>
      </c>
      <c r="AX497" s="8">
        <v>45939</v>
      </c>
      <c r="AY497" s="8" t="s">
        <v>378</v>
      </c>
      <c r="AZ497" s="8">
        <v>45923</v>
      </c>
      <c r="BA497" s="8">
        <v>45929</v>
      </c>
      <c r="BB497" s="8">
        <v>45976</v>
      </c>
      <c r="BC497" s="8">
        <v>46000</v>
      </c>
      <c r="BD497" s="2" t="str">
        <f t="shared" si="23"/>
        <v>Permanent Energized</v>
      </c>
      <c r="BE497" s="2">
        <v>11</v>
      </c>
      <c r="BF497" s="2" t="s">
        <v>2405</v>
      </c>
      <c r="BG497" s="2" t="e">
        <v>#N/A</v>
      </c>
      <c r="BH497" s="2" t="e" vm="1">
        <v>#REF!</v>
      </c>
    </row>
    <row r="498" spans="2:60" hidden="1" x14ac:dyDescent="0.25">
      <c r="B498" s="2" t="s">
        <v>2406</v>
      </c>
      <c r="C498" s="2" t="s">
        <v>2407</v>
      </c>
      <c r="D498" s="44" t="s">
        <v>2408</v>
      </c>
      <c r="E498" s="2" t="s">
        <v>5</v>
      </c>
      <c r="F498" s="2" t="s">
        <v>382</v>
      </c>
      <c r="G498" s="2" t="s">
        <v>1</v>
      </c>
      <c r="H498" s="2" t="s">
        <v>120</v>
      </c>
      <c r="I498" s="2" t="s">
        <v>140</v>
      </c>
      <c r="J498" s="2" t="s">
        <v>141</v>
      </c>
      <c r="K498" s="2" t="s">
        <v>370</v>
      </c>
      <c r="L498" s="26" t="s">
        <v>2386</v>
      </c>
      <c r="M498" s="2">
        <v>0</v>
      </c>
      <c r="N498" s="2">
        <v>15.8154</v>
      </c>
      <c r="O498" s="2">
        <v>120.3395</v>
      </c>
      <c r="P498" s="2" t="s">
        <v>87</v>
      </c>
      <c r="Q498" s="2" t="s">
        <v>265</v>
      </c>
      <c r="R498" s="29" t="e">
        <f>IF(INDEX(#REF!,MATCH('data '!$B498,#REF!,0),MATCH('data '!R$3,#REF!,0))=0,"",INDEX(#REF!,MATCH('data '!$B498,#REF!,0),MATCH('data '!R$3,#REF!,0)))</f>
        <v>#REF!</v>
      </c>
      <c r="S498" s="29" t="e">
        <f>IF(INDEX(#REF!,MATCH('data '!$B498,#REF!,0),MATCH('data '!S$3,#REF!,0))=0,"",INDEX(#REF!,MATCH('data '!$B498,#REF!,0),MATCH('data '!S$3,#REF!,0)))</f>
        <v>#REF!</v>
      </c>
      <c r="T498" s="29" t="e">
        <f>IF(INDEX(#REF!,MATCH('data '!$B498,#REF!,0),MATCH('data '!T$3,#REF!,0))=0,"",INDEX(#REF!,MATCH('data '!$B498,#REF!,0),MATCH('data '!T$3,#REF!,0)))</f>
        <v>#REF!</v>
      </c>
      <c r="U498" s="8" t="s">
        <v>25</v>
      </c>
      <c r="V498" s="25" t="s">
        <v>266</v>
      </c>
      <c r="W498" s="25" t="s">
        <v>144</v>
      </c>
      <c r="X498" s="9" t="s">
        <v>25</v>
      </c>
      <c r="Y498" s="9">
        <v>45803</v>
      </c>
      <c r="Z498" s="8">
        <v>45875</v>
      </c>
      <c r="AA498" s="8" t="s">
        <v>2354</v>
      </c>
      <c r="AB498" s="8">
        <v>45905</v>
      </c>
      <c r="AC498" s="8" t="e">
        <f>VLOOKUP(B498,#REF!,19,0)</f>
        <v>#REF!</v>
      </c>
      <c r="AE498" s="8" t="s">
        <v>295</v>
      </c>
      <c r="AF498" s="8">
        <v>45915</v>
      </c>
      <c r="AG498" s="8">
        <v>45952</v>
      </c>
      <c r="AH498" s="8" t="s">
        <v>815</v>
      </c>
      <c r="AI498" s="8">
        <v>45958</v>
      </c>
      <c r="AJ498" s="8" t="s">
        <v>816</v>
      </c>
      <c r="AK498" s="8">
        <v>45916</v>
      </c>
      <c r="AL498" s="8">
        <v>45940</v>
      </c>
      <c r="AM498" s="8">
        <v>45947</v>
      </c>
      <c r="AP498" s="8" t="str">
        <f t="shared" si="22"/>
        <v>Tempo Energized</v>
      </c>
      <c r="AQ498" s="10" cm="1">
        <f t="array" aca="1" ref="AQ498" ca="1">IF(AM498&gt;0,(TODAY()-AM498),IF(AL498&gt;0,(TODAY()-AL498),IF(AK498&gt;0,(TODAY()-AK498,IF(AI498&gt;0,(TODAY()-AI498),IF(AG498&gt;0,(TODAY()-AG498),IF(AF498&gt;0,(TODAY()-AF498),IF(X498&gt;0,(TODAY()-X498)," "))))))))</f>
        <v>159</v>
      </c>
      <c r="AS498" s="8" t="s">
        <v>2355</v>
      </c>
      <c r="AT498" s="8">
        <v>45922</v>
      </c>
      <c r="AU498" s="8">
        <v>45924</v>
      </c>
      <c r="AV498" s="8">
        <v>45936</v>
      </c>
      <c r="AW498" s="8" t="s">
        <v>377</v>
      </c>
      <c r="AX498" s="8">
        <v>45939</v>
      </c>
      <c r="AY498" s="8" t="s">
        <v>378</v>
      </c>
      <c r="AZ498" s="8">
        <v>45945</v>
      </c>
      <c r="BA498" s="8" t="s">
        <v>75</v>
      </c>
      <c r="BD498" s="2" t="str">
        <f t="shared" si="23"/>
        <v>Line Construction Completed</v>
      </c>
      <c r="BE498" s="2">
        <v>11</v>
      </c>
      <c r="BF498" s="2" t="s">
        <v>2356</v>
      </c>
      <c r="BG498" s="2" t="e">
        <v>#N/A</v>
      </c>
      <c r="BH498" s="2" t="e" vm="1">
        <v>#REF!</v>
      </c>
    </row>
    <row r="499" spans="2:60" hidden="1" x14ac:dyDescent="0.25">
      <c r="B499" s="2" t="s">
        <v>2409</v>
      </c>
      <c r="C499" s="2" t="s">
        <v>2410</v>
      </c>
      <c r="D499" s="44" t="s">
        <v>2411</v>
      </c>
      <c r="E499" s="2" t="s">
        <v>4</v>
      </c>
      <c r="F499" s="2" t="s">
        <v>1118</v>
      </c>
      <c r="G499" s="2" t="s">
        <v>1</v>
      </c>
      <c r="H499" s="2" t="s">
        <v>139</v>
      </c>
      <c r="I499" s="2" t="s">
        <v>140</v>
      </c>
      <c r="J499" s="2" t="s">
        <v>122</v>
      </c>
      <c r="K499" s="2" t="s">
        <v>359</v>
      </c>
      <c r="L499" s="2" t="s">
        <v>2412</v>
      </c>
      <c r="M499" s="2">
        <v>0</v>
      </c>
      <c r="N499" s="2">
        <v>0</v>
      </c>
      <c r="O499" s="2">
        <v>0</v>
      </c>
      <c r="P499" s="2" t="s">
        <v>116</v>
      </c>
      <c r="Q499" s="2" t="s">
        <v>73</v>
      </c>
      <c r="R499" s="29" t="e">
        <f>IF(INDEX(#REF!,MATCH('data '!$B499,#REF!,0),MATCH('data '!R$3,#REF!,0))=0,"",INDEX(#REF!,MATCH('data '!$B499,#REF!,0),MATCH('data '!R$3,#REF!,0)))</f>
        <v>#REF!</v>
      </c>
      <c r="S499" s="29" t="e">
        <f>IF(INDEX(#REF!,MATCH('data '!$B499,#REF!,0),MATCH('data '!S$3,#REF!,0))=0,"",INDEX(#REF!,MATCH('data '!$B499,#REF!,0),MATCH('data '!S$3,#REF!,0)))</f>
        <v>#REF!</v>
      </c>
      <c r="T499" s="29" t="e">
        <f>IF(INDEX(#REF!,MATCH('data '!$B499,#REF!,0),MATCH('data '!T$3,#REF!,0))=0,"",INDEX(#REF!,MATCH('data '!$B499,#REF!,0),MATCH('data '!T$3,#REF!,0)))</f>
        <v>#REF!</v>
      </c>
      <c r="U499" s="8" t="s">
        <v>25</v>
      </c>
      <c r="V499" s="25" t="s">
        <v>74</v>
      </c>
      <c r="W499" s="25">
        <v>0</v>
      </c>
      <c r="AC499" s="8" t="e">
        <f>VLOOKUP(B499,#REF!,19,0)</f>
        <v>#REF!</v>
      </c>
      <c r="AP499" s="8" t="str">
        <f t="shared" si="22"/>
        <v>Not yet endorsed</v>
      </c>
      <c r="AQ499" s="10" t="b" cm="1">
        <f t="array" aca="1" ref="AQ499" ca="1">IF(AM499&gt;0,(TODAY()-AM499),IF(AL499&gt;0,(TODAY()-AL499),IF(AK499&gt;0,(TODAY()-AK499,IF(AI499&gt;0,(TODAY()-AI499),IF(AG499&gt;0,(TODAY()-AG499),IF(AF499&gt;0,(TODAY()-AF499),IF(X499&gt;0,(TODAY()-X499)," "))))))))</f>
        <v>0</v>
      </c>
      <c r="BD499" s="2" t="str">
        <f t="shared" si="23"/>
        <v>TSSR Approved</v>
      </c>
      <c r="BE499" s="2" t="e">
        <v>#VALUE!</v>
      </c>
      <c r="BG499" s="2" t="e">
        <v>#N/A</v>
      </c>
    </row>
    <row r="500" spans="2:60" hidden="1" x14ac:dyDescent="0.25">
      <c r="B500" s="7" t="s">
        <v>2413</v>
      </c>
      <c r="C500" s="2" t="s">
        <v>2414</v>
      </c>
      <c r="D500" s="44" t="s">
        <v>2415</v>
      </c>
      <c r="E500" s="2" t="s">
        <v>4</v>
      </c>
      <c r="F500" s="2" t="s">
        <v>358</v>
      </c>
      <c r="G500" s="2" t="s">
        <v>1</v>
      </c>
      <c r="H500" s="2" t="s">
        <v>139</v>
      </c>
      <c r="I500" s="2" t="s">
        <v>140</v>
      </c>
      <c r="J500" s="2" t="s">
        <v>122</v>
      </c>
      <c r="K500" s="2" t="s">
        <v>359</v>
      </c>
      <c r="L500" s="2" t="s">
        <v>1680</v>
      </c>
      <c r="M500" s="2">
        <v>0</v>
      </c>
      <c r="N500" s="2">
        <v>15.703785</v>
      </c>
      <c r="O500" s="2">
        <v>120.420253</v>
      </c>
      <c r="P500" s="2" t="s">
        <v>87</v>
      </c>
      <c r="Q500" s="2" t="s">
        <v>314</v>
      </c>
      <c r="R500" s="29" t="e">
        <f>IF(INDEX(#REF!,MATCH('data '!$B500,#REF!,0),MATCH('data '!R$3,#REF!,0))=0,"",INDEX(#REF!,MATCH('data '!$B500,#REF!,0),MATCH('data '!R$3,#REF!,0)))</f>
        <v>#REF!</v>
      </c>
      <c r="S500" s="29" t="e">
        <f>IF(INDEX(#REF!,MATCH('data '!$B500,#REF!,0),MATCH('data '!S$3,#REF!,0))=0,"",INDEX(#REF!,MATCH('data '!$B500,#REF!,0),MATCH('data '!S$3,#REF!,0)))</f>
        <v>#REF!</v>
      </c>
      <c r="T500" s="29" t="e">
        <f>IF(INDEX(#REF!,MATCH('data '!$B500,#REF!,0),MATCH('data '!T$3,#REF!,0))=0,"",INDEX(#REF!,MATCH('data '!$B500,#REF!,0),MATCH('data '!T$3,#REF!,0)))</f>
        <v>#REF!</v>
      </c>
      <c r="U500" s="8" t="s">
        <v>25</v>
      </c>
      <c r="V500" s="25" t="s">
        <v>160</v>
      </c>
      <c r="W500" s="25" t="s">
        <v>144</v>
      </c>
      <c r="X500" s="9" t="s">
        <v>25</v>
      </c>
      <c r="Y500" s="9">
        <v>45911</v>
      </c>
      <c r="AC500" s="8" t="e">
        <f>VLOOKUP(B500,#REF!,19,0)</f>
        <v>#REF!</v>
      </c>
      <c r="AE500" s="8" t="s">
        <v>1681</v>
      </c>
      <c r="AF500" s="8">
        <v>45938</v>
      </c>
      <c r="AG500" s="8">
        <v>45939</v>
      </c>
      <c r="AH500" s="8" t="s">
        <v>2143</v>
      </c>
      <c r="AI500" s="8">
        <v>45943</v>
      </c>
      <c r="AJ500" s="8" t="s">
        <v>2144</v>
      </c>
      <c r="AK500" s="8">
        <v>45981</v>
      </c>
      <c r="AL500" s="8">
        <v>45980</v>
      </c>
      <c r="AM500" s="8">
        <v>45986</v>
      </c>
      <c r="AP500" s="8" t="str">
        <f t="shared" si="22"/>
        <v>Tempo Energized</v>
      </c>
      <c r="AQ500" s="10" cm="1">
        <f t="array" aca="1" ref="AQ500" ca="1">IF(AM500&gt;0,(TODAY()-AM500),IF(AL500&gt;0,(TODAY()-AL500),IF(AK500&gt;0,(TODAY()-AK500,IF(AI500&gt;0,(TODAY()-AI500),IF(AG500&gt;0,(TODAY()-AG500),IF(AF500&gt;0,(TODAY()-AF500),IF(X500&gt;0,(TODAY()-X500)," "))))))))</f>
        <v>120</v>
      </c>
      <c r="AT500" s="8">
        <v>45973</v>
      </c>
      <c r="AU500" s="8">
        <v>45986</v>
      </c>
      <c r="AV500" s="8">
        <v>45986</v>
      </c>
      <c r="AW500" s="8" t="s">
        <v>2416</v>
      </c>
      <c r="AX500" s="8">
        <v>45987</v>
      </c>
      <c r="AY500" s="8" t="s">
        <v>2417</v>
      </c>
      <c r="BD500" s="2" t="str">
        <f t="shared" si="23"/>
        <v>PO Issued</v>
      </c>
      <c r="BE500" s="2">
        <v>2</v>
      </c>
      <c r="BF500" s="2" t="s">
        <v>2147</v>
      </c>
      <c r="BG500" s="2" t="s">
        <v>1684</v>
      </c>
    </row>
    <row r="501" spans="2:60" hidden="1" x14ac:dyDescent="0.25">
      <c r="B501" s="2" t="s">
        <v>2418</v>
      </c>
      <c r="C501" s="2" t="s">
        <v>2419</v>
      </c>
      <c r="D501" s="44" t="s">
        <v>2420</v>
      </c>
      <c r="E501" s="2" t="s">
        <v>4</v>
      </c>
      <c r="F501" s="2" t="s">
        <v>358</v>
      </c>
      <c r="G501" s="2" t="s">
        <v>1</v>
      </c>
      <c r="H501" s="2" t="s">
        <v>139</v>
      </c>
      <c r="I501" s="2" t="s">
        <v>140</v>
      </c>
      <c r="J501" s="2" t="s">
        <v>122</v>
      </c>
      <c r="K501" s="2" t="s">
        <v>359</v>
      </c>
      <c r="L501" s="2" t="s">
        <v>1680</v>
      </c>
      <c r="M501" s="2">
        <v>0</v>
      </c>
      <c r="N501" s="2">
        <v>15.64207</v>
      </c>
      <c r="O501" s="2">
        <v>120.43499</v>
      </c>
      <c r="P501" s="2" t="s">
        <v>87</v>
      </c>
      <c r="Q501" s="2" t="s">
        <v>265</v>
      </c>
      <c r="R501" s="29" t="e">
        <f>IF(INDEX(#REF!,MATCH('data '!$B501,#REF!,0),MATCH('data '!R$3,#REF!,0))=0,"",INDEX(#REF!,MATCH('data '!$B501,#REF!,0),MATCH('data '!R$3,#REF!,0)))</f>
        <v>#REF!</v>
      </c>
      <c r="S501" s="29" t="e">
        <f>IF(INDEX(#REF!,MATCH('data '!$B501,#REF!,0),MATCH('data '!S$3,#REF!,0))=0,"",INDEX(#REF!,MATCH('data '!$B501,#REF!,0),MATCH('data '!S$3,#REF!,0)))</f>
        <v>#REF!</v>
      </c>
      <c r="T501" s="29" t="e">
        <f>IF(INDEX(#REF!,MATCH('data '!$B501,#REF!,0),MATCH('data '!T$3,#REF!,0))=0,"",INDEX(#REF!,MATCH('data '!$B501,#REF!,0),MATCH('data '!T$3,#REF!,0)))</f>
        <v>#REF!</v>
      </c>
      <c r="U501" s="8" t="s">
        <v>25</v>
      </c>
      <c r="V501" s="25" t="s">
        <v>185</v>
      </c>
      <c r="W501" s="25" t="s">
        <v>144</v>
      </c>
      <c r="X501" s="9" t="s">
        <v>25</v>
      </c>
      <c r="Y501" s="9">
        <v>45833</v>
      </c>
      <c r="Z501" s="8">
        <v>45876</v>
      </c>
      <c r="AA501" s="8" t="s">
        <v>2421</v>
      </c>
      <c r="AC501" s="8" t="e">
        <f>VLOOKUP(B501,#REF!,19,0)</f>
        <v>#REF!</v>
      </c>
      <c r="AE501" s="8" t="s">
        <v>361</v>
      </c>
      <c r="AF501" s="8">
        <v>45840</v>
      </c>
      <c r="AH501" s="8" t="s">
        <v>362</v>
      </c>
      <c r="AP501" s="8" t="str">
        <f t="shared" si="22"/>
        <v>Vendor Allocated</v>
      </c>
      <c r="AQ501" s="10" t="b" cm="1">
        <f t="array" aca="1" ref="AQ501" ca="1">IF(AM501&gt;0,(TODAY()-AM501),IF(AL501&gt;0,(TODAY()-AL501),IF(AK501&gt;0,(TODAY()-AK501,IF(AI501&gt;0,(TODAY()-AI501),IF(AG501&gt;0,(TODAY()-AG501),IF(AF501&gt;0,(TODAY()-AF501),IF(X501&gt;0,(TODAY()-X501)," "))))))))</f>
        <v>0</v>
      </c>
      <c r="AT501" s="8">
        <v>45947</v>
      </c>
      <c r="AU501" s="8">
        <v>45951</v>
      </c>
      <c r="AV501" s="8">
        <v>45951</v>
      </c>
      <c r="AW501" s="8" t="s">
        <v>2422</v>
      </c>
      <c r="AX501" s="8">
        <v>45957</v>
      </c>
      <c r="AY501" s="8" t="s">
        <v>2423</v>
      </c>
      <c r="BD501" s="2" t="str">
        <f t="shared" si="23"/>
        <v>PO Issued</v>
      </c>
      <c r="BE501" s="2">
        <v>100</v>
      </c>
      <c r="BF501" s="2" t="s">
        <v>2424</v>
      </c>
      <c r="BG501" s="2" t="e">
        <v>#N/A</v>
      </c>
    </row>
    <row r="502" spans="2:60" hidden="1" x14ac:dyDescent="0.25">
      <c r="B502" s="2" t="s">
        <v>2425</v>
      </c>
      <c r="C502" s="2" t="s">
        <v>2426</v>
      </c>
      <c r="D502" s="44" t="s">
        <v>2427</v>
      </c>
      <c r="E502" s="2" t="s">
        <v>4</v>
      </c>
      <c r="F502" s="2" t="s">
        <v>358</v>
      </c>
      <c r="G502" s="2" t="s">
        <v>1</v>
      </c>
      <c r="H502" s="2" t="s">
        <v>139</v>
      </c>
      <c r="I502" s="2" t="s">
        <v>140</v>
      </c>
      <c r="J502" s="2" t="s">
        <v>122</v>
      </c>
      <c r="K502" s="2" t="s">
        <v>359</v>
      </c>
      <c r="L502" s="2" t="s">
        <v>2428</v>
      </c>
      <c r="M502" s="2">
        <v>0</v>
      </c>
      <c r="N502" s="2">
        <v>15.75877</v>
      </c>
      <c r="O502" s="2">
        <v>120.57221</v>
      </c>
      <c r="P502" s="2" t="s">
        <v>1939</v>
      </c>
      <c r="Q502" s="2" t="s">
        <v>227</v>
      </c>
      <c r="R502" s="29" t="e">
        <f>IF(INDEX(#REF!,MATCH('data '!$B502,#REF!,0),MATCH('data '!R$3,#REF!,0))=0,"",INDEX(#REF!,MATCH('data '!$B502,#REF!,0),MATCH('data '!R$3,#REF!,0)))</f>
        <v>#REF!</v>
      </c>
      <c r="S502" s="29" t="e">
        <f>IF(INDEX(#REF!,MATCH('data '!$B502,#REF!,0),MATCH('data '!S$3,#REF!,0))=0,"",INDEX(#REF!,MATCH('data '!$B502,#REF!,0),MATCH('data '!S$3,#REF!,0)))</f>
        <v>#REF!</v>
      </c>
      <c r="T502" s="29" t="e">
        <f>IF(INDEX(#REF!,MATCH('data '!$B502,#REF!,0),MATCH('data '!T$3,#REF!,0))=0,"",INDEX(#REF!,MATCH('data '!$B502,#REF!,0),MATCH('data '!T$3,#REF!,0)))</f>
        <v>#REF!</v>
      </c>
      <c r="U502" s="8" t="s">
        <v>25</v>
      </c>
      <c r="V502" s="25" t="s">
        <v>82</v>
      </c>
      <c r="W502" s="25" t="s">
        <v>83</v>
      </c>
      <c r="X502" s="9" t="s">
        <v>25</v>
      </c>
      <c r="Y502" s="53">
        <v>45757</v>
      </c>
      <c r="AC502" s="8" t="e">
        <f>VLOOKUP(B502,#REF!,19,0)</f>
        <v>#REF!</v>
      </c>
      <c r="AP502" s="8" t="str">
        <f t="shared" si="22"/>
        <v>BP Secured</v>
      </c>
      <c r="AQ502" s="10" t="b" cm="1">
        <f t="array" aca="1" ref="AQ502" ca="1">IF(AM502&gt;0,(TODAY()-AM502),IF(AL502&gt;0,(TODAY()-AL502),IF(AK502&gt;0,(TODAY()-AK502,IF(AI502&gt;0,(TODAY()-AI502),IF(AG502&gt;0,(TODAY()-AG502),IF(AF502&gt;0,(TODAY()-AF502),IF(X502&gt;0,(TODAY()-X502)," "))))))))</f>
        <v>0</v>
      </c>
      <c r="BD502" s="2" t="str">
        <f t="shared" si="23"/>
        <v>BP Secured</v>
      </c>
      <c r="BE502" s="2" t="e">
        <v>#VALUE!</v>
      </c>
      <c r="BG502" s="2" t="e">
        <v>#N/A</v>
      </c>
    </row>
    <row r="503" spans="2:60" hidden="1" x14ac:dyDescent="0.25">
      <c r="B503" s="7" t="s">
        <v>2429</v>
      </c>
      <c r="C503" s="2" t="s">
        <v>2430</v>
      </c>
      <c r="D503" s="44" t="s">
        <v>2431</v>
      </c>
      <c r="E503" s="2" t="s">
        <v>4</v>
      </c>
      <c r="F503" s="2" t="s">
        <v>358</v>
      </c>
      <c r="G503" s="2" t="s">
        <v>1</v>
      </c>
      <c r="H503" s="2" t="s">
        <v>139</v>
      </c>
      <c r="I503" s="2" t="s">
        <v>140</v>
      </c>
      <c r="J503" s="2" t="s">
        <v>122</v>
      </c>
      <c r="K503" s="2" t="s">
        <v>359</v>
      </c>
      <c r="L503" s="2" t="s">
        <v>2428</v>
      </c>
      <c r="M503" s="2">
        <v>0</v>
      </c>
      <c r="N503" s="2">
        <v>15.694646000000001</v>
      </c>
      <c r="O503" s="2">
        <v>120.550698</v>
      </c>
      <c r="P503" s="2" t="s">
        <v>87</v>
      </c>
      <c r="Q503" s="2" t="s">
        <v>265</v>
      </c>
      <c r="R503" s="29" t="e">
        <f>IF(INDEX(#REF!,MATCH('data '!$B503,#REF!,0),MATCH('data '!R$3,#REF!,0))=0,"",INDEX(#REF!,MATCH('data '!$B503,#REF!,0),MATCH('data '!R$3,#REF!,0)))</f>
        <v>#REF!</v>
      </c>
      <c r="S503" s="29" t="e">
        <f>IF(INDEX(#REF!,MATCH('data '!$B503,#REF!,0),MATCH('data '!S$3,#REF!,0))=0,"",INDEX(#REF!,MATCH('data '!$B503,#REF!,0),MATCH('data '!S$3,#REF!,0)))</f>
        <v>#REF!</v>
      </c>
      <c r="T503" s="29" t="e">
        <f>IF(INDEX(#REF!,MATCH('data '!$B503,#REF!,0),MATCH('data '!T$3,#REF!,0))=0,"",INDEX(#REF!,MATCH('data '!$B503,#REF!,0),MATCH('data '!T$3,#REF!,0)))</f>
        <v>#REF!</v>
      </c>
      <c r="U503" s="8" t="s">
        <v>25</v>
      </c>
      <c r="V503" s="25" t="s">
        <v>266</v>
      </c>
      <c r="W503" s="25" t="s">
        <v>144</v>
      </c>
      <c r="X503" s="9" t="s">
        <v>25</v>
      </c>
      <c r="Y503" s="9">
        <v>45761</v>
      </c>
      <c r="Z503" s="8">
        <v>45843</v>
      </c>
      <c r="AA503" s="8">
        <v>45968</v>
      </c>
      <c r="AB503" s="8">
        <v>45874</v>
      </c>
      <c r="AC503" s="8" t="e">
        <f>VLOOKUP(B503,#REF!,19,0)</f>
        <v>#REF!</v>
      </c>
      <c r="AE503" s="8" t="s">
        <v>547</v>
      </c>
      <c r="AF503" s="8">
        <v>45768</v>
      </c>
      <c r="AH503" s="8" t="s">
        <v>362</v>
      </c>
      <c r="AP503" s="8" t="str">
        <f t="shared" si="22"/>
        <v>Vendor Allocated</v>
      </c>
      <c r="AQ503" s="10" t="b" cm="1">
        <f t="array" aca="1" ref="AQ503" ca="1">IF(AM503&gt;0,(TODAY()-AM503),IF(AL503&gt;0,(TODAY()-AL503),IF(AK503&gt;0,(TODAY()-AK503,IF(AI503&gt;0,(TODAY()-AI503),IF(AG503&gt;0,(TODAY()-AG503),IF(AF503&gt;0,(TODAY()-AF503),IF(X503&gt;0,(TODAY()-X503)," "))))))))</f>
        <v>0</v>
      </c>
      <c r="AT503" s="8">
        <v>45975</v>
      </c>
      <c r="AU503" s="8">
        <v>46006</v>
      </c>
      <c r="AV503" s="8">
        <v>46006</v>
      </c>
      <c r="AW503" s="8" t="s">
        <v>548</v>
      </c>
      <c r="AX503" s="8">
        <v>46009</v>
      </c>
      <c r="AY503" s="8" t="s">
        <v>549</v>
      </c>
      <c r="BD503" s="2" t="str">
        <f t="shared" si="23"/>
        <v>PO Issued</v>
      </c>
      <c r="BE503" s="2">
        <v>172</v>
      </c>
      <c r="BF503" s="2" t="s">
        <v>534</v>
      </c>
      <c r="BG503" s="2" t="e">
        <v>#N/A</v>
      </c>
    </row>
    <row r="504" spans="2:60" hidden="1" x14ac:dyDescent="0.25">
      <c r="B504" s="2" t="s">
        <v>2432</v>
      </c>
      <c r="C504" s="2" t="s">
        <v>2433</v>
      </c>
      <c r="D504" s="44" t="s">
        <v>2434</v>
      </c>
      <c r="E504" s="2" t="s">
        <v>4</v>
      </c>
      <c r="F504" s="2" t="s">
        <v>358</v>
      </c>
      <c r="G504" s="2" t="s">
        <v>1</v>
      </c>
      <c r="H504" s="2" t="s">
        <v>139</v>
      </c>
      <c r="I504" s="2" t="s">
        <v>140</v>
      </c>
      <c r="J504" s="2" t="s">
        <v>122</v>
      </c>
      <c r="K504" s="2" t="s">
        <v>359</v>
      </c>
      <c r="L504" s="2" t="s">
        <v>360</v>
      </c>
      <c r="M504" s="2">
        <v>0</v>
      </c>
      <c r="N504" s="2">
        <v>15.685058</v>
      </c>
      <c r="O504" s="2">
        <v>120.593698</v>
      </c>
      <c r="P504" s="2" t="s">
        <v>87</v>
      </c>
      <c r="Q504" s="2" t="s">
        <v>265</v>
      </c>
      <c r="R504" s="29" t="e">
        <f>IF(INDEX(#REF!,MATCH('data '!$B504,#REF!,0),MATCH('data '!R$3,#REF!,0))=0,"",INDEX(#REF!,MATCH('data '!$B504,#REF!,0),MATCH('data '!R$3,#REF!,0)))</f>
        <v>#REF!</v>
      </c>
      <c r="S504" s="29" t="e">
        <f>IF(INDEX(#REF!,MATCH('data '!$B504,#REF!,0),MATCH('data '!S$3,#REF!,0))=0,"",INDEX(#REF!,MATCH('data '!$B504,#REF!,0),MATCH('data '!S$3,#REF!,0)))</f>
        <v>#REF!</v>
      </c>
      <c r="T504" s="29" t="e">
        <f>IF(INDEX(#REF!,MATCH('data '!$B504,#REF!,0),MATCH('data '!T$3,#REF!,0))=0,"",INDEX(#REF!,MATCH('data '!$B504,#REF!,0),MATCH('data '!T$3,#REF!,0)))</f>
        <v>#REF!</v>
      </c>
      <c r="U504" s="8" t="s">
        <v>25</v>
      </c>
      <c r="V504" s="25" t="s">
        <v>266</v>
      </c>
      <c r="W504" s="25" t="s">
        <v>144</v>
      </c>
      <c r="X504" s="9" t="s">
        <v>25</v>
      </c>
      <c r="Y504" s="9">
        <v>45807</v>
      </c>
      <c r="AA504" s="8" t="s">
        <v>2435</v>
      </c>
      <c r="AB504" s="8">
        <v>45931</v>
      </c>
      <c r="AC504" s="8" t="e">
        <f>VLOOKUP(B504,#REF!,19,0)</f>
        <v>#REF!</v>
      </c>
      <c r="AE504" s="8" t="s">
        <v>361</v>
      </c>
      <c r="AF504" s="8">
        <v>45814</v>
      </c>
      <c r="AH504" s="8" t="s">
        <v>362</v>
      </c>
      <c r="AP504" s="8" t="str">
        <f t="shared" si="22"/>
        <v>Vendor Allocated</v>
      </c>
      <c r="AQ504" s="10" t="b" cm="1">
        <f t="array" aca="1" ref="AQ504" ca="1">IF(AM504&gt;0,(TODAY()-AM504),IF(AL504&gt;0,(TODAY()-AL504),IF(AK504&gt;0,(TODAY()-AK504,IF(AI504&gt;0,(TODAY()-AI504),IF(AG504&gt;0,(TODAY()-AG504),IF(AF504&gt;0,(TODAY()-AF504),IF(X504&gt;0,(TODAY()-X504)," "))))))))</f>
        <v>0</v>
      </c>
      <c r="AT504" s="8">
        <v>45950</v>
      </c>
      <c r="AU504" s="8">
        <v>45968</v>
      </c>
      <c r="AV504" s="8">
        <v>45968</v>
      </c>
      <c r="AW504" s="8" t="s">
        <v>2436</v>
      </c>
      <c r="AX504" s="8">
        <v>45971</v>
      </c>
      <c r="AY504" s="8" t="s">
        <v>2437</v>
      </c>
      <c r="BD504" s="2" t="str">
        <f t="shared" si="23"/>
        <v>PO Issued</v>
      </c>
      <c r="BE504" s="2">
        <v>126</v>
      </c>
      <c r="BF504" s="2" t="s">
        <v>2424</v>
      </c>
      <c r="BG504" s="2" t="e">
        <v>#N/A</v>
      </c>
    </row>
    <row r="505" spans="2:60" hidden="1" x14ac:dyDescent="0.25">
      <c r="B505" s="7" t="s">
        <v>2438</v>
      </c>
      <c r="C505" s="2" t="s">
        <v>2439</v>
      </c>
      <c r="D505" s="44" t="s">
        <v>2440</v>
      </c>
      <c r="E505" s="2" t="s">
        <v>4</v>
      </c>
      <c r="F505" s="2" t="s">
        <v>358</v>
      </c>
      <c r="G505" s="2" t="s">
        <v>1</v>
      </c>
      <c r="H505" s="2" t="s">
        <v>139</v>
      </c>
      <c r="I505" s="2" t="s">
        <v>140</v>
      </c>
      <c r="J505" s="2" t="s">
        <v>122</v>
      </c>
      <c r="K505" s="2" t="s">
        <v>359</v>
      </c>
      <c r="L505" s="2" t="s">
        <v>360</v>
      </c>
      <c r="M505" s="2">
        <v>0</v>
      </c>
      <c r="N505" s="2">
        <v>15.650828000000001</v>
      </c>
      <c r="O505" s="2">
        <v>120.55550700000001</v>
      </c>
      <c r="P505" s="2" t="s">
        <v>87</v>
      </c>
      <c r="Q505" s="2" t="s">
        <v>265</v>
      </c>
      <c r="R505" s="29" t="e">
        <f>IF(INDEX(#REF!,MATCH('data '!$B505,#REF!,0),MATCH('data '!R$3,#REF!,0))=0,"",INDEX(#REF!,MATCH('data '!$B505,#REF!,0),MATCH('data '!R$3,#REF!,0)))</f>
        <v>#REF!</v>
      </c>
      <c r="S505" s="29" t="e">
        <f>IF(INDEX(#REF!,MATCH('data '!$B505,#REF!,0),MATCH('data '!S$3,#REF!,0))=0,"",INDEX(#REF!,MATCH('data '!$B505,#REF!,0),MATCH('data '!S$3,#REF!,0)))</f>
        <v>#REF!</v>
      </c>
      <c r="T505" s="29" t="e">
        <f>IF(INDEX(#REF!,MATCH('data '!$B505,#REF!,0),MATCH('data '!T$3,#REF!,0))=0,"",INDEX(#REF!,MATCH('data '!$B505,#REF!,0),MATCH('data '!T$3,#REF!,0)))</f>
        <v>#REF!</v>
      </c>
      <c r="U505" s="8" t="s">
        <v>25</v>
      </c>
      <c r="V505" s="25" t="s">
        <v>266</v>
      </c>
      <c r="W505" s="25" t="s">
        <v>144</v>
      </c>
      <c r="X505" s="9" t="s">
        <v>25</v>
      </c>
      <c r="Y505" s="9">
        <v>45807</v>
      </c>
      <c r="Z505" s="8">
        <v>45783</v>
      </c>
      <c r="AA505" s="8" t="s">
        <v>2441</v>
      </c>
      <c r="AB505" s="8">
        <v>45931</v>
      </c>
      <c r="AC505" s="8" t="e">
        <f>VLOOKUP(B505,#REF!,19,0)</f>
        <v>#REF!</v>
      </c>
      <c r="AE505" s="8" t="s">
        <v>547</v>
      </c>
      <c r="AF505" s="8">
        <v>45814</v>
      </c>
      <c r="AH505" s="8" t="s">
        <v>362</v>
      </c>
      <c r="AP505" s="8" t="str">
        <f t="shared" si="22"/>
        <v>Vendor Allocated</v>
      </c>
      <c r="AQ505" s="10" t="b" cm="1">
        <f t="array" aca="1" ref="AQ505" ca="1">IF(AM505&gt;0,(TODAY()-AM505),IF(AL505&gt;0,(TODAY()-AL505),IF(AK505&gt;0,(TODAY()-AK505,IF(AI505&gt;0,(TODAY()-AI505),IF(AG505&gt;0,(TODAY()-AG505),IF(AF505&gt;0,(TODAY()-AF505),IF(X505&gt;0,(TODAY()-X505)," "))))))))</f>
        <v>0</v>
      </c>
      <c r="AT505" s="8">
        <v>45975</v>
      </c>
      <c r="AU505" s="8">
        <v>46006</v>
      </c>
      <c r="AV505" s="8">
        <v>46006</v>
      </c>
      <c r="AW505" s="8" t="s">
        <v>548</v>
      </c>
      <c r="AX505" s="8">
        <v>46009</v>
      </c>
      <c r="AY505" s="8" t="s">
        <v>549</v>
      </c>
      <c r="BD505" s="2" t="str">
        <f t="shared" si="23"/>
        <v>PO Issued</v>
      </c>
      <c r="BE505" s="2">
        <v>126</v>
      </c>
      <c r="BF505" s="2" t="s">
        <v>534</v>
      </c>
      <c r="BG505" s="2" t="e">
        <v>#N/A</v>
      </c>
    </row>
    <row r="506" spans="2:60" hidden="1" x14ac:dyDescent="0.25">
      <c r="B506" s="2" t="s">
        <v>2442</v>
      </c>
      <c r="C506" s="2" t="s">
        <v>2443</v>
      </c>
      <c r="D506" s="44" t="s">
        <v>2444</v>
      </c>
      <c r="E506" s="2" t="s">
        <v>4</v>
      </c>
      <c r="F506" s="2" t="s">
        <v>358</v>
      </c>
      <c r="G506" s="2" t="s">
        <v>1</v>
      </c>
      <c r="H506" s="2" t="s">
        <v>139</v>
      </c>
      <c r="I506" s="2" t="s">
        <v>140</v>
      </c>
      <c r="J506" s="2" t="s">
        <v>122</v>
      </c>
      <c r="K506" s="2" t="s">
        <v>359</v>
      </c>
      <c r="L506" s="2" t="s">
        <v>546</v>
      </c>
      <c r="M506" s="2">
        <v>0</v>
      </c>
      <c r="N506" s="2">
        <v>15.6134</v>
      </c>
      <c r="O506" s="2">
        <v>120.586973</v>
      </c>
      <c r="P506" s="2" t="s">
        <v>87</v>
      </c>
      <c r="Q506" s="2" t="s">
        <v>265</v>
      </c>
      <c r="R506" s="29" t="e">
        <f>IF(INDEX(#REF!,MATCH('data '!$B506,#REF!,0),MATCH('data '!R$3,#REF!,0))=0,"",INDEX(#REF!,MATCH('data '!$B506,#REF!,0),MATCH('data '!R$3,#REF!,0)))</f>
        <v>#REF!</v>
      </c>
      <c r="S506" s="29" t="e">
        <f>IF(INDEX(#REF!,MATCH('data '!$B506,#REF!,0),MATCH('data '!S$3,#REF!,0))=0,"",INDEX(#REF!,MATCH('data '!$B506,#REF!,0),MATCH('data '!S$3,#REF!,0)))</f>
        <v>#REF!</v>
      </c>
      <c r="T506" s="29" t="e">
        <f>IF(INDEX(#REF!,MATCH('data '!$B506,#REF!,0),MATCH('data '!T$3,#REF!,0))=0,"",INDEX(#REF!,MATCH('data '!$B506,#REF!,0),MATCH('data '!T$3,#REF!,0)))</f>
        <v>#REF!</v>
      </c>
      <c r="V506" s="25" t="s">
        <v>185</v>
      </c>
      <c r="W506" s="25" t="s">
        <v>144</v>
      </c>
      <c r="X506" s="9" t="s">
        <v>25</v>
      </c>
      <c r="Y506" s="9">
        <v>45869</v>
      </c>
      <c r="AC506" s="8" t="e">
        <f>VLOOKUP(B506,#REF!,19,0)</f>
        <v>#REF!</v>
      </c>
      <c r="AE506" s="8" t="s">
        <v>530</v>
      </c>
      <c r="AF506" s="8">
        <v>45908</v>
      </c>
      <c r="AG506" s="8">
        <v>45908</v>
      </c>
      <c r="AH506" s="8" t="s">
        <v>531</v>
      </c>
      <c r="AI506" s="8">
        <v>45909</v>
      </c>
      <c r="AJ506" s="8" t="s">
        <v>532</v>
      </c>
      <c r="AK506" s="8">
        <v>45916</v>
      </c>
      <c r="AL506" s="8">
        <v>45915</v>
      </c>
      <c r="AM506" s="8">
        <v>45929</v>
      </c>
      <c r="AP506" s="8" t="str">
        <f t="shared" si="22"/>
        <v>Tempo Energized</v>
      </c>
      <c r="AS506" s="8" t="s">
        <v>2445</v>
      </c>
      <c r="AT506" s="11"/>
      <c r="AU506" s="11"/>
      <c r="AV506" s="11"/>
      <c r="AW506" s="11"/>
      <c r="AX506" s="11"/>
      <c r="AY506" s="11"/>
      <c r="BD506" s="2" t="str">
        <f t="shared" si="23"/>
        <v>Vendor Allocated</v>
      </c>
      <c r="BF506" s="2" t="s">
        <v>534</v>
      </c>
      <c r="BG506" s="2" t="e">
        <v>#N/A</v>
      </c>
    </row>
    <row r="507" spans="2:60" hidden="1" x14ac:dyDescent="0.25">
      <c r="B507" s="2" t="s">
        <v>2446</v>
      </c>
      <c r="C507" s="2" t="s">
        <v>2447</v>
      </c>
      <c r="D507" s="44" t="s">
        <v>2448</v>
      </c>
      <c r="E507" s="2" t="s">
        <v>4</v>
      </c>
      <c r="F507" s="2" t="s">
        <v>358</v>
      </c>
      <c r="G507" s="2" t="s">
        <v>1</v>
      </c>
      <c r="H507" s="2" t="s">
        <v>139</v>
      </c>
      <c r="I507" s="2" t="s">
        <v>140</v>
      </c>
      <c r="J507" s="2" t="s">
        <v>122</v>
      </c>
      <c r="K507" s="2" t="s">
        <v>359</v>
      </c>
      <c r="L507" s="2" t="s">
        <v>2449</v>
      </c>
      <c r="M507" s="2">
        <v>0</v>
      </c>
      <c r="N507" s="2">
        <v>0</v>
      </c>
      <c r="O507" s="2">
        <v>0</v>
      </c>
      <c r="P507" s="2" t="s">
        <v>125</v>
      </c>
      <c r="Q507" s="2" t="s">
        <v>73</v>
      </c>
      <c r="R507" s="29" t="e">
        <f>IF(INDEX(#REF!,MATCH('data '!$B507,#REF!,0),MATCH('data '!R$3,#REF!,0))=0,"",INDEX(#REF!,MATCH('data '!$B507,#REF!,0),MATCH('data '!R$3,#REF!,0)))</f>
        <v>#REF!</v>
      </c>
      <c r="S507" s="29" t="e">
        <f>IF(INDEX(#REF!,MATCH('data '!$B507,#REF!,0),MATCH('data '!S$3,#REF!,0))=0,"",INDEX(#REF!,MATCH('data '!$B507,#REF!,0),MATCH('data '!S$3,#REF!,0)))</f>
        <v>#REF!</v>
      </c>
      <c r="T507" s="29" t="e">
        <f>IF(INDEX(#REF!,MATCH('data '!$B507,#REF!,0),MATCH('data '!T$3,#REF!,0))=0,"",INDEX(#REF!,MATCH('data '!$B507,#REF!,0),MATCH('data '!T$3,#REF!,0)))</f>
        <v>#REF!</v>
      </c>
      <c r="U507" s="8" t="s">
        <v>25</v>
      </c>
      <c r="V507" s="25" t="s">
        <v>125</v>
      </c>
      <c r="W507" s="25">
        <v>0</v>
      </c>
      <c r="AC507" s="8" t="e">
        <f>VLOOKUP(B507,#REF!,19,0)</f>
        <v>#REF!</v>
      </c>
      <c r="AP507" s="8" t="str">
        <f t="shared" si="22"/>
        <v>Not yet endorsed</v>
      </c>
      <c r="AQ507" s="10" t="b" cm="1">
        <f t="array" aca="1" ref="AQ507" ca="1">IF(AM507&gt;0,(TODAY()-AM507),IF(AL507&gt;0,(TODAY()-AL507),IF(AK507&gt;0,(TODAY()-AK507,IF(AI507&gt;0,(TODAY()-AI507),IF(AG507&gt;0,(TODAY()-AG507),IF(AF507&gt;0,(TODAY()-AF507),IF(X507&gt;0,(TODAY()-X507)," "))))))))</f>
        <v>0</v>
      </c>
      <c r="BD507" s="2" t="str">
        <f t="shared" si="23"/>
        <v>TSSR Approved</v>
      </c>
      <c r="BE507" s="2" t="e">
        <v>#VALUE!</v>
      </c>
      <c r="BG507" s="2" t="e">
        <v>#N/A</v>
      </c>
    </row>
    <row r="508" spans="2:60" hidden="1" x14ac:dyDescent="0.25">
      <c r="B508" s="2" t="s">
        <v>2450</v>
      </c>
      <c r="C508" s="2" t="s">
        <v>2451</v>
      </c>
      <c r="D508" s="44" t="s">
        <v>2452</v>
      </c>
      <c r="E508" s="2" t="s">
        <v>4</v>
      </c>
      <c r="F508" s="2" t="s">
        <v>358</v>
      </c>
      <c r="G508" s="2" t="s">
        <v>1</v>
      </c>
      <c r="H508" s="2" t="s">
        <v>139</v>
      </c>
      <c r="I508" s="2" t="s">
        <v>140</v>
      </c>
      <c r="J508" s="2" t="s">
        <v>122</v>
      </c>
      <c r="K508" s="2" t="s">
        <v>359</v>
      </c>
      <c r="L508" s="2" t="s">
        <v>546</v>
      </c>
      <c r="M508" s="2">
        <v>0</v>
      </c>
      <c r="N508" s="2">
        <v>15.577835</v>
      </c>
      <c r="O508" s="2">
        <v>120.589145</v>
      </c>
      <c r="P508" s="2" t="s">
        <v>87</v>
      </c>
      <c r="Q508" s="2" t="s">
        <v>265</v>
      </c>
      <c r="R508" s="29" t="e">
        <f>IF(INDEX(#REF!,MATCH('data '!$B508,#REF!,0),MATCH('data '!R$3,#REF!,0))=0,"",INDEX(#REF!,MATCH('data '!$B508,#REF!,0),MATCH('data '!R$3,#REF!,0)))</f>
        <v>#REF!</v>
      </c>
      <c r="S508" s="29" t="e">
        <f>IF(INDEX(#REF!,MATCH('data '!$B508,#REF!,0),MATCH('data '!S$3,#REF!,0))=0,"",INDEX(#REF!,MATCH('data '!$B508,#REF!,0),MATCH('data '!S$3,#REF!,0)))</f>
        <v>#REF!</v>
      </c>
      <c r="T508" s="29" t="e">
        <f>IF(INDEX(#REF!,MATCH('data '!$B508,#REF!,0),MATCH('data '!T$3,#REF!,0))=0,"",INDEX(#REF!,MATCH('data '!$B508,#REF!,0),MATCH('data '!T$3,#REF!,0)))</f>
        <v>#REF!</v>
      </c>
      <c r="U508" s="8" t="s">
        <v>25</v>
      </c>
      <c r="V508" s="25" t="s">
        <v>266</v>
      </c>
      <c r="W508" s="25" t="s">
        <v>144</v>
      </c>
      <c r="X508" s="9" t="s">
        <v>25</v>
      </c>
      <c r="Y508" s="9">
        <v>45761</v>
      </c>
      <c r="AA508" s="8" t="s">
        <v>884</v>
      </c>
      <c r="AB508" s="8">
        <v>45874</v>
      </c>
      <c r="AC508" s="8" t="e">
        <f>VLOOKUP(B508,#REF!,19,0)</f>
        <v>#REF!</v>
      </c>
      <c r="AE508" s="8" t="s">
        <v>361</v>
      </c>
      <c r="AF508" s="8">
        <v>45915</v>
      </c>
      <c r="AH508" s="8" t="s">
        <v>362</v>
      </c>
      <c r="AP508" s="8" t="str">
        <f t="shared" si="22"/>
        <v>Vendor Allocated</v>
      </c>
      <c r="AQ508" s="10" t="b" cm="1">
        <f t="array" aca="1" ref="AQ508" ca="1">IF(AM508&gt;0,(TODAY()-AM508),IF(AL508&gt;0,(TODAY()-AL508),IF(AK508&gt;0,(TODAY()-AK508,IF(AI508&gt;0,(TODAY()-AI508),IF(AG508&gt;0,(TODAY()-AG508),IF(AF508&gt;0,(TODAY()-AF508),IF(X508&gt;0,(TODAY()-X508)," "))))))))</f>
        <v>0</v>
      </c>
      <c r="AT508" s="8">
        <v>45922</v>
      </c>
      <c r="AU508" s="8">
        <v>45930</v>
      </c>
      <c r="AV508" s="8">
        <v>45929</v>
      </c>
      <c r="AW508" s="8" t="s">
        <v>2453</v>
      </c>
      <c r="AX508" s="8">
        <v>45932</v>
      </c>
      <c r="AY508" s="8" t="s">
        <v>2454</v>
      </c>
      <c r="AZ508" s="8">
        <v>45952</v>
      </c>
      <c r="BA508" s="8">
        <v>45955</v>
      </c>
      <c r="BB508" s="8">
        <v>45997</v>
      </c>
      <c r="BC508" s="8">
        <v>46002</v>
      </c>
      <c r="BD508" s="2" t="str">
        <f t="shared" si="23"/>
        <v>Permanent Energized</v>
      </c>
      <c r="BE508" s="2">
        <v>8</v>
      </c>
      <c r="BF508" s="2" t="s">
        <v>2455</v>
      </c>
      <c r="BG508" s="2" t="e">
        <v>#N/A</v>
      </c>
    </row>
    <row r="509" spans="2:60" hidden="1" x14ac:dyDescent="0.25">
      <c r="B509" s="2" t="s">
        <v>2456</v>
      </c>
      <c r="C509" s="2" t="s">
        <v>2457</v>
      </c>
      <c r="D509" s="44" t="s">
        <v>2458</v>
      </c>
      <c r="E509" s="2" t="s">
        <v>4</v>
      </c>
      <c r="F509" s="2" t="s">
        <v>358</v>
      </c>
      <c r="G509" s="2" t="s">
        <v>1</v>
      </c>
      <c r="H509" s="2" t="s">
        <v>139</v>
      </c>
      <c r="I509" s="2" t="s">
        <v>140</v>
      </c>
      <c r="J509" s="2" t="s">
        <v>122</v>
      </c>
      <c r="K509" s="2" t="s">
        <v>359</v>
      </c>
      <c r="L509" s="2" t="s">
        <v>546</v>
      </c>
      <c r="M509" s="2">
        <v>0</v>
      </c>
      <c r="N509" s="2">
        <v>15.561071999999999</v>
      </c>
      <c r="O509" s="2">
        <v>120.591273</v>
      </c>
      <c r="P509" s="2" t="s">
        <v>87</v>
      </c>
      <c r="Q509" s="2" t="s">
        <v>265</v>
      </c>
      <c r="R509" s="29" t="e">
        <f>IF(INDEX(#REF!,MATCH('data '!$B509,#REF!,0),MATCH('data '!R$3,#REF!,0))=0,"",INDEX(#REF!,MATCH('data '!$B509,#REF!,0),MATCH('data '!R$3,#REF!,0)))</f>
        <v>#REF!</v>
      </c>
      <c r="S509" s="29" t="e">
        <f>IF(INDEX(#REF!,MATCH('data '!$B509,#REF!,0),MATCH('data '!S$3,#REF!,0))=0,"",INDEX(#REF!,MATCH('data '!$B509,#REF!,0),MATCH('data '!S$3,#REF!,0)))</f>
        <v>#REF!</v>
      </c>
      <c r="T509" s="29" t="e">
        <f>IF(INDEX(#REF!,MATCH('data '!$B509,#REF!,0),MATCH('data '!T$3,#REF!,0))=0,"",INDEX(#REF!,MATCH('data '!$B509,#REF!,0),MATCH('data '!T$3,#REF!,0)))</f>
        <v>#REF!</v>
      </c>
      <c r="U509" s="8" t="s">
        <v>25</v>
      </c>
      <c r="V509" s="25" t="s">
        <v>266</v>
      </c>
      <c r="W509" s="25" t="s">
        <v>144</v>
      </c>
      <c r="X509" s="9" t="s">
        <v>25</v>
      </c>
      <c r="Y509" s="9">
        <v>45761</v>
      </c>
      <c r="AA509" s="8" t="s">
        <v>2211</v>
      </c>
      <c r="AB509" s="8">
        <v>45874</v>
      </c>
      <c r="AC509" s="8" t="e">
        <f>VLOOKUP(B509,#REF!,19,0)</f>
        <v>#REF!</v>
      </c>
      <c r="AE509" s="8" t="s">
        <v>361</v>
      </c>
      <c r="AF509" s="8">
        <v>45915</v>
      </c>
      <c r="AH509" s="8" t="s">
        <v>362</v>
      </c>
      <c r="AP509" s="8" t="str">
        <f t="shared" si="22"/>
        <v>Vendor Allocated</v>
      </c>
      <c r="AQ509" s="10" t="b" cm="1">
        <f t="array" aca="1" ref="AQ509" ca="1">IF(AM509&gt;0,(TODAY()-AM509),IF(AL509&gt;0,(TODAY()-AL509),IF(AK509&gt;0,(TODAY()-AK509,IF(AI509&gt;0,(TODAY()-AI509),IF(AG509&gt;0,(TODAY()-AG509),IF(AF509&gt;0,(TODAY()-AF509),IF(X509&gt;0,(TODAY()-X509)," "))))))))</f>
        <v>0</v>
      </c>
      <c r="AT509" s="8">
        <v>45922</v>
      </c>
      <c r="AU509" s="8">
        <v>45926</v>
      </c>
      <c r="AV509" s="8">
        <v>45936</v>
      </c>
      <c r="AW509" s="8" t="s">
        <v>2459</v>
      </c>
      <c r="AX509" s="8">
        <v>45936</v>
      </c>
      <c r="AY509" s="8" t="s">
        <v>2460</v>
      </c>
      <c r="AZ509" s="8">
        <v>45953</v>
      </c>
      <c r="BA509" s="8">
        <v>45959</v>
      </c>
      <c r="BB509" s="8">
        <v>45997</v>
      </c>
      <c r="BC509" s="8">
        <v>46002</v>
      </c>
      <c r="BD509" s="2" t="str">
        <f t="shared" si="23"/>
        <v>Permanent Energized</v>
      </c>
      <c r="BE509" s="2">
        <v>4</v>
      </c>
      <c r="BF509" s="2" t="s">
        <v>2455</v>
      </c>
      <c r="BG509" s="2" t="e">
        <v>#N/A</v>
      </c>
    </row>
    <row r="510" spans="2:60" hidden="1" x14ac:dyDescent="0.25">
      <c r="B510" s="2" t="s">
        <v>2461</v>
      </c>
      <c r="C510" s="2" t="s">
        <v>2462</v>
      </c>
      <c r="D510" s="44" t="s">
        <v>2463</v>
      </c>
      <c r="E510" s="2" t="s">
        <v>4</v>
      </c>
      <c r="F510" s="2" t="s">
        <v>358</v>
      </c>
      <c r="G510" s="2" t="s">
        <v>1</v>
      </c>
      <c r="H510" s="2" t="s">
        <v>139</v>
      </c>
      <c r="I510" s="2" t="s">
        <v>140</v>
      </c>
      <c r="J510" s="2" t="s">
        <v>122</v>
      </c>
      <c r="K510" s="2" t="s">
        <v>359</v>
      </c>
      <c r="L510" s="2" t="s">
        <v>2464</v>
      </c>
      <c r="M510" s="2">
        <v>0</v>
      </c>
      <c r="N510" s="2">
        <v>15.543851</v>
      </c>
      <c r="O510" s="2">
        <v>120.67110700000001</v>
      </c>
      <c r="P510" s="2" t="s">
        <v>87</v>
      </c>
      <c r="Q510" s="2" t="s">
        <v>265</v>
      </c>
      <c r="R510" s="29" t="e">
        <f>IF(INDEX(#REF!,MATCH('data '!$B510,#REF!,0),MATCH('data '!R$3,#REF!,0))=0,"",INDEX(#REF!,MATCH('data '!$B510,#REF!,0),MATCH('data '!R$3,#REF!,0)))</f>
        <v>#REF!</v>
      </c>
      <c r="S510" s="29" t="e">
        <f>IF(INDEX(#REF!,MATCH('data '!$B510,#REF!,0),MATCH('data '!S$3,#REF!,0))=0,"",INDEX(#REF!,MATCH('data '!$B510,#REF!,0),MATCH('data '!S$3,#REF!,0)))</f>
        <v>#REF!</v>
      </c>
      <c r="T510" s="29" t="e">
        <f>IF(INDEX(#REF!,MATCH('data '!$B510,#REF!,0),MATCH('data '!T$3,#REF!,0))=0,"",INDEX(#REF!,MATCH('data '!$B510,#REF!,0),MATCH('data '!T$3,#REF!,0)))</f>
        <v>#REF!</v>
      </c>
      <c r="U510" s="8" t="s">
        <v>25</v>
      </c>
      <c r="V510" s="25" t="s">
        <v>266</v>
      </c>
      <c r="W510" s="25" t="s">
        <v>144</v>
      </c>
      <c r="X510" s="9" t="s">
        <v>25</v>
      </c>
      <c r="Y510" s="9">
        <v>45819</v>
      </c>
      <c r="Z510" s="8">
        <v>45876</v>
      </c>
      <c r="AA510" s="8">
        <v>45724</v>
      </c>
      <c r="AB510" s="8">
        <v>45909</v>
      </c>
      <c r="AC510" s="8" t="e">
        <f>VLOOKUP(B510,#REF!,19,0)</f>
        <v>#REF!</v>
      </c>
      <c r="AE510" s="8" t="s">
        <v>361</v>
      </c>
      <c r="AF510" s="8">
        <v>45920</v>
      </c>
      <c r="AH510" s="8" t="s">
        <v>362</v>
      </c>
      <c r="AP510" s="8" t="str">
        <f t="shared" si="22"/>
        <v>Vendor Allocated</v>
      </c>
      <c r="AQ510" s="10" t="b" cm="1">
        <f t="array" aca="1" ref="AQ510" ca="1">IF(AM510&gt;0,(TODAY()-AM510),IF(AL510&gt;0,(TODAY()-AL510),IF(AK510&gt;0,(TODAY()-AK510,IF(AI510&gt;0,(TODAY()-AI510),IF(AG510&gt;0,(TODAY()-AG510),IF(AF510&gt;0,(TODAY()-AF510),IF(X510&gt;0,(TODAY()-X510)," "))))))))</f>
        <v>0</v>
      </c>
      <c r="AT510" s="8">
        <v>45947</v>
      </c>
      <c r="AU510" s="8">
        <v>45947</v>
      </c>
      <c r="AV510" s="8">
        <v>45947</v>
      </c>
      <c r="AW510" s="8" t="s">
        <v>2212</v>
      </c>
      <c r="AX510" s="8">
        <v>45950</v>
      </c>
      <c r="AY510" s="8" t="s">
        <v>2213</v>
      </c>
      <c r="AZ510" s="8">
        <v>45987</v>
      </c>
      <c r="BA510" s="8">
        <v>46003</v>
      </c>
      <c r="BB510" s="8">
        <v>46003</v>
      </c>
      <c r="BC510" s="8">
        <v>46013</v>
      </c>
      <c r="BD510" s="2" t="str">
        <f t="shared" si="23"/>
        <v>Permanent Energized</v>
      </c>
      <c r="BE510" s="2">
        <v>8</v>
      </c>
      <c r="BF510" s="2" t="s">
        <v>2455</v>
      </c>
      <c r="BG510" s="2" t="e">
        <v>#N/A</v>
      </c>
    </row>
    <row r="511" spans="2:60" hidden="1" x14ac:dyDescent="0.25">
      <c r="B511" s="2" t="s">
        <v>2465</v>
      </c>
      <c r="C511" s="2" t="s">
        <v>2466</v>
      </c>
      <c r="D511" s="44" t="s">
        <v>2467</v>
      </c>
      <c r="E511" s="2" t="s">
        <v>4</v>
      </c>
      <c r="F511" s="2" t="s">
        <v>538</v>
      </c>
      <c r="G511" s="2" t="s">
        <v>1</v>
      </c>
      <c r="H511" s="2" t="s">
        <v>139</v>
      </c>
      <c r="I511" s="2" t="s">
        <v>140</v>
      </c>
      <c r="J511" s="2" t="s">
        <v>122</v>
      </c>
      <c r="K511" s="2" t="s">
        <v>359</v>
      </c>
      <c r="L511" s="2" t="s">
        <v>539</v>
      </c>
      <c r="M511" s="2">
        <v>0</v>
      </c>
      <c r="N511" s="2">
        <v>15.506907999999999</v>
      </c>
      <c r="O511" s="2">
        <v>120.628078</v>
      </c>
      <c r="P511" s="2" t="s">
        <v>87</v>
      </c>
      <c r="Q511" s="2" t="s">
        <v>227</v>
      </c>
      <c r="R511" s="29" t="e">
        <f>IF(INDEX(#REF!,MATCH('data '!$B511,#REF!,0),MATCH('data '!R$3,#REF!,0))=0,"",INDEX(#REF!,MATCH('data '!$B511,#REF!,0),MATCH('data '!R$3,#REF!,0)))</f>
        <v>#REF!</v>
      </c>
      <c r="S511" s="29" t="e">
        <f>IF(INDEX(#REF!,MATCH('data '!$B511,#REF!,0),MATCH('data '!S$3,#REF!,0))=0,"",INDEX(#REF!,MATCH('data '!$B511,#REF!,0),MATCH('data '!S$3,#REF!,0)))</f>
        <v>#REF!</v>
      </c>
      <c r="T511" s="29" t="e">
        <f>IF(INDEX(#REF!,MATCH('data '!$B511,#REF!,0),MATCH('data '!T$3,#REF!,0))=0,"",INDEX(#REF!,MATCH('data '!$B511,#REF!,0),MATCH('data '!T$3,#REF!,0)))</f>
        <v>#REF!</v>
      </c>
      <c r="U511" s="8" t="s">
        <v>25</v>
      </c>
      <c r="V511" s="25" t="s">
        <v>383</v>
      </c>
      <c r="W511" s="25" t="s">
        <v>144</v>
      </c>
      <c r="X511" s="9" t="s">
        <v>25</v>
      </c>
      <c r="Y511" s="9">
        <v>45863</v>
      </c>
      <c r="Z511" s="8">
        <v>45969</v>
      </c>
      <c r="AC511" s="8" t="e">
        <f>VLOOKUP(B511,#REF!,19,0)</f>
        <v>#REF!</v>
      </c>
      <c r="AE511" s="8" t="s">
        <v>547</v>
      </c>
      <c r="AF511" s="8">
        <v>45908</v>
      </c>
      <c r="AG511" s="8">
        <v>45908</v>
      </c>
      <c r="AH511" s="8" t="s">
        <v>2086</v>
      </c>
      <c r="AI511" s="8">
        <v>45909</v>
      </c>
      <c r="AJ511" s="8" t="s">
        <v>2087</v>
      </c>
      <c r="AK511" s="8">
        <v>45923</v>
      </c>
      <c r="AL511" s="8">
        <v>45915</v>
      </c>
      <c r="AM511" s="8">
        <v>45951</v>
      </c>
      <c r="AP511" s="8" t="str">
        <f t="shared" si="22"/>
        <v>Tempo Energized</v>
      </c>
      <c r="AR511" s="10" t="s">
        <v>2468</v>
      </c>
      <c r="AS511" s="8" t="s">
        <v>2469</v>
      </c>
      <c r="AT511" s="11"/>
      <c r="AU511" s="11"/>
      <c r="AV511" s="11"/>
      <c r="AW511" s="11"/>
      <c r="AX511" s="11"/>
      <c r="AY511" s="11"/>
      <c r="BD511" s="2" t="str">
        <f t="shared" si="23"/>
        <v>Vendor Allocated</v>
      </c>
      <c r="BF511" s="2" t="s">
        <v>2470</v>
      </c>
      <c r="BG511" s="2" t="e">
        <v>#N/A</v>
      </c>
      <c r="BH511" s="2" t="s">
        <v>758</v>
      </c>
    </row>
    <row r="512" spans="2:60" hidden="1" x14ac:dyDescent="0.25">
      <c r="B512" s="2" t="s">
        <v>2471</v>
      </c>
      <c r="C512" s="2" t="s">
        <v>2472</v>
      </c>
      <c r="D512" s="44" t="s">
        <v>2473</v>
      </c>
      <c r="E512" s="2" t="s">
        <v>4</v>
      </c>
      <c r="F512" s="2" t="s">
        <v>538</v>
      </c>
      <c r="G512" s="2" t="s">
        <v>1</v>
      </c>
      <c r="H512" s="2" t="s">
        <v>139</v>
      </c>
      <c r="I512" s="2" t="s">
        <v>140</v>
      </c>
      <c r="J512" s="2" t="s">
        <v>122</v>
      </c>
      <c r="K512" s="2" t="s">
        <v>359</v>
      </c>
      <c r="L512" s="2" t="s">
        <v>539</v>
      </c>
      <c r="M512" s="2">
        <v>0</v>
      </c>
      <c r="N512" s="2">
        <v>15.48165</v>
      </c>
      <c r="O512" s="2">
        <v>120.5544</v>
      </c>
      <c r="P512" s="2" t="s">
        <v>87</v>
      </c>
      <c r="Q512" s="2" t="s">
        <v>265</v>
      </c>
      <c r="R512" s="29" t="e">
        <f>IF(INDEX(#REF!,MATCH('data '!$B512,#REF!,0),MATCH('data '!R$3,#REF!,0))=0,"",INDEX(#REF!,MATCH('data '!$B512,#REF!,0),MATCH('data '!R$3,#REF!,0)))</f>
        <v>#REF!</v>
      </c>
      <c r="S512" s="29" t="e">
        <f>IF(INDEX(#REF!,MATCH('data '!$B512,#REF!,0),MATCH('data '!S$3,#REF!,0))=0,"",INDEX(#REF!,MATCH('data '!$B512,#REF!,0),MATCH('data '!S$3,#REF!,0)))</f>
        <v>#REF!</v>
      </c>
      <c r="T512" s="29" t="e">
        <f>IF(INDEX(#REF!,MATCH('data '!$B512,#REF!,0),MATCH('data '!T$3,#REF!,0))=0,"",INDEX(#REF!,MATCH('data '!$B512,#REF!,0),MATCH('data '!T$3,#REF!,0)))</f>
        <v>#REF!</v>
      </c>
      <c r="U512" s="8" t="s">
        <v>25</v>
      </c>
      <c r="V512" s="25" t="s">
        <v>383</v>
      </c>
      <c r="W512" s="25" t="s">
        <v>144</v>
      </c>
      <c r="X512" s="9" t="s">
        <v>25</v>
      </c>
      <c r="Y512" s="9">
        <v>45863</v>
      </c>
      <c r="Z512" s="8">
        <v>45969</v>
      </c>
      <c r="AA512" s="8" t="s">
        <v>2474</v>
      </c>
      <c r="AC512" s="8" t="e">
        <f>VLOOKUP(B512,#REF!,19,0)</f>
        <v>#REF!</v>
      </c>
      <c r="AE512" s="8" t="s">
        <v>547</v>
      </c>
      <c r="AF512" s="8">
        <v>45908</v>
      </c>
      <c r="AG512" s="8">
        <v>45908</v>
      </c>
      <c r="AH512" s="8" t="s">
        <v>2086</v>
      </c>
      <c r="AI512" s="8">
        <v>45909</v>
      </c>
      <c r="AJ512" s="8" t="s">
        <v>2087</v>
      </c>
      <c r="AK512" s="8">
        <v>45923</v>
      </c>
      <c r="AL512" s="8">
        <v>45915</v>
      </c>
      <c r="AM512" s="8">
        <v>45951</v>
      </c>
      <c r="AP512" s="8" t="str">
        <f t="shared" si="22"/>
        <v>Tempo Energized</v>
      </c>
      <c r="AR512" s="10" t="s">
        <v>2468</v>
      </c>
      <c r="AS512" s="8" t="s">
        <v>2469</v>
      </c>
      <c r="AT512" s="11"/>
      <c r="AU512" s="11"/>
      <c r="AV512" s="11"/>
      <c r="AW512" s="11"/>
      <c r="AX512" s="11"/>
      <c r="AY512" s="11"/>
      <c r="BD512" s="2" t="str">
        <f t="shared" si="23"/>
        <v>Vendor Allocated</v>
      </c>
      <c r="BF512" s="2" t="s">
        <v>2470</v>
      </c>
      <c r="BG512" s="2" t="e">
        <v>#N/A</v>
      </c>
      <c r="BH512" s="2" t="s">
        <v>758</v>
      </c>
    </row>
    <row r="513" spans="2:59" hidden="1" x14ac:dyDescent="0.25">
      <c r="B513" s="2" t="s">
        <v>2475</v>
      </c>
      <c r="C513" s="2" t="s">
        <v>2476</v>
      </c>
      <c r="D513" s="44" t="s">
        <v>2477</v>
      </c>
      <c r="E513" s="2" t="s">
        <v>4</v>
      </c>
      <c r="F513" s="2" t="s">
        <v>2078</v>
      </c>
      <c r="G513" s="2" t="s">
        <v>1</v>
      </c>
      <c r="H513" s="2" t="s">
        <v>120</v>
      </c>
      <c r="I513" s="2" t="s">
        <v>140</v>
      </c>
      <c r="J513" s="2" t="s">
        <v>122</v>
      </c>
      <c r="K513" s="2" t="s">
        <v>2079</v>
      </c>
      <c r="L513" s="2" t="s">
        <v>2256</v>
      </c>
      <c r="M513" s="2">
        <v>0</v>
      </c>
      <c r="N513" s="2">
        <v>0</v>
      </c>
      <c r="O513" s="2">
        <v>0</v>
      </c>
      <c r="P513" s="2" t="s">
        <v>407</v>
      </c>
      <c r="Q513" s="2" t="s">
        <v>73</v>
      </c>
      <c r="R513" s="29" t="e">
        <f>IF(INDEX(#REF!,MATCH('data '!$B513,#REF!,0),MATCH('data '!R$3,#REF!,0))=0,"",INDEX(#REF!,MATCH('data '!$B513,#REF!,0),MATCH('data '!R$3,#REF!,0)))</f>
        <v>#REF!</v>
      </c>
      <c r="S513" s="29" t="e">
        <f>IF(INDEX(#REF!,MATCH('data '!$B513,#REF!,0),MATCH('data '!S$3,#REF!,0))=0,"",INDEX(#REF!,MATCH('data '!$B513,#REF!,0),MATCH('data '!S$3,#REF!,0)))</f>
        <v>#REF!</v>
      </c>
      <c r="T513" s="29" t="e">
        <f>IF(INDEX(#REF!,MATCH('data '!$B513,#REF!,0),MATCH('data '!T$3,#REF!,0))=0,"",INDEX(#REF!,MATCH('data '!$B513,#REF!,0),MATCH('data '!T$3,#REF!,0)))</f>
        <v>#REF!</v>
      </c>
      <c r="V513" s="25" t="s">
        <v>204</v>
      </c>
      <c r="W513" s="25">
        <v>0</v>
      </c>
      <c r="AC513" s="8" t="e">
        <f>VLOOKUP(B513,#REF!,19,0)</f>
        <v>#REF!</v>
      </c>
      <c r="AE513" s="8" t="s">
        <v>547</v>
      </c>
      <c r="AF513" s="21">
        <v>45938</v>
      </c>
      <c r="AP513" s="8" t="str">
        <f t="shared" si="22"/>
        <v>Vendor Allocated</v>
      </c>
      <c r="AQ513" s="10" t="b" cm="1">
        <f t="array" aca="1" ref="AQ513" ca="1">IF(AM513&gt;0,(TODAY()-AM513),IF(AL513&gt;0,(TODAY()-AL513),IF(AK513&gt;0,(TODAY()-AK513,IF(AI513&gt;0,(TODAY()-AI513),IF(AG513&gt;0,(TODAY()-AG513),IF(AF513&gt;0,(TODAY()-AF513),IF(X513&gt;0,(TODAY()-X513)," "))))))))</f>
        <v>0</v>
      </c>
      <c r="BD513" s="2" t="str">
        <f t="shared" si="23"/>
        <v>Vendor Allocated</v>
      </c>
      <c r="BE513" s="2">
        <v>2</v>
      </c>
      <c r="BG513" s="2" t="s">
        <v>1636</v>
      </c>
    </row>
    <row r="514" spans="2:59" hidden="1" x14ac:dyDescent="0.25">
      <c r="B514" s="4" t="s">
        <v>2478</v>
      </c>
      <c r="C514" s="2" t="s">
        <v>2479</v>
      </c>
      <c r="D514" s="44" t="s">
        <v>2480</v>
      </c>
      <c r="E514" s="2" t="s">
        <v>6</v>
      </c>
      <c r="F514" s="2" t="e">
        <v>#N/A</v>
      </c>
      <c r="G514" s="2" t="s">
        <v>1</v>
      </c>
      <c r="H514" s="2" t="s">
        <v>111</v>
      </c>
      <c r="I514" s="2" t="s">
        <v>112</v>
      </c>
      <c r="J514" s="2" t="e">
        <v>#N/A</v>
      </c>
      <c r="K514" s="2" t="e">
        <v>#N/A</v>
      </c>
      <c r="L514" s="2" t="e">
        <v>#N/A</v>
      </c>
      <c r="M514" s="2" t="e">
        <v>#N/A</v>
      </c>
      <c r="N514" s="2" t="e">
        <v>#N/A</v>
      </c>
      <c r="O514" s="2" t="e">
        <v>#N/A</v>
      </c>
      <c r="P514" s="2" t="e">
        <v>#N/A</v>
      </c>
      <c r="Q514" s="2" t="e">
        <v>#N/A</v>
      </c>
      <c r="R514" s="29" t="e">
        <f>IF(INDEX(#REF!,MATCH('data '!$B514,#REF!,0),MATCH('data '!R$3,#REF!,0))=0,"",INDEX(#REF!,MATCH('data '!$B514,#REF!,0),MATCH('data '!R$3,#REF!,0)))</f>
        <v>#REF!</v>
      </c>
      <c r="S514" s="29" t="e">
        <f>IF(INDEX(#REF!,MATCH('data '!$B514,#REF!,0),MATCH('data '!S$3,#REF!,0))=0,"",INDEX(#REF!,MATCH('data '!$B514,#REF!,0),MATCH('data '!S$3,#REF!,0)))</f>
        <v>#REF!</v>
      </c>
      <c r="T514" s="29" t="e">
        <f>IF(INDEX(#REF!,MATCH('data '!$B514,#REF!,0),MATCH('data '!T$3,#REF!,0))=0,"",INDEX(#REF!,MATCH('data '!$B514,#REF!,0),MATCH('data '!T$3,#REF!,0)))</f>
        <v>#REF!</v>
      </c>
      <c r="V514" s="25" t="s">
        <v>160</v>
      </c>
      <c r="W514" s="25" t="s">
        <v>144</v>
      </c>
      <c r="X514" s="61"/>
      <c r="Y514" s="61"/>
      <c r="AC514" s="8" t="e">
        <f>VLOOKUP(B514,#REF!,19,0)</f>
        <v>#REF!</v>
      </c>
      <c r="AP514" s="8" t="str">
        <f t="shared" si="22"/>
        <v>Not yet endorsed</v>
      </c>
      <c r="AQ514" s="10" t="b" cm="1">
        <f t="array" aca="1" ref="AQ514" ca="1">IF(AM514&gt;0,(TODAY()-AM514),IF(AL514&gt;0,(TODAY()-AL514),IF(AK514&gt;0,(TODAY()-AK514,IF(AI514&gt;0,(TODAY()-AI514),IF(AG514&gt;0,(TODAY()-AG514),IF(AF514&gt;0,(TODAY()-AF514),IF(X514&gt;0,(TODAY()-X514)," "))))))))</f>
        <v>0</v>
      </c>
      <c r="BD514" s="2" t="str">
        <f t="shared" si="23"/>
        <v>Not yet endorsed</v>
      </c>
      <c r="BE514" s="2" t="s">
        <v>75</v>
      </c>
      <c r="BG514" s="2" t="e">
        <v>#N/A</v>
      </c>
    </row>
    <row r="515" spans="2:59" hidden="1" x14ac:dyDescent="0.25">
      <c r="B515" s="2" t="s">
        <v>2481</v>
      </c>
      <c r="C515" s="2" t="s">
        <v>2482</v>
      </c>
      <c r="D515" s="44" t="s">
        <v>2483</v>
      </c>
      <c r="E515" s="2" t="s">
        <v>6</v>
      </c>
      <c r="F515" s="2" t="s">
        <v>962</v>
      </c>
      <c r="G515" s="2" t="s">
        <v>1</v>
      </c>
      <c r="H515" s="2" t="s">
        <v>111</v>
      </c>
      <c r="I515" s="2" t="s">
        <v>112</v>
      </c>
      <c r="J515" s="2" t="s">
        <v>344</v>
      </c>
      <c r="K515" s="2" t="s">
        <v>963</v>
      </c>
      <c r="L515" s="2" t="s">
        <v>2484</v>
      </c>
      <c r="M515" s="2" t="s">
        <v>2485</v>
      </c>
      <c r="N515" s="2">
        <v>11.550079999999999</v>
      </c>
      <c r="O515" s="2">
        <v>122.54955</v>
      </c>
      <c r="P515" s="2" t="s">
        <v>87</v>
      </c>
      <c r="Q515" s="2" t="s">
        <v>184</v>
      </c>
      <c r="R515" s="29" t="e">
        <f>IF(INDEX(#REF!,MATCH('data '!$B515,#REF!,0),MATCH('data '!R$3,#REF!,0))=0,"",INDEX(#REF!,MATCH('data '!$B515,#REF!,0),MATCH('data '!R$3,#REF!,0)))</f>
        <v>#REF!</v>
      </c>
      <c r="S515" s="29" t="e">
        <f>IF(INDEX(#REF!,MATCH('data '!$B515,#REF!,0),MATCH('data '!S$3,#REF!,0))=0,"",INDEX(#REF!,MATCH('data '!$B515,#REF!,0),MATCH('data '!S$3,#REF!,0)))</f>
        <v>#REF!</v>
      </c>
      <c r="T515" s="29" t="e">
        <f>IF(INDEX(#REF!,MATCH('data '!$B515,#REF!,0),MATCH('data '!T$3,#REF!,0))=0,"",INDEX(#REF!,MATCH('data '!$B515,#REF!,0),MATCH('data '!T$3,#REF!,0)))</f>
        <v>#REF!</v>
      </c>
      <c r="U515" s="8" t="s">
        <v>25</v>
      </c>
      <c r="V515" s="25" t="s">
        <v>266</v>
      </c>
      <c r="W515" s="25" t="s">
        <v>144</v>
      </c>
      <c r="X515" s="9" t="s">
        <v>25</v>
      </c>
      <c r="Y515" s="9">
        <v>45790</v>
      </c>
      <c r="AA515" s="8" t="s">
        <v>2486</v>
      </c>
      <c r="AB515" s="8">
        <v>45849</v>
      </c>
      <c r="AC515" s="8" t="e">
        <f>VLOOKUP(B515,#REF!,19,0)</f>
        <v>#REF!</v>
      </c>
      <c r="AE515" s="8" t="s">
        <v>966</v>
      </c>
      <c r="AP515" s="8" t="str">
        <f t="shared" si="22"/>
        <v>BP Secured</v>
      </c>
      <c r="AQ515" s="10" t="b" cm="1">
        <f t="array" aca="1" ref="AQ515" ca="1">IF(AM515&gt;0,(TODAY()-AM515),IF(AL515&gt;0,(TODAY()-AL515),IF(AK515&gt;0,(TODAY()-AK515,IF(AI515&gt;0,(TODAY()-AI515),IF(AG515&gt;0,(TODAY()-AG515),IF(AF515&gt;0,(TODAY()-AF515),IF(X515&gt;0,(TODAY()-X515)," "))))))))</f>
        <v>0</v>
      </c>
      <c r="AT515" s="8" t="s">
        <v>155</v>
      </c>
      <c r="AU515" s="8">
        <v>45835</v>
      </c>
      <c r="AV515" s="8">
        <v>45835</v>
      </c>
      <c r="AX515" s="8">
        <v>45838</v>
      </c>
      <c r="BD515" s="2" t="str">
        <f t="shared" si="23"/>
        <v>PO Issued</v>
      </c>
      <c r="BE515" s="2">
        <v>102</v>
      </c>
      <c r="BG515" s="2" t="e">
        <v>#N/A</v>
      </c>
    </row>
    <row r="516" spans="2:59" hidden="1" x14ac:dyDescent="0.25">
      <c r="B516" s="2" t="s">
        <v>2487</v>
      </c>
      <c r="C516" s="2" t="s">
        <v>2488</v>
      </c>
      <c r="D516" s="44" t="s">
        <v>2489</v>
      </c>
      <c r="E516" s="2" t="s">
        <v>6</v>
      </c>
      <c r="F516" s="2">
        <v>0</v>
      </c>
      <c r="G516" s="2" t="s">
        <v>1</v>
      </c>
      <c r="H516" s="2" t="s">
        <v>111</v>
      </c>
      <c r="I516" s="2" t="s">
        <v>112</v>
      </c>
      <c r="J516" s="2" t="s">
        <v>344</v>
      </c>
      <c r="K516" s="2" t="s">
        <v>963</v>
      </c>
      <c r="L516" s="2" t="s">
        <v>2490</v>
      </c>
      <c r="M516" s="2">
        <v>0</v>
      </c>
      <c r="N516" s="2">
        <v>0</v>
      </c>
      <c r="O516" s="2">
        <v>0</v>
      </c>
      <c r="P516" s="2" t="s">
        <v>204</v>
      </c>
      <c r="Q516" s="2">
        <v>0</v>
      </c>
      <c r="R516" s="29" t="e">
        <f>IF(INDEX(#REF!,MATCH('data '!$B516,#REF!,0),MATCH('data '!R$3,#REF!,0))=0,"",INDEX(#REF!,MATCH('data '!$B516,#REF!,0),MATCH('data '!R$3,#REF!,0)))</f>
        <v>#REF!</v>
      </c>
      <c r="S516" s="29" t="e">
        <f>IF(INDEX(#REF!,MATCH('data '!$B516,#REF!,0),MATCH('data '!S$3,#REF!,0))=0,"",INDEX(#REF!,MATCH('data '!$B516,#REF!,0),MATCH('data '!S$3,#REF!,0)))</f>
        <v>#REF!</v>
      </c>
      <c r="T516" s="29" t="e">
        <f>IF(INDEX(#REF!,MATCH('data '!$B516,#REF!,0),MATCH('data '!T$3,#REF!,0))=0,"",INDEX(#REF!,MATCH('data '!$B516,#REF!,0),MATCH('data '!T$3,#REF!,0)))</f>
        <v>#REF!</v>
      </c>
      <c r="V516" s="25" t="s">
        <v>160</v>
      </c>
      <c r="W516" s="25" t="s">
        <v>144</v>
      </c>
      <c r="X516" s="61"/>
      <c r="Y516" s="61"/>
      <c r="AC516" s="8" t="e">
        <f>VLOOKUP(B516,#REF!,19,0)</f>
        <v>#REF!</v>
      </c>
      <c r="AP516" s="8" t="str">
        <f t="shared" ref="AP516:AP579" si="24">IF(AM516&gt;0,"Tempo Energized",IF(AL516&gt;0,"Tempo Permit Released",IF(AK516&gt;0,"COOP Surveyed",IF(AI516&gt;0,"PO Issued",IF(AG516&gt;0,"PQ Raised",IF(AF516&gt;0,"Vendor Allocated",IF(X516&gt;0,"BP Secured","Not yet endorsed")))))))</f>
        <v>Not yet endorsed</v>
      </c>
      <c r="AQ516" s="10" t="b" cm="1">
        <f t="array" aca="1" ref="AQ516" ca="1">IF(AM516&gt;0,(TODAY()-AM516),IF(AL516&gt;0,(TODAY()-AL516),IF(AK516&gt;0,(TODAY()-AK516,IF(AI516&gt;0,(TODAY()-AI516),IF(AG516&gt;0,(TODAY()-AG516),IF(AF516&gt;0,(TODAY()-AF516),IF(X516&gt;0,(TODAY()-X516)," "))))))))</f>
        <v>0</v>
      </c>
      <c r="BD516" s="2" t="str">
        <f t="shared" ref="BD516:BD579" si="25">IF(BC516&gt;0,"Permanent Energized",IF(BB516&gt;0,"Bill deposit Paid",IF(BA516&gt;0,"Line Construction Completed",IF(AZ516&gt;0,"Line Construction Started",IF(AX516&gt;0,"PO Issued",IF(AV516&gt;0,"PQ Raised",IF(AU516&gt;0,"BoQ Approved",IF(AT516&gt;0,"BoQ Submitted",IF(AF516&gt;0,"Vendor Allocated",IF(X516&gt;0,"BP Secured",IF(U516&gt;0,"TSSR Approved","Not yet endorsed")))))))))))</f>
        <v>Not yet endorsed</v>
      </c>
      <c r="BE516" s="2" t="s">
        <v>75</v>
      </c>
      <c r="BG516" s="2" t="e">
        <v>#N/A</v>
      </c>
    </row>
    <row r="517" spans="2:59" hidden="1" x14ac:dyDescent="0.25">
      <c r="B517" s="2" t="s">
        <v>2491</v>
      </c>
      <c r="C517" s="2" t="s">
        <v>2492</v>
      </c>
      <c r="D517" s="44" t="s">
        <v>2493</v>
      </c>
      <c r="E517" s="2" t="s">
        <v>6</v>
      </c>
      <c r="F517" s="2" t="e">
        <v>#N/A</v>
      </c>
      <c r="G517" s="2" t="s">
        <v>1</v>
      </c>
      <c r="H517" s="2" t="s">
        <v>111</v>
      </c>
      <c r="I517" s="2" t="s">
        <v>112</v>
      </c>
      <c r="J517" s="2" t="e">
        <v>#N/A</v>
      </c>
      <c r="K517" s="2" t="e">
        <v>#N/A</v>
      </c>
      <c r="L517" s="2" t="e">
        <v>#N/A</v>
      </c>
      <c r="M517" s="2" t="e">
        <v>#N/A</v>
      </c>
      <c r="N517" s="2" t="e">
        <v>#N/A</v>
      </c>
      <c r="O517" s="2" t="e">
        <v>#N/A</v>
      </c>
      <c r="P517" s="2" t="e">
        <v>#N/A</v>
      </c>
      <c r="Q517" s="2" t="e">
        <v>#N/A</v>
      </c>
      <c r="R517" s="29" t="e">
        <f>IF(INDEX(#REF!,MATCH('data '!$B517,#REF!,0),MATCH('data '!R$3,#REF!,0))=0,"",INDEX(#REF!,MATCH('data '!$B517,#REF!,0),MATCH('data '!R$3,#REF!,0)))</f>
        <v>#REF!</v>
      </c>
      <c r="S517" s="29" t="e">
        <f>IF(INDEX(#REF!,MATCH('data '!$B517,#REF!,0),MATCH('data '!S$3,#REF!,0))=0,"",INDEX(#REF!,MATCH('data '!$B517,#REF!,0),MATCH('data '!S$3,#REF!,0)))</f>
        <v>#REF!</v>
      </c>
      <c r="T517" s="29" t="e">
        <f>IF(INDEX(#REF!,MATCH('data '!$B517,#REF!,0),MATCH('data '!T$3,#REF!,0))=0,"",INDEX(#REF!,MATCH('data '!$B517,#REF!,0),MATCH('data '!T$3,#REF!,0)))</f>
        <v>#REF!</v>
      </c>
      <c r="V517" s="25" t="s">
        <v>168</v>
      </c>
      <c r="W517" s="25" t="s">
        <v>176</v>
      </c>
      <c r="AC517" s="8" t="e">
        <f>VLOOKUP(B517,#REF!,19,0)</f>
        <v>#REF!</v>
      </c>
      <c r="AP517" s="8" t="str">
        <f t="shared" si="24"/>
        <v>Not yet endorsed</v>
      </c>
      <c r="AQ517" s="10" t="b" cm="1">
        <f t="array" aca="1" ref="AQ517" ca="1">IF(AM517&gt;0,(TODAY()-AM517),IF(AL517&gt;0,(TODAY()-AL517),IF(AK517&gt;0,(TODAY()-AK517,IF(AI517&gt;0,(TODAY()-AI517),IF(AG517&gt;0,(TODAY()-AG517),IF(AF517&gt;0,(TODAY()-AF517),IF(X517&gt;0,(TODAY()-X517)," "))))))))</f>
        <v>0</v>
      </c>
      <c r="BD517" s="2" t="str">
        <f t="shared" si="25"/>
        <v>Not yet endorsed</v>
      </c>
      <c r="BE517" s="2" t="s">
        <v>75</v>
      </c>
      <c r="BG517" s="2" t="e">
        <v>#N/A</v>
      </c>
    </row>
    <row r="518" spans="2:59" hidden="1" x14ac:dyDescent="0.25">
      <c r="B518" s="2" t="s">
        <v>2494</v>
      </c>
      <c r="C518" s="2" t="s">
        <v>2495</v>
      </c>
      <c r="D518" s="44" t="s">
        <v>2496</v>
      </c>
      <c r="E518" s="2" t="s">
        <v>6</v>
      </c>
      <c r="F518" s="2" t="e">
        <v>#N/A</v>
      </c>
      <c r="G518" s="2" t="s">
        <v>1</v>
      </c>
      <c r="H518" s="2" t="s">
        <v>111</v>
      </c>
      <c r="I518" s="2" t="s">
        <v>112</v>
      </c>
      <c r="J518" s="2" t="e">
        <v>#N/A</v>
      </c>
      <c r="K518" s="2" t="e">
        <v>#N/A</v>
      </c>
      <c r="L518" s="2" t="e">
        <v>#N/A</v>
      </c>
      <c r="M518" s="2" t="e">
        <v>#N/A</v>
      </c>
      <c r="N518" s="2" t="e">
        <v>#N/A</v>
      </c>
      <c r="O518" s="2" t="e">
        <v>#N/A</v>
      </c>
      <c r="P518" s="2" t="e">
        <v>#N/A</v>
      </c>
      <c r="Q518" s="2" t="e">
        <v>#N/A</v>
      </c>
      <c r="R518" s="29" t="e">
        <f>IF(INDEX(#REF!,MATCH('data '!$B518,#REF!,0),MATCH('data '!R$3,#REF!,0))=0,"",INDEX(#REF!,MATCH('data '!$B518,#REF!,0),MATCH('data '!R$3,#REF!,0)))</f>
        <v>#REF!</v>
      </c>
      <c r="S518" s="29" t="e">
        <f>IF(INDEX(#REF!,MATCH('data '!$B518,#REF!,0),MATCH('data '!S$3,#REF!,0))=0,"",INDEX(#REF!,MATCH('data '!$B518,#REF!,0),MATCH('data '!S$3,#REF!,0)))</f>
        <v>#REF!</v>
      </c>
      <c r="T518" s="29" t="e">
        <f>IF(INDEX(#REF!,MATCH('data '!$B518,#REF!,0),MATCH('data '!T$3,#REF!,0))=0,"",INDEX(#REF!,MATCH('data '!$B518,#REF!,0),MATCH('data '!T$3,#REF!,0)))</f>
        <v>#REF!</v>
      </c>
      <c r="V518" s="25" t="s">
        <v>160</v>
      </c>
      <c r="W518" s="25" t="s">
        <v>144</v>
      </c>
      <c r="X518" s="9" t="s">
        <v>25</v>
      </c>
      <c r="Y518" s="9">
        <v>45951</v>
      </c>
      <c r="AC518" s="8" t="e">
        <f>VLOOKUP(B518,#REF!,19,0)</f>
        <v>#REF!</v>
      </c>
      <c r="AE518" s="8" t="s">
        <v>966</v>
      </c>
      <c r="AF518" s="8">
        <v>45957</v>
      </c>
      <c r="AG518" s="8">
        <v>45957</v>
      </c>
      <c r="AH518" s="8" t="s">
        <v>967</v>
      </c>
      <c r="AI518" s="8">
        <v>45964</v>
      </c>
      <c r="AJ518" s="8" t="s">
        <v>968</v>
      </c>
      <c r="AP518" s="8" t="str">
        <f t="shared" si="24"/>
        <v>PO Issued</v>
      </c>
      <c r="AQ518" s="10" t="b" cm="1">
        <f t="array" aca="1" ref="AQ518" ca="1">IF(AM518&gt;0,(TODAY()-AM518),IF(AL518&gt;0,(TODAY()-AL518),IF(AK518&gt;0,(TODAY()-AK518,IF(AI518&gt;0,(TODAY()-AI518),IF(AG518&gt;0,(TODAY()-AG518),IF(AF518&gt;0,(TODAY()-AF518),IF(X518&gt;0,(TODAY()-X518)," "))))))))</f>
        <v>0</v>
      </c>
      <c r="BD518" s="2" t="str">
        <f t="shared" si="25"/>
        <v>Vendor Allocated</v>
      </c>
      <c r="BE518" s="2" t="s">
        <v>75</v>
      </c>
      <c r="BG518" s="2" t="e">
        <v>#N/A</v>
      </c>
    </row>
    <row r="519" spans="2:59" ht="45" hidden="1" x14ac:dyDescent="0.25">
      <c r="B519" s="2" t="s">
        <v>2497</v>
      </c>
      <c r="C519" s="2" t="s">
        <v>2498</v>
      </c>
      <c r="D519" s="62" t="s">
        <v>2499</v>
      </c>
      <c r="E519" s="2" t="s">
        <v>6</v>
      </c>
      <c r="F519" s="2" t="e">
        <v>#N/A</v>
      </c>
      <c r="G519" s="2" t="s">
        <v>1</v>
      </c>
      <c r="H519" s="2" t="s">
        <v>111</v>
      </c>
      <c r="I519" s="2" t="s">
        <v>112</v>
      </c>
      <c r="J519" s="2" t="e">
        <v>#N/A</v>
      </c>
      <c r="K519" s="2" t="e">
        <v>#N/A</v>
      </c>
      <c r="L519" s="2" t="e">
        <v>#N/A</v>
      </c>
      <c r="M519" s="2" t="e">
        <v>#N/A</v>
      </c>
      <c r="N519" s="2" t="e">
        <v>#N/A</v>
      </c>
      <c r="O519" s="2" t="e">
        <v>#N/A</v>
      </c>
      <c r="P519" s="2" t="e">
        <v>#N/A</v>
      </c>
      <c r="Q519" s="2" t="e">
        <v>#N/A</v>
      </c>
      <c r="R519" s="29" t="e">
        <f>IF(INDEX(#REF!,MATCH('data '!$B519,#REF!,0),MATCH('data '!R$3,#REF!,0))=0,"",INDEX(#REF!,MATCH('data '!$B519,#REF!,0),MATCH('data '!R$3,#REF!,0)))</f>
        <v>#REF!</v>
      </c>
      <c r="S519" s="29" t="e">
        <f>IF(INDEX(#REF!,MATCH('data '!$B519,#REF!,0),MATCH('data '!S$3,#REF!,0))=0,"",INDEX(#REF!,MATCH('data '!$B519,#REF!,0),MATCH('data '!S$3,#REF!,0)))</f>
        <v>#REF!</v>
      </c>
      <c r="T519" s="29" t="e">
        <f>IF(INDEX(#REF!,MATCH('data '!$B519,#REF!,0),MATCH('data '!T$3,#REF!,0))=0,"",INDEX(#REF!,MATCH('data '!$B519,#REF!,0),MATCH('data '!T$3,#REF!,0)))</f>
        <v>#REF!</v>
      </c>
      <c r="V519" s="25" t="s">
        <v>160</v>
      </c>
      <c r="W519" s="25" t="s">
        <v>144</v>
      </c>
      <c r="X519" s="9" t="s">
        <v>25</v>
      </c>
      <c r="Y519" s="9">
        <v>45947</v>
      </c>
      <c r="AC519" s="8" t="e">
        <f>VLOOKUP(B519,#REF!,19,0)</f>
        <v>#REF!</v>
      </c>
      <c r="AE519" s="8" t="s">
        <v>966</v>
      </c>
      <c r="AF519" s="8">
        <v>45957</v>
      </c>
      <c r="AG519" s="8">
        <v>45957</v>
      </c>
      <c r="AH519" s="8" t="s">
        <v>967</v>
      </c>
      <c r="AI519" s="8">
        <v>45964</v>
      </c>
      <c r="AJ519" s="8" t="s">
        <v>968</v>
      </c>
      <c r="AP519" s="8" t="str">
        <f t="shared" si="24"/>
        <v>PO Issued</v>
      </c>
      <c r="AQ519" s="10" t="b" cm="1">
        <f t="array" aca="1" ref="AQ519" ca="1">IF(AM519&gt;0,(TODAY()-AM519),IF(AL519&gt;0,(TODAY()-AL519),IF(AK519&gt;0,(TODAY()-AK519,IF(AI519&gt;0,(TODAY()-AI519),IF(AG519&gt;0,(TODAY()-AG519),IF(AF519&gt;0,(TODAY()-AF519),IF(X519&gt;0,(TODAY()-X519)," "))))))))</f>
        <v>0</v>
      </c>
      <c r="BD519" s="2" t="str">
        <f t="shared" si="25"/>
        <v>Vendor Allocated</v>
      </c>
      <c r="BE519" s="2" t="s">
        <v>75</v>
      </c>
      <c r="BG519" s="2" t="e">
        <v>#N/A</v>
      </c>
    </row>
    <row r="520" spans="2:59" hidden="1" x14ac:dyDescent="0.25">
      <c r="B520" s="2" t="s">
        <v>2500</v>
      </c>
      <c r="C520" s="2" t="s">
        <v>2501</v>
      </c>
      <c r="D520" s="44" t="s">
        <v>2502</v>
      </c>
      <c r="E520" s="2" t="s">
        <v>11</v>
      </c>
      <c r="F520" s="2" t="s">
        <v>79</v>
      </c>
      <c r="G520" s="2" t="s">
        <v>1</v>
      </c>
      <c r="H520" s="2" t="s">
        <v>67</v>
      </c>
      <c r="I520" s="2" t="s">
        <v>68</v>
      </c>
      <c r="J520" s="2" t="s">
        <v>80</v>
      </c>
      <c r="K520" s="2" t="s">
        <v>81</v>
      </c>
      <c r="L520" s="2">
        <v>0</v>
      </c>
      <c r="M520" s="2">
        <v>0</v>
      </c>
      <c r="N520" s="2">
        <v>0</v>
      </c>
      <c r="O520" s="2">
        <v>0</v>
      </c>
      <c r="P520" s="2" t="s">
        <v>72</v>
      </c>
      <c r="Q520" s="2" t="s">
        <v>73</v>
      </c>
      <c r="R520" s="29" t="e">
        <f>IF(INDEX(#REF!,MATCH('data '!$B520,#REF!,0),MATCH('data '!R$3,#REF!,0))=0,"",INDEX(#REF!,MATCH('data '!$B520,#REF!,0),MATCH('data '!R$3,#REF!,0)))</f>
        <v>#REF!</v>
      </c>
      <c r="S520" s="29" t="e">
        <f>IF(INDEX(#REF!,MATCH('data '!$B520,#REF!,0),MATCH('data '!S$3,#REF!,0))=0,"",INDEX(#REF!,MATCH('data '!$B520,#REF!,0),MATCH('data '!S$3,#REF!,0)))</f>
        <v>#REF!</v>
      </c>
      <c r="T520" s="29" t="e">
        <f>IF(INDEX(#REF!,MATCH('data '!$B520,#REF!,0),MATCH('data '!T$3,#REF!,0))=0,"",INDEX(#REF!,MATCH('data '!$B520,#REF!,0),MATCH('data '!T$3,#REF!,0)))</f>
        <v>#REF!</v>
      </c>
      <c r="V520" s="25" t="s">
        <v>74</v>
      </c>
      <c r="W520" s="25">
        <v>0</v>
      </c>
      <c r="AC520" s="8" t="e">
        <f>VLOOKUP(B520,#REF!,19,0)</f>
        <v>#REF!</v>
      </c>
      <c r="AP520" s="8" t="str">
        <f t="shared" si="24"/>
        <v>Not yet endorsed</v>
      </c>
      <c r="AQ520" s="10" t="b" cm="1">
        <f t="array" aca="1" ref="AQ520" ca="1">IF(AM520&gt;0,(TODAY()-AM520),IF(AL520&gt;0,(TODAY()-AL520),IF(AK520&gt;0,(TODAY()-AK520,IF(AI520&gt;0,(TODAY()-AI520),IF(AG520&gt;0,(TODAY()-AG520),IF(AF520&gt;0,(TODAY()-AF520),IF(X520&gt;0,(TODAY()-X520)," "))))))))</f>
        <v>0</v>
      </c>
      <c r="BD520" s="2" t="str">
        <f t="shared" si="25"/>
        <v>Not yet endorsed</v>
      </c>
      <c r="BE520" s="2" t="s">
        <v>75</v>
      </c>
      <c r="BG520" s="2" t="e">
        <v>#N/A</v>
      </c>
    </row>
    <row r="521" spans="2:59" hidden="1" x14ac:dyDescent="0.25">
      <c r="B521" s="2" t="s">
        <v>2503</v>
      </c>
      <c r="C521" s="2" t="s">
        <v>2504</v>
      </c>
      <c r="D521" s="44" t="s">
        <v>2505</v>
      </c>
      <c r="E521" s="2" t="s">
        <v>11</v>
      </c>
      <c r="F521" s="2" t="s">
        <v>79</v>
      </c>
      <c r="G521" s="2" t="s">
        <v>1</v>
      </c>
      <c r="H521" s="2" t="s">
        <v>67</v>
      </c>
      <c r="I521" s="2" t="s">
        <v>68</v>
      </c>
      <c r="J521" s="2" t="s">
        <v>80</v>
      </c>
      <c r="K521" s="2" t="s">
        <v>81</v>
      </c>
      <c r="L521" s="2">
        <v>0</v>
      </c>
      <c r="M521" s="2">
        <v>0</v>
      </c>
      <c r="N521" s="2">
        <v>0</v>
      </c>
      <c r="O521" s="2">
        <v>0</v>
      </c>
      <c r="P521" s="2" t="s">
        <v>116</v>
      </c>
      <c r="Q521" s="2" t="s">
        <v>73</v>
      </c>
      <c r="R521" s="29" t="e">
        <f>IF(INDEX(#REF!,MATCH('data '!$B521,#REF!,0),MATCH('data '!R$3,#REF!,0))=0,"",INDEX(#REF!,MATCH('data '!$B521,#REF!,0),MATCH('data '!R$3,#REF!,0)))</f>
        <v>#REF!</v>
      </c>
      <c r="S521" s="29" t="e">
        <f>IF(INDEX(#REF!,MATCH('data '!$B521,#REF!,0),MATCH('data '!S$3,#REF!,0))=0,"",INDEX(#REF!,MATCH('data '!$B521,#REF!,0),MATCH('data '!S$3,#REF!,0)))</f>
        <v>#REF!</v>
      </c>
      <c r="T521" s="29" t="e">
        <f>IF(INDEX(#REF!,MATCH('data '!$B521,#REF!,0),MATCH('data '!T$3,#REF!,0))=0,"",INDEX(#REF!,MATCH('data '!$B521,#REF!,0),MATCH('data '!T$3,#REF!,0)))</f>
        <v>#REF!</v>
      </c>
      <c r="V521" s="25" t="s">
        <v>74</v>
      </c>
      <c r="W521" s="25">
        <v>0</v>
      </c>
      <c r="AC521" s="8" t="e">
        <f>VLOOKUP(B521,#REF!,19,0)</f>
        <v>#REF!</v>
      </c>
      <c r="AP521" s="8" t="str">
        <f t="shared" si="24"/>
        <v>Not yet endorsed</v>
      </c>
      <c r="AQ521" s="10" t="b" cm="1">
        <f t="array" aca="1" ref="AQ521" ca="1">IF(AM521&gt;0,(TODAY()-AM521),IF(AL521&gt;0,(TODAY()-AL521),IF(AK521&gt;0,(TODAY()-AK521,IF(AI521&gt;0,(TODAY()-AI521),IF(AG521&gt;0,(TODAY()-AG521),IF(AF521&gt;0,(TODAY()-AF521),IF(X521&gt;0,(TODAY()-X521)," "))))))))</f>
        <v>0</v>
      </c>
      <c r="BD521" s="2" t="str">
        <f t="shared" si="25"/>
        <v>Not yet endorsed</v>
      </c>
      <c r="BE521" s="2" t="s">
        <v>75</v>
      </c>
      <c r="BG521" s="2" t="e">
        <v>#N/A</v>
      </c>
    </row>
    <row r="522" spans="2:59" hidden="1" x14ac:dyDescent="0.25">
      <c r="B522" s="2" t="s">
        <v>2506</v>
      </c>
      <c r="C522" s="2" t="s">
        <v>2507</v>
      </c>
      <c r="D522" s="44" t="s">
        <v>2508</v>
      </c>
      <c r="E522" s="2" t="s">
        <v>11</v>
      </c>
      <c r="F522" s="2" t="s">
        <v>79</v>
      </c>
      <c r="G522" s="2" t="s">
        <v>1</v>
      </c>
      <c r="H522" s="2" t="s">
        <v>67</v>
      </c>
      <c r="I522" s="2" t="s">
        <v>68</v>
      </c>
      <c r="J522" s="2" t="s">
        <v>80</v>
      </c>
      <c r="K522" s="2" t="s">
        <v>81</v>
      </c>
      <c r="L522" s="2" t="s">
        <v>93</v>
      </c>
      <c r="M522" s="2" t="s">
        <v>2509</v>
      </c>
      <c r="N522" s="2">
        <v>7.1868850000000002</v>
      </c>
      <c r="O522" s="2">
        <v>125.621216</v>
      </c>
      <c r="P522" s="2" t="s">
        <v>87</v>
      </c>
      <c r="Q522" s="2" t="s">
        <v>219</v>
      </c>
      <c r="R522" s="29" t="e">
        <f>IF(INDEX(#REF!,MATCH('data '!$B522,#REF!,0),MATCH('data '!R$3,#REF!,0))=0,"",INDEX(#REF!,MATCH('data '!$B522,#REF!,0),MATCH('data '!R$3,#REF!,0)))</f>
        <v>#REF!</v>
      </c>
      <c r="S522" s="29" t="e">
        <f>IF(INDEX(#REF!,MATCH('data '!$B522,#REF!,0),MATCH('data '!S$3,#REF!,0))=0,"",INDEX(#REF!,MATCH('data '!$B522,#REF!,0),MATCH('data '!S$3,#REF!,0)))</f>
        <v>#REF!</v>
      </c>
      <c r="T522" s="29" t="e">
        <f>IF(INDEX(#REF!,MATCH('data '!$B522,#REF!,0),MATCH('data '!T$3,#REF!,0))=0,"",INDEX(#REF!,MATCH('data '!$B522,#REF!,0),MATCH('data '!T$3,#REF!,0)))</f>
        <v>#REF!</v>
      </c>
      <c r="U522" s="8" t="s">
        <v>25</v>
      </c>
      <c r="V522" s="25" t="s">
        <v>185</v>
      </c>
      <c r="W522" s="25" t="s">
        <v>144</v>
      </c>
      <c r="X522" s="43" t="s">
        <v>25</v>
      </c>
      <c r="Y522" s="43">
        <v>45875</v>
      </c>
      <c r="Z522" s="8">
        <v>45938</v>
      </c>
      <c r="AC522" s="8" t="e">
        <f>VLOOKUP(B522,#REF!,19,0)</f>
        <v>#REF!</v>
      </c>
      <c r="AE522" s="8" t="s">
        <v>497</v>
      </c>
      <c r="AP522" s="8" t="str">
        <f t="shared" si="24"/>
        <v>BP Secured</v>
      </c>
      <c r="AQ522" s="10" t="b" cm="1">
        <f t="array" aca="1" ref="AQ522" ca="1">IF(AM522&gt;0,(TODAY()-AM522),IF(AL522&gt;0,(TODAY()-AL522),IF(AK522&gt;0,(TODAY()-AK522,IF(AI522&gt;0,(TODAY()-AI522),IF(AG522&gt;0,(TODAY()-AG522),IF(AF522&gt;0,(TODAY()-AF522),IF(X522&gt;0,(TODAY()-X522)," "))))))))</f>
        <v>0</v>
      </c>
      <c r="AT522" s="8" t="s">
        <v>155</v>
      </c>
      <c r="AU522" s="8">
        <v>45917</v>
      </c>
      <c r="BD522" s="2" t="str">
        <f t="shared" si="25"/>
        <v>BoQ Approved</v>
      </c>
      <c r="BE522" s="2">
        <v>23</v>
      </c>
      <c r="BG522" s="2" t="e">
        <v>#N/A</v>
      </c>
    </row>
    <row r="523" spans="2:59" hidden="1" x14ac:dyDescent="0.25">
      <c r="B523" s="2" t="s">
        <v>2510</v>
      </c>
      <c r="C523" s="2" t="s">
        <v>2511</v>
      </c>
      <c r="D523" s="44" t="s">
        <v>2512</v>
      </c>
      <c r="E523" s="2" t="s">
        <v>11</v>
      </c>
      <c r="F523" s="2" t="s">
        <v>79</v>
      </c>
      <c r="G523" s="2" t="s">
        <v>1</v>
      </c>
      <c r="H523" s="2" t="s">
        <v>67</v>
      </c>
      <c r="I523" s="2" t="s">
        <v>68</v>
      </c>
      <c r="J523" s="2" t="s">
        <v>80</v>
      </c>
      <c r="K523" s="2" t="s">
        <v>81</v>
      </c>
      <c r="L523" s="2">
        <v>0</v>
      </c>
      <c r="M523" s="2">
        <v>0</v>
      </c>
      <c r="N523" s="2">
        <v>7.1959749999999998</v>
      </c>
      <c r="O523" s="2">
        <v>125.63855599999999</v>
      </c>
      <c r="P523" s="2" t="s">
        <v>87</v>
      </c>
      <c r="Q523" s="2" t="s">
        <v>314</v>
      </c>
      <c r="R523" s="29" t="e">
        <f>IF(INDEX(#REF!,MATCH('data '!$B523,#REF!,0),MATCH('data '!R$3,#REF!,0))=0,"",INDEX(#REF!,MATCH('data '!$B523,#REF!,0),MATCH('data '!R$3,#REF!,0)))</f>
        <v>#REF!</v>
      </c>
      <c r="S523" s="29" t="e">
        <f>IF(INDEX(#REF!,MATCH('data '!$B523,#REF!,0),MATCH('data '!S$3,#REF!,0))=0,"",INDEX(#REF!,MATCH('data '!$B523,#REF!,0),MATCH('data '!S$3,#REF!,0)))</f>
        <v>#REF!</v>
      </c>
      <c r="T523" s="29" t="e">
        <f>IF(INDEX(#REF!,MATCH('data '!$B523,#REF!,0),MATCH('data '!T$3,#REF!,0))=0,"",INDEX(#REF!,MATCH('data '!$B523,#REF!,0),MATCH('data '!T$3,#REF!,0)))</f>
        <v>#REF!</v>
      </c>
      <c r="U523" s="8" t="s">
        <v>25</v>
      </c>
      <c r="V523" s="25" t="s">
        <v>351</v>
      </c>
      <c r="W523" s="25" t="s">
        <v>144</v>
      </c>
      <c r="X523" s="43" t="s">
        <v>25</v>
      </c>
      <c r="Y523" s="43">
        <v>45875</v>
      </c>
      <c r="AC523" s="8" t="e">
        <f>VLOOKUP(B523,#REF!,19,0)</f>
        <v>#REF!</v>
      </c>
      <c r="AE523" s="8" t="s">
        <v>497</v>
      </c>
      <c r="AP523" s="8" t="str">
        <f t="shared" si="24"/>
        <v>BP Secured</v>
      </c>
      <c r="AQ523" s="10" t="b" cm="1">
        <f t="array" aca="1" ref="AQ523" ca="1">IF(AM523&gt;0,(TODAY()-AM523),IF(AL523&gt;0,(TODAY()-AL523),IF(AK523&gt;0,(TODAY()-AK523,IF(AI523&gt;0,(TODAY()-AI523),IF(AG523&gt;0,(TODAY()-AG523),IF(AF523&gt;0,(TODAY()-AF523),IF(X523&gt;0,(TODAY()-X523)," "))))))))</f>
        <v>0</v>
      </c>
      <c r="AT523" s="8" t="s">
        <v>155</v>
      </c>
      <c r="AU523" s="8">
        <v>45917</v>
      </c>
      <c r="BD523" s="2" t="str">
        <f t="shared" si="25"/>
        <v>BoQ Approved</v>
      </c>
      <c r="BE523" s="2">
        <v>23</v>
      </c>
      <c r="BG523" s="2" t="e">
        <v>#N/A</v>
      </c>
    </row>
    <row r="524" spans="2:59" hidden="1" x14ac:dyDescent="0.25">
      <c r="B524" s="2" t="s">
        <v>2513</v>
      </c>
      <c r="C524" s="2" t="s">
        <v>2514</v>
      </c>
      <c r="D524" s="44" t="s">
        <v>2515</v>
      </c>
      <c r="E524" s="2" t="s">
        <v>11</v>
      </c>
      <c r="F524" s="2">
        <v>0</v>
      </c>
      <c r="G524" s="2" t="s">
        <v>1</v>
      </c>
      <c r="H524" s="2" t="s">
        <v>67</v>
      </c>
      <c r="I524" s="2" t="s">
        <v>68</v>
      </c>
      <c r="J524" s="2" t="s">
        <v>80</v>
      </c>
      <c r="K524" s="2" t="s">
        <v>81</v>
      </c>
      <c r="L524" s="2">
        <v>0</v>
      </c>
      <c r="M524" s="2">
        <v>0</v>
      </c>
      <c r="N524" s="2">
        <v>0</v>
      </c>
      <c r="O524" s="2">
        <v>0</v>
      </c>
      <c r="P524" s="2" t="s">
        <v>168</v>
      </c>
      <c r="Q524" s="2">
        <v>0</v>
      </c>
      <c r="R524" s="29" t="e">
        <f>IF(INDEX(#REF!,MATCH('data '!$B524,#REF!,0),MATCH('data '!R$3,#REF!,0))=0,"",INDEX(#REF!,MATCH('data '!$B524,#REF!,0),MATCH('data '!R$3,#REF!,0)))</f>
        <v>#REF!</v>
      </c>
      <c r="S524" s="29" t="e">
        <f>IF(INDEX(#REF!,MATCH('data '!$B524,#REF!,0),MATCH('data '!S$3,#REF!,0))=0,"",INDEX(#REF!,MATCH('data '!$B524,#REF!,0),MATCH('data '!S$3,#REF!,0)))</f>
        <v>#REF!</v>
      </c>
      <c r="T524" s="29" t="e">
        <f>IF(INDEX(#REF!,MATCH('data '!$B524,#REF!,0),MATCH('data '!T$3,#REF!,0))=0,"",INDEX(#REF!,MATCH('data '!$B524,#REF!,0),MATCH('data '!T$3,#REF!,0)))</f>
        <v>#REF!</v>
      </c>
      <c r="V524" s="25" t="s">
        <v>102</v>
      </c>
      <c r="W524" s="25" t="s">
        <v>103</v>
      </c>
      <c r="X524" s="61"/>
      <c r="Y524" s="61"/>
      <c r="AC524" s="8" t="e">
        <f>VLOOKUP(B524,#REF!,19,0)</f>
        <v>#REF!</v>
      </c>
      <c r="AP524" s="8" t="str">
        <f t="shared" si="24"/>
        <v>Not yet endorsed</v>
      </c>
      <c r="AQ524" s="10" t="b" cm="1">
        <f t="array" aca="1" ref="AQ524" ca="1">IF(AM524&gt;0,(TODAY()-AM524),IF(AL524&gt;0,(TODAY()-AL524),IF(AK524&gt;0,(TODAY()-AK524,IF(AI524&gt;0,(TODAY()-AI524),IF(AG524&gt;0,(TODAY()-AG524),IF(AF524&gt;0,(TODAY()-AF524),IF(X524&gt;0,(TODAY()-X524)," "))))))))</f>
        <v>0</v>
      </c>
      <c r="BD524" s="2" t="str">
        <f t="shared" si="25"/>
        <v>Not yet endorsed</v>
      </c>
      <c r="BE524" s="2" t="s">
        <v>75</v>
      </c>
      <c r="BG524" s="2" t="e">
        <v>#N/A</v>
      </c>
    </row>
    <row r="525" spans="2:59" hidden="1" x14ac:dyDescent="0.25">
      <c r="B525" s="2" t="s">
        <v>2516</v>
      </c>
      <c r="C525" s="2" t="s">
        <v>2517</v>
      </c>
      <c r="D525" s="44" t="s">
        <v>2518</v>
      </c>
      <c r="E525" s="2" t="s">
        <v>11</v>
      </c>
      <c r="F525" s="2" t="s">
        <v>79</v>
      </c>
      <c r="G525" s="2" t="s">
        <v>1</v>
      </c>
      <c r="H525" s="2" t="s">
        <v>67</v>
      </c>
      <c r="I525" s="2" t="s">
        <v>68</v>
      </c>
      <c r="J525" s="2" t="s">
        <v>80</v>
      </c>
      <c r="K525" s="2" t="s">
        <v>81</v>
      </c>
      <c r="L525" s="2">
        <v>0</v>
      </c>
      <c r="M525" s="2">
        <v>0</v>
      </c>
      <c r="N525" s="2">
        <v>0</v>
      </c>
      <c r="O525" s="2">
        <v>0</v>
      </c>
      <c r="P525" s="2" t="s">
        <v>87</v>
      </c>
      <c r="Q525" s="2" t="s">
        <v>73</v>
      </c>
      <c r="R525" s="29" t="e">
        <f>IF(INDEX(#REF!,MATCH('data '!$B525,#REF!,0),MATCH('data '!R$3,#REF!,0))=0,"",INDEX(#REF!,MATCH('data '!$B525,#REF!,0),MATCH('data '!R$3,#REF!,0)))</f>
        <v>#REF!</v>
      </c>
      <c r="S525" s="29" t="e">
        <f>IF(INDEX(#REF!,MATCH('data '!$B525,#REF!,0),MATCH('data '!S$3,#REF!,0))=0,"",INDEX(#REF!,MATCH('data '!$B525,#REF!,0),MATCH('data '!S$3,#REF!,0)))</f>
        <v>#REF!</v>
      </c>
      <c r="T525" s="29" t="e">
        <f>IF(INDEX(#REF!,MATCH('data '!$B525,#REF!,0),MATCH('data '!T$3,#REF!,0))=0,"",INDEX(#REF!,MATCH('data '!$B525,#REF!,0),MATCH('data '!T$3,#REF!,0)))</f>
        <v>#REF!</v>
      </c>
      <c r="U525" s="8" t="s">
        <v>25</v>
      </c>
      <c r="V525" s="25" t="s">
        <v>102</v>
      </c>
      <c r="W525" s="25" t="s">
        <v>103</v>
      </c>
      <c r="X525" s="43" t="s">
        <v>25</v>
      </c>
      <c r="Y525" s="43">
        <v>45932</v>
      </c>
      <c r="AC525" s="8" t="e">
        <f>VLOOKUP(B525,#REF!,19,0)</f>
        <v>#REF!</v>
      </c>
      <c r="AP525" s="8" t="str">
        <f t="shared" si="24"/>
        <v>BP Secured</v>
      </c>
      <c r="AQ525" s="10" t="b" cm="1">
        <f t="array" aca="1" ref="AQ525" ca="1">IF(AM525&gt;0,(TODAY()-AM525),IF(AL525&gt;0,(TODAY()-AL525),IF(AK525&gt;0,(TODAY()-AK525,IF(AI525&gt;0,(TODAY()-AI525),IF(AG525&gt;0,(TODAY()-AG525),IF(AF525&gt;0,(TODAY()-AF525),IF(X525&gt;0,(TODAY()-X525)," "))))))))</f>
        <v>0</v>
      </c>
      <c r="BD525" s="2" t="str">
        <f t="shared" si="25"/>
        <v>BP Secured</v>
      </c>
      <c r="BE525" s="2" t="e">
        <v>#VALUE!</v>
      </c>
      <c r="BG525" s="2" t="e">
        <v>#N/A</v>
      </c>
    </row>
    <row r="526" spans="2:59" hidden="1" x14ac:dyDescent="0.25">
      <c r="B526" s="2" t="s">
        <v>2519</v>
      </c>
      <c r="C526" s="2" t="s">
        <v>2520</v>
      </c>
      <c r="D526" s="44" t="s">
        <v>2521</v>
      </c>
      <c r="E526" s="2" t="s">
        <v>11</v>
      </c>
      <c r="F526" s="2" t="s">
        <v>79</v>
      </c>
      <c r="G526" s="2" t="s">
        <v>1</v>
      </c>
      <c r="H526" s="2" t="s">
        <v>67</v>
      </c>
      <c r="I526" s="2" t="s">
        <v>68</v>
      </c>
      <c r="J526" s="2" t="s">
        <v>80</v>
      </c>
      <c r="K526" s="2" t="s">
        <v>81</v>
      </c>
      <c r="L526" s="2">
        <v>0</v>
      </c>
      <c r="M526" s="2">
        <v>0</v>
      </c>
      <c r="N526" s="2">
        <v>0</v>
      </c>
      <c r="O526" s="2">
        <v>0</v>
      </c>
      <c r="P526" s="2" t="s">
        <v>82</v>
      </c>
      <c r="Q526" s="2" t="s">
        <v>73</v>
      </c>
      <c r="R526" s="29" t="e">
        <f>IF(INDEX(#REF!,MATCH('data '!$B526,#REF!,0),MATCH('data '!R$3,#REF!,0))=0,"",INDEX(#REF!,MATCH('data '!$B526,#REF!,0),MATCH('data '!R$3,#REF!,0)))</f>
        <v>#REF!</v>
      </c>
      <c r="S526" s="29" t="e">
        <f>IF(INDEX(#REF!,MATCH('data '!$B526,#REF!,0),MATCH('data '!S$3,#REF!,0))=0,"",INDEX(#REF!,MATCH('data '!$B526,#REF!,0),MATCH('data '!S$3,#REF!,0)))</f>
        <v>#REF!</v>
      </c>
      <c r="T526" s="29" t="e">
        <f>IF(INDEX(#REF!,MATCH('data '!$B526,#REF!,0),MATCH('data '!T$3,#REF!,0))=0,"",INDEX(#REF!,MATCH('data '!$B526,#REF!,0),MATCH('data '!T$3,#REF!,0)))</f>
        <v>#REF!</v>
      </c>
      <c r="V526" s="25" t="s">
        <v>731</v>
      </c>
      <c r="W526" s="25">
        <v>0</v>
      </c>
      <c r="AC526" s="8" t="e">
        <f>VLOOKUP(B526,#REF!,19,0)</f>
        <v>#REF!</v>
      </c>
      <c r="AP526" s="8" t="str">
        <f t="shared" si="24"/>
        <v>Not yet endorsed</v>
      </c>
      <c r="AQ526" s="10" t="b" cm="1">
        <f t="array" aca="1" ref="AQ526" ca="1">IF(AM526&gt;0,(TODAY()-AM526),IF(AL526&gt;0,(TODAY()-AL526),IF(AK526&gt;0,(TODAY()-AK526,IF(AI526&gt;0,(TODAY()-AI526),IF(AG526&gt;0,(TODAY()-AG526),IF(AF526&gt;0,(TODAY()-AF526),IF(X526&gt;0,(TODAY()-X526)," "))))))))</f>
        <v>0</v>
      </c>
      <c r="BD526" s="2" t="str">
        <f t="shared" si="25"/>
        <v>Not yet endorsed</v>
      </c>
      <c r="BE526" s="2" t="s">
        <v>75</v>
      </c>
      <c r="BG526" s="2" t="e">
        <v>#N/A</v>
      </c>
    </row>
    <row r="527" spans="2:59" hidden="1" x14ac:dyDescent="0.25">
      <c r="B527" s="2" t="s">
        <v>2522</v>
      </c>
      <c r="C527" s="2" t="s">
        <v>2523</v>
      </c>
      <c r="D527" s="44" t="s">
        <v>2524</v>
      </c>
      <c r="E527" s="2" t="s">
        <v>11</v>
      </c>
      <c r="F527" s="2" t="s">
        <v>79</v>
      </c>
      <c r="G527" s="2" t="s">
        <v>1</v>
      </c>
      <c r="H527" s="2" t="s">
        <v>67</v>
      </c>
      <c r="I527" s="2" t="s">
        <v>68</v>
      </c>
      <c r="J527" s="2" t="s">
        <v>80</v>
      </c>
      <c r="K527" s="2" t="s">
        <v>81</v>
      </c>
      <c r="L527" s="2">
        <v>0</v>
      </c>
      <c r="M527" s="2">
        <v>0</v>
      </c>
      <c r="N527" s="2">
        <v>7.0514169999999998</v>
      </c>
      <c r="O527" s="2">
        <v>125.557728</v>
      </c>
      <c r="P527" s="2" t="s">
        <v>87</v>
      </c>
      <c r="Q527" s="2" t="s">
        <v>73</v>
      </c>
      <c r="R527" s="29" t="e">
        <f>IF(INDEX(#REF!,MATCH('data '!$B527,#REF!,0),MATCH('data '!R$3,#REF!,0))=0,"",INDEX(#REF!,MATCH('data '!$B527,#REF!,0),MATCH('data '!R$3,#REF!,0)))</f>
        <v>#REF!</v>
      </c>
      <c r="S527" s="29" t="e">
        <f>IF(INDEX(#REF!,MATCH('data '!$B527,#REF!,0),MATCH('data '!S$3,#REF!,0))=0,"",INDEX(#REF!,MATCH('data '!$B527,#REF!,0),MATCH('data '!S$3,#REF!,0)))</f>
        <v>#REF!</v>
      </c>
      <c r="T527" s="29" t="e">
        <f>IF(INDEX(#REF!,MATCH('data '!$B527,#REF!,0),MATCH('data '!T$3,#REF!,0))=0,"",INDEX(#REF!,MATCH('data '!$B527,#REF!,0),MATCH('data '!T$3,#REF!,0)))</f>
        <v>#REF!</v>
      </c>
      <c r="V527" s="25" t="s">
        <v>168</v>
      </c>
      <c r="W527" s="25" t="s">
        <v>176</v>
      </c>
      <c r="AC527" s="8" t="e">
        <f>VLOOKUP(B527,#REF!,19,0)</f>
        <v>#REF!</v>
      </c>
      <c r="AP527" s="8" t="str">
        <f t="shared" si="24"/>
        <v>Not yet endorsed</v>
      </c>
      <c r="AQ527" s="10" t="b" cm="1">
        <f t="array" aca="1" ref="AQ527" ca="1">IF(AM527&gt;0,(TODAY()-AM527),IF(AL527&gt;0,(TODAY()-AL527),IF(AK527&gt;0,(TODAY()-AK527,IF(AI527&gt;0,(TODAY()-AI527),IF(AG527&gt;0,(TODAY()-AG527),IF(AF527&gt;0,(TODAY()-AF527),IF(X527&gt;0,(TODAY()-X527)," "))))))))</f>
        <v>0</v>
      </c>
      <c r="BD527" s="2" t="str">
        <f t="shared" si="25"/>
        <v>Not yet endorsed</v>
      </c>
      <c r="BE527" s="2" t="e">
        <v>#VALUE!</v>
      </c>
      <c r="BG527" s="2" t="e">
        <v>#N/A</v>
      </c>
    </row>
    <row r="528" spans="2:59" hidden="1" x14ac:dyDescent="0.25">
      <c r="B528" s="2" t="s">
        <v>2525</v>
      </c>
      <c r="C528" s="2" t="s">
        <v>2526</v>
      </c>
      <c r="D528" s="44" t="s">
        <v>2527</v>
      </c>
      <c r="E528" s="2" t="s">
        <v>11</v>
      </c>
      <c r="F528" s="2" t="s">
        <v>79</v>
      </c>
      <c r="G528" s="2" t="s">
        <v>1</v>
      </c>
      <c r="H528" s="2" t="s">
        <v>67</v>
      </c>
      <c r="I528" s="2" t="s">
        <v>68</v>
      </c>
      <c r="J528" s="2" t="s">
        <v>80</v>
      </c>
      <c r="K528" s="2" t="s">
        <v>81</v>
      </c>
      <c r="L528" s="2" t="s">
        <v>93</v>
      </c>
      <c r="M528" s="2" t="s">
        <v>2528</v>
      </c>
      <c r="N528" s="2">
        <v>7.055917</v>
      </c>
      <c r="O528" s="2">
        <v>125.570847</v>
      </c>
      <c r="P528" s="2" t="s">
        <v>87</v>
      </c>
      <c r="Q528" s="2" t="s">
        <v>314</v>
      </c>
      <c r="R528" s="29" t="e">
        <f>IF(INDEX(#REF!,MATCH('data '!$B528,#REF!,0),MATCH('data '!R$3,#REF!,0))=0,"",INDEX(#REF!,MATCH('data '!$B528,#REF!,0),MATCH('data '!R$3,#REF!,0)))</f>
        <v>#REF!</v>
      </c>
      <c r="S528" s="29" t="e">
        <f>IF(INDEX(#REF!,MATCH('data '!$B528,#REF!,0),MATCH('data '!S$3,#REF!,0))=0,"",INDEX(#REF!,MATCH('data '!$B528,#REF!,0),MATCH('data '!S$3,#REF!,0)))</f>
        <v>#REF!</v>
      </c>
      <c r="T528" s="29" t="e">
        <f>IF(INDEX(#REF!,MATCH('data '!$B528,#REF!,0),MATCH('data '!T$3,#REF!,0))=0,"",INDEX(#REF!,MATCH('data '!$B528,#REF!,0),MATCH('data '!T$3,#REF!,0)))</f>
        <v>#REF!</v>
      </c>
      <c r="U528" s="8" t="s">
        <v>25</v>
      </c>
      <c r="V528" s="25" t="s">
        <v>351</v>
      </c>
      <c r="W528" s="25" t="s">
        <v>144</v>
      </c>
      <c r="X528" s="43" t="s">
        <v>25</v>
      </c>
      <c r="Y528" s="43">
        <v>45875</v>
      </c>
      <c r="AC528" s="8" t="e">
        <f>VLOOKUP(B528,#REF!,19,0)</f>
        <v>#REF!</v>
      </c>
      <c r="AP528" s="8" t="str">
        <f t="shared" si="24"/>
        <v>BP Secured</v>
      </c>
      <c r="AQ528" s="10" t="b" cm="1">
        <f t="array" aca="1" ref="AQ528" ca="1">IF(AM528&gt;0,(TODAY()-AM528),IF(AL528&gt;0,(TODAY()-AL528),IF(AK528&gt;0,(TODAY()-AK528,IF(AI528&gt;0,(TODAY()-AI528),IF(AG528&gt;0,(TODAY()-AG528),IF(AF528&gt;0,(TODAY()-AF528),IF(X528&gt;0,(TODAY()-X528)," "))))))))</f>
        <v>0</v>
      </c>
      <c r="BD528" s="2" t="str">
        <f t="shared" si="25"/>
        <v>BP Secured</v>
      </c>
      <c r="BE528" s="2" t="e">
        <v>#VALUE!</v>
      </c>
      <c r="BG528" s="2" t="e">
        <v>#N/A</v>
      </c>
    </row>
    <row r="529" spans="2:59" hidden="1" x14ac:dyDescent="0.25">
      <c r="B529" s="2" t="s">
        <v>2529</v>
      </c>
      <c r="C529" s="2" t="s">
        <v>2530</v>
      </c>
      <c r="D529" s="44" t="s">
        <v>2531</v>
      </c>
      <c r="E529" s="2" t="s">
        <v>11</v>
      </c>
      <c r="F529" s="2" t="s">
        <v>79</v>
      </c>
      <c r="G529" s="2" t="s">
        <v>1</v>
      </c>
      <c r="H529" s="2" t="s">
        <v>67</v>
      </c>
      <c r="I529" s="2" t="s">
        <v>68</v>
      </c>
      <c r="J529" s="2" t="s">
        <v>80</v>
      </c>
      <c r="K529" s="2" t="s">
        <v>81</v>
      </c>
      <c r="L529" s="2">
        <v>0</v>
      </c>
      <c r="M529" s="2">
        <v>0</v>
      </c>
      <c r="N529" s="2">
        <v>0</v>
      </c>
      <c r="O529" s="2">
        <v>0</v>
      </c>
      <c r="P529" s="2" t="s">
        <v>116</v>
      </c>
      <c r="Q529" s="2" t="s">
        <v>73</v>
      </c>
      <c r="R529" s="29" t="e">
        <f>IF(INDEX(#REF!,MATCH('data '!$B529,#REF!,0),MATCH('data '!R$3,#REF!,0))=0,"",INDEX(#REF!,MATCH('data '!$B529,#REF!,0),MATCH('data '!R$3,#REF!,0)))</f>
        <v>#REF!</v>
      </c>
      <c r="S529" s="29" t="e">
        <f>IF(INDEX(#REF!,MATCH('data '!$B529,#REF!,0),MATCH('data '!S$3,#REF!,0))=0,"",INDEX(#REF!,MATCH('data '!$B529,#REF!,0),MATCH('data '!S$3,#REF!,0)))</f>
        <v>#REF!</v>
      </c>
      <c r="T529" s="29" t="e">
        <f>IF(INDEX(#REF!,MATCH('data '!$B529,#REF!,0),MATCH('data '!T$3,#REF!,0))=0,"",INDEX(#REF!,MATCH('data '!$B529,#REF!,0),MATCH('data '!T$3,#REF!,0)))</f>
        <v>#REF!</v>
      </c>
      <c r="V529" s="25" t="s">
        <v>74</v>
      </c>
      <c r="W529" s="25">
        <v>0</v>
      </c>
      <c r="AC529" s="8" t="e">
        <f>VLOOKUP(B529,#REF!,19,0)</f>
        <v>#REF!</v>
      </c>
      <c r="AP529" s="8" t="str">
        <f t="shared" si="24"/>
        <v>Not yet endorsed</v>
      </c>
      <c r="AQ529" s="10" t="b" cm="1">
        <f t="array" aca="1" ref="AQ529" ca="1">IF(AM529&gt;0,(TODAY()-AM529),IF(AL529&gt;0,(TODAY()-AL529),IF(AK529&gt;0,(TODAY()-AK529,IF(AI529&gt;0,(TODAY()-AI529),IF(AG529&gt;0,(TODAY()-AG529),IF(AF529&gt;0,(TODAY()-AF529),IF(X529&gt;0,(TODAY()-X529)," "))))))))</f>
        <v>0</v>
      </c>
      <c r="BD529" s="2" t="str">
        <f t="shared" si="25"/>
        <v>Not yet endorsed</v>
      </c>
      <c r="BE529" s="2" t="s">
        <v>75</v>
      </c>
      <c r="BG529" s="2" t="e">
        <v>#N/A</v>
      </c>
    </row>
    <row r="530" spans="2:59" hidden="1" x14ac:dyDescent="0.25">
      <c r="B530" s="2" t="s">
        <v>2532</v>
      </c>
      <c r="C530" s="2" t="s">
        <v>2533</v>
      </c>
      <c r="D530" s="44" t="s">
        <v>2534</v>
      </c>
      <c r="E530" s="2" t="s">
        <v>11</v>
      </c>
      <c r="F530" s="2" t="s">
        <v>79</v>
      </c>
      <c r="G530" s="2" t="s">
        <v>1</v>
      </c>
      <c r="H530" s="2" t="s">
        <v>67</v>
      </c>
      <c r="I530" s="2" t="s">
        <v>68</v>
      </c>
      <c r="J530" s="2" t="s">
        <v>80</v>
      </c>
      <c r="K530" s="2" t="s">
        <v>81</v>
      </c>
      <c r="L530" s="2">
        <v>0</v>
      </c>
      <c r="M530" s="2">
        <v>0</v>
      </c>
      <c r="N530" s="2">
        <v>0</v>
      </c>
      <c r="O530" s="2">
        <v>0</v>
      </c>
      <c r="P530" s="2" t="s">
        <v>116</v>
      </c>
      <c r="Q530" s="2" t="s">
        <v>73</v>
      </c>
      <c r="R530" s="29" t="e">
        <f>IF(INDEX(#REF!,MATCH('data '!$B530,#REF!,0),MATCH('data '!R$3,#REF!,0))=0,"",INDEX(#REF!,MATCH('data '!$B530,#REF!,0),MATCH('data '!R$3,#REF!,0)))</f>
        <v>#REF!</v>
      </c>
      <c r="S530" s="29" t="e">
        <f>IF(INDEX(#REF!,MATCH('data '!$B530,#REF!,0),MATCH('data '!S$3,#REF!,0))=0,"",INDEX(#REF!,MATCH('data '!$B530,#REF!,0),MATCH('data '!S$3,#REF!,0)))</f>
        <v>#REF!</v>
      </c>
      <c r="T530" s="29" t="e">
        <f>IF(INDEX(#REF!,MATCH('data '!$B530,#REF!,0),MATCH('data '!T$3,#REF!,0))=0,"",INDEX(#REF!,MATCH('data '!$B530,#REF!,0),MATCH('data '!T$3,#REF!,0)))</f>
        <v>#REF!</v>
      </c>
      <c r="V530" s="25" t="s">
        <v>95</v>
      </c>
      <c r="W530" s="25">
        <v>0</v>
      </c>
      <c r="AC530" s="8" t="e">
        <f>VLOOKUP(B530,#REF!,19,0)</f>
        <v>#REF!</v>
      </c>
      <c r="AP530" s="8" t="str">
        <f t="shared" si="24"/>
        <v>Not yet endorsed</v>
      </c>
      <c r="AQ530" s="10" t="b" cm="1">
        <f t="array" aca="1" ref="AQ530" ca="1">IF(AM530&gt;0,(TODAY()-AM530),IF(AL530&gt;0,(TODAY()-AL530),IF(AK530&gt;0,(TODAY()-AK530,IF(AI530&gt;0,(TODAY()-AI530),IF(AG530&gt;0,(TODAY()-AG530),IF(AF530&gt;0,(TODAY()-AF530),IF(X530&gt;0,(TODAY()-X530)," "))))))))</f>
        <v>0</v>
      </c>
      <c r="BD530" s="2" t="str">
        <f t="shared" si="25"/>
        <v>Not yet endorsed</v>
      </c>
      <c r="BE530" s="2" t="s">
        <v>75</v>
      </c>
      <c r="BG530" s="2" t="e">
        <v>#N/A</v>
      </c>
    </row>
    <row r="531" spans="2:59" hidden="1" x14ac:dyDescent="0.25">
      <c r="B531" s="2" t="s">
        <v>2535</v>
      </c>
      <c r="C531" s="2" t="s">
        <v>2536</v>
      </c>
      <c r="D531" s="44" t="s">
        <v>2537</v>
      </c>
      <c r="E531" s="2" t="s">
        <v>11</v>
      </c>
      <c r="F531" s="2" t="s">
        <v>79</v>
      </c>
      <c r="G531" s="2" t="s">
        <v>1</v>
      </c>
      <c r="H531" s="2" t="s">
        <v>67</v>
      </c>
      <c r="I531" s="2" t="s">
        <v>68</v>
      </c>
      <c r="J531" s="2" t="s">
        <v>80</v>
      </c>
      <c r="K531" s="2" t="s">
        <v>81</v>
      </c>
      <c r="L531" s="2">
        <v>0</v>
      </c>
      <c r="M531" s="2">
        <v>0</v>
      </c>
      <c r="N531" s="2">
        <v>0</v>
      </c>
      <c r="O531" s="2">
        <v>0</v>
      </c>
      <c r="P531" s="2" t="s">
        <v>72</v>
      </c>
      <c r="Q531" s="2" t="s">
        <v>73</v>
      </c>
      <c r="R531" s="29" t="e">
        <f>IF(INDEX(#REF!,MATCH('data '!$B531,#REF!,0),MATCH('data '!R$3,#REF!,0))=0,"",INDEX(#REF!,MATCH('data '!$B531,#REF!,0),MATCH('data '!R$3,#REF!,0)))</f>
        <v>#REF!</v>
      </c>
      <c r="S531" s="29" t="e">
        <f>IF(INDEX(#REF!,MATCH('data '!$B531,#REF!,0),MATCH('data '!S$3,#REF!,0))=0,"",INDEX(#REF!,MATCH('data '!$B531,#REF!,0),MATCH('data '!S$3,#REF!,0)))</f>
        <v>#REF!</v>
      </c>
      <c r="T531" s="29" t="e">
        <f>IF(INDEX(#REF!,MATCH('data '!$B531,#REF!,0),MATCH('data '!T$3,#REF!,0))=0,"",INDEX(#REF!,MATCH('data '!$B531,#REF!,0),MATCH('data '!T$3,#REF!,0)))</f>
        <v>#REF!</v>
      </c>
      <c r="V531" s="25" t="s">
        <v>74</v>
      </c>
      <c r="W531" s="25">
        <v>0</v>
      </c>
      <c r="AC531" s="8" t="e">
        <f>VLOOKUP(B531,#REF!,19,0)</f>
        <v>#REF!</v>
      </c>
      <c r="AP531" s="8" t="str">
        <f t="shared" si="24"/>
        <v>Not yet endorsed</v>
      </c>
      <c r="AQ531" s="10" t="b" cm="1">
        <f t="array" aca="1" ref="AQ531" ca="1">IF(AM531&gt;0,(TODAY()-AM531),IF(AL531&gt;0,(TODAY()-AL531),IF(AK531&gt;0,(TODAY()-AK531,IF(AI531&gt;0,(TODAY()-AI531),IF(AG531&gt;0,(TODAY()-AG531),IF(AF531&gt;0,(TODAY()-AF531),IF(X531&gt;0,(TODAY()-X531)," "))))))))</f>
        <v>0</v>
      </c>
      <c r="BD531" s="2" t="str">
        <f t="shared" si="25"/>
        <v>Not yet endorsed</v>
      </c>
      <c r="BE531" s="2" t="s">
        <v>75</v>
      </c>
      <c r="BG531" s="2" t="e">
        <v>#N/A</v>
      </c>
    </row>
    <row r="532" spans="2:59" hidden="1" x14ac:dyDescent="0.25">
      <c r="B532" s="2" t="s">
        <v>2538</v>
      </c>
      <c r="C532" s="2" t="s">
        <v>2539</v>
      </c>
      <c r="D532" s="44" t="s">
        <v>2540</v>
      </c>
      <c r="E532" s="2" t="s">
        <v>11</v>
      </c>
      <c r="F532" s="2" t="s">
        <v>79</v>
      </c>
      <c r="G532" s="2" t="s">
        <v>1</v>
      </c>
      <c r="H532" s="2" t="s">
        <v>67</v>
      </c>
      <c r="I532" s="2" t="s">
        <v>68</v>
      </c>
      <c r="J532" s="2" t="s">
        <v>80</v>
      </c>
      <c r="K532" s="2" t="s">
        <v>81</v>
      </c>
      <c r="L532" s="2">
        <v>0</v>
      </c>
      <c r="M532" s="2">
        <v>0</v>
      </c>
      <c r="N532" s="2">
        <v>0</v>
      </c>
      <c r="O532" s="2">
        <v>0</v>
      </c>
      <c r="P532" s="2" t="s">
        <v>116</v>
      </c>
      <c r="Q532" s="2" t="s">
        <v>73</v>
      </c>
      <c r="R532" s="29" t="e">
        <f>IF(INDEX(#REF!,MATCH('data '!$B532,#REF!,0),MATCH('data '!R$3,#REF!,0))=0,"",INDEX(#REF!,MATCH('data '!$B532,#REF!,0),MATCH('data '!R$3,#REF!,0)))</f>
        <v>#REF!</v>
      </c>
      <c r="S532" s="29" t="e">
        <f>IF(INDEX(#REF!,MATCH('data '!$B532,#REF!,0),MATCH('data '!S$3,#REF!,0))=0,"",INDEX(#REF!,MATCH('data '!$B532,#REF!,0),MATCH('data '!S$3,#REF!,0)))</f>
        <v>#REF!</v>
      </c>
      <c r="T532" s="29" t="e">
        <f>IF(INDEX(#REF!,MATCH('data '!$B532,#REF!,0),MATCH('data '!T$3,#REF!,0))=0,"",INDEX(#REF!,MATCH('data '!$B532,#REF!,0),MATCH('data '!T$3,#REF!,0)))</f>
        <v>#REF!</v>
      </c>
      <c r="V532" s="25" t="s">
        <v>74</v>
      </c>
      <c r="W532" s="25">
        <v>0</v>
      </c>
      <c r="AC532" s="8" t="e">
        <f>VLOOKUP(B532,#REF!,19,0)</f>
        <v>#REF!</v>
      </c>
      <c r="AP532" s="8" t="str">
        <f t="shared" si="24"/>
        <v>Not yet endorsed</v>
      </c>
      <c r="AQ532" s="10" t="b" cm="1">
        <f t="array" aca="1" ref="AQ532" ca="1">IF(AM532&gt;0,(TODAY()-AM532),IF(AL532&gt;0,(TODAY()-AL532),IF(AK532&gt;0,(TODAY()-AK532,IF(AI532&gt;0,(TODAY()-AI532),IF(AG532&gt;0,(TODAY()-AG532),IF(AF532&gt;0,(TODAY()-AF532),IF(X532&gt;0,(TODAY()-X532)," "))))))))</f>
        <v>0</v>
      </c>
      <c r="BD532" s="2" t="str">
        <f t="shared" si="25"/>
        <v>Not yet endorsed</v>
      </c>
      <c r="BE532" s="2" t="s">
        <v>75</v>
      </c>
      <c r="BG532" s="2" t="e">
        <v>#N/A</v>
      </c>
    </row>
    <row r="533" spans="2:59" hidden="1" x14ac:dyDescent="0.25">
      <c r="B533" s="2" t="s">
        <v>2541</v>
      </c>
      <c r="C533" s="2" t="s">
        <v>2542</v>
      </c>
      <c r="D533" s="44" t="s">
        <v>2543</v>
      </c>
      <c r="E533" s="2" t="s">
        <v>11</v>
      </c>
      <c r="F533" s="2" t="s">
        <v>450</v>
      </c>
      <c r="G533" s="2" t="s">
        <v>1</v>
      </c>
      <c r="H533" s="2" t="s">
        <v>165</v>
      </c>
      <c r="I533" s="2" t="s">
        <v>68</v>
      </c>
      <c r="J533" s="2" t="s">
        <v>239</v>
      </c>
      <c r="K533" s="2" t="s">
        <v>451</v>
      </c>
      <c r="L533" s="2" t="s">
        <v>2544</v>
      </c>
      <c r="M533" s="2" t="s">
        <v>639</v>
      </c>
      <c r="N533" s="2">
        <v>8.0110030000000005</v>
      </c>
      <c r="O533" s="2">
        <v>126.01777</v>
      </c>
      <c r="P533" s="2" t="s">
        <v>87</v>
      </c>
      <c r="Q533" s="2" t="s">
        <v>184</v>
      </c>
      <c r="R533" s="29" t="e">
        <f>IF(INDEX(#REF!,MATCH('data '!$B533,#REF!,0),MATCH('data '!R$3,#REF!,0))=0,"",INDEX(#REF!,MATCH('data '!$B533,#REF!,0),MATCH('data '!R$3,#REF!,0)))</f>
        <v>#REF!</v>
      </c>
      <c r="S533" s="29" t="e">
        <f>IF(INDEX(#REF!,MATCH('data '!$B533,#REF!,0),MATCH('data '!S$3,#REF!,0))=0,"",INDEX(#REF!,MATCH('data '!$B533,#REF!,0),MATCH('data '!S$3,#REF!,0)))</f>
        <v>#REF!</v>
      </c>
      <c r="T533" s="29" t="e">
        <f>IF(INDEX(#REF!,MATCH('data '!$B533,#REF!,0),MATCH('data '!T$3,#REF!,0))=0,"",INDEX(#REF!,MATCH('data '!$B533,#REF!,0),MATCH('data '!T$3,#REF!,0)))</f>
        <v>#REF!</v>
      </c>
      <c r="U533" s="8" t="s">
        <v>25</v>
      </c>
      <c r="V533" s="25" t="s">
        <v>185</v>
      </c>
      <c r="W533" s="25" t="s">
        <v>144</v>
      </c>
      <c r="X533" s="43" t="s">
        <v>25</v>
      </c>
      <c r="Y533" s="43">
        <v>45797</v>
      </c>
      <c r="Z533" s="8">
        <v>45694</v>
      </c>
      <c r="AA533" s="8">
        <v>45665</v>
      </c>
      <c r="AC533" s="8" t="e">
        <f>VLOOKUP(B533,#REF!,19,0)</f>
        <v>#REF!</v>
      </c>
      <c r="AE533" s="8" t="s">
        <v>460</v>
      </c>
      <c r="AP533" s="8" t="str">
        <f t="shared" si="24"/>
        <v>BP Secured</v>
      </c>
      <c r="AQ533" s="10" t="b" cm="1">
        <f t="array" aca="1" ref="AQ533" ca="1">IF(AM533&gt;0,(TODAY()-AM533),IF(AL533&gt;0,(TODAY()-AL533),IF(AK533&gt;0,(TODAY()-AK533,IF(AI533&gt;0,(TODAY()-AI533),IF(AG533&gt;0,(TODAY()-AG533),IF(AF533&gt;0,(TODAY()-AF533),IF(X533&gt;0,(TODAY()-X533)," "))))))))</f>
        <v>0</v>
      </c>
      <c r="AT533" s="8" t="s">
        <v>155</v>
      </c>
      <c r="AU533" s="8">
        <v>45911</v>
      </c>
      <c r="AV533" s="8">
        <v>45909</v>
      </c>
      <c r="AX533" s="8">
        <v>45912</v>
      </c>
      <c r="BD533" s="2" t="str">
        <f t="shared" si="25"/>
        <v>PO Issued</v>
      </c>
      <c r="BE533" s="2">
        <v>28</v>
      </c>
      <c r="BG533" s="2" t="e">
        <v>#N/A</v>
      </c>
    </row>
    <row r="534" spans="2:59" hidden="1" x14ac:dyDescent="0.25">
      <c r="B534" s="2" t="s">
        <v>2545</v>
      </c>
      <c r="C534" s="2" t="s">
        <v>2546</v>
      </c>
      <c r="D534" s="44" t="s">
        <v>2547</v>
      </c>
      <c r="E534" s="2" t="s">
        <v>11</v>
      </c>
      <c r="F534" s="2" t="s">
        <v>597</v>
      </c>
      <c r="G534" s="2" t="s">
        <v>1</v>
      </c>
      <c r="H534" s="2" t="s">
        <v>165</v>
      </c>
      <c r="I534" s="2" t="s">
        <v>68</v>
      </c>
      <c r="J534" s="2" t="s">
        <v>239</v>
      </c>
      <c r="K534" s="2" t="s">
        <v>598</v>
      </c>
      <c r="L534" s="2" t="s">
        <v>2548</v>
      </c>
      <c r="M534" s="2">
        <v>0</v>
      </c>
      <c r="N534" s="2">
        <v>9.0202000000000009</v>
      </c>
      <c r="O534" s="2">
        <v>125.51819999999999</v>
      </c>
      <c r="P534" s="2" t="s">
        <v>87</v>
      </c>
      <c r="Q534" s="2" t="s">
        <v>184</v>
      </c>
      <c r="R534" s="29" t="e">
        <f>IF(INDEX(#REF!,MATCH('data '!$B534,#REF!,0),MATCH('data '!R$3,#REF!,0))=0,"",INDEX(#REF!,MATCH('data '!$B534,#REF!,0),MATCH('data '!R$3,#REF!,0)))</f>
        <v>#REF!</v>
      </c>
      <c r="S534" s="29" t="e">
        <f>IF(INDEX(#REF!,MATCH('data '!$B534,#REF!,0),MATCH('data '!S$3,#REF!,0))=0,"",INDEX(#REF!,MATCH('data '!$B534,#REF!,0),MATCH('data '!S$3,#REF!,0)))</f>
        <v>#REF!</v>
      </c>
      <c r="T534" s="29" t="e">
        <f>IF(INDEX(#REF!,MATCH('data '!$B534,#REF!,0),MATCH('data '!T$3,#REF!,0))=0,"",INDEX(#REF!,MATCH('data '!$B534,#REF!,0),MATCH('data '!T$3,#REF!,0)))</f>
        <v>#REF!</v>
      </c>
      <c r="U534" s="8" t="s">
        <v>25</v>
      </c>
      <c r="V534" s="25" t="s">
        <v>185</v>
      </c>
      <c r="W534" s="25" t="s">
        <v>144</v>
      </c>
      <c r="X534" s="43" t="s">
        <v>25</v>
      </c>
      <c r="Y534" s="43">
        <v>45827</v>
      </c>
      <c r="AA534" s="8" t="s">
        <v>2549</v>
      </c>
      <c r="AC534" s="8" t="e">
        <f>VLOOKUP(B534,#REF!,19,0)</f>
        <v>#REF!</v>
      </c>
      <c r="AE534" s="8" t="s">
        <v>472</v>
      </c>
      <c r="AP534" s="8" t="str">
        <f t="shared" si="24"/>
        <v>BP Secured</v>
      </c>
      <c r="AQ534" s="10" t="b" cm="1">
        <f t="array" aca="1" ref="AQ534" ca="1">IF(AM534&gt;0,(TODAY()-AM534),IF(AL534&gt;0,(TODAY()-AL534),IF(AK534&gt;0,(TODAY()-AK534,IF(AI534&gt;0,(TODAY()-AI534),IF(AG534&gt;0,(TODAY()-AG534),IF(AF534&gt;0,(TODAY()-AF534),IF(X534&gt;0,(TODAY()-X534)," "))))))))</f>
        <v>0</v>
      </c>
      <c r="AT534" s="8" t="s">
        <v>155</v>
      </c>
      <c r="AU534" s="8">
        <v>45883</v>
      </c>
      <c r="AV534" s="8">
        <v>45884</v>
      </c>
      <c r="AX534" s="8">
        <v>45887</v>
      </c>
      <c r="BD534" s="2" t="str">
        <f t="shared" si="25"/>
        <v>PO Issued</v>
      </c>
      <c r="BE534" s="2">
        <v>53</v>
      </c>
      <c r="BG534" s="2" t="e">
        <v>#N/A</v>
      </c>
    </row>
    <row r="535" spans="2:59" hidden="1" x14ac:dyDescent="0.25">
      <c r="B535" s="2" t="s">
        <v>2550</v>
      </c>
      <c r="C535" s="2" t="s">
        <v>2551</v>
      </c>
      <c r="D535" s="44" t="s">
        <v>2552</v>
      </c>
      <c r="E535" s="2" t="s">
        <v>11</v>
      </c>
      <c r="F535" s="2" t="s">
        <v>180</v>
      </c>
      <c r="G535" s="2" t="s">
        <v>1</v>
      </c>
      <c r="H535" s="2" t="s">
        <v>165</v>
      </c>
      <c r="I535" s="2" t="s">
        <v>68</v>
      </c>
      <c r="J535" s="2" t="s">
        <v>181</v>
      </c>
      <c r="K535" s="2" t="s">
        <v>182</v>
      </c>
      <c r="L535" s="2" t="s">
        <v>183</v>
      </c>
      <c r="M535" s="2">
        <v>0</v>
      </c>
      <c r="N535" s="2">
        <v>0</v>
      </c>
      <c r="O535" s="2">
        <v>0</v>
      </c>
      <c r="P535" s="2" t="s">
        <v>318</v>
      </c>
      <c r="Q535" s="2" t="s">
        <v>73</v>
      </c>
      <c r="R535" s="29" t="e">
        <f>IF(INDEX(#REF!,MATCH('data '!$B535,#REF!,0),MATCH('data '!R$3,#REF!,0))=0,"",INDEX(#REF!,MATCH('data '!$B535,#REF!,0),MATCH('data '!R$3,#REF!,0)))</f>
        <v>#REF!</v>
      </c>
      <c r="S535" s="29" t="e">
        <f>IF(INDEX(#REF!,MATCH('data '!$B535,#REF!,0),MATCH('data '!S$3,#REF!,0))=0,"",INDEX(#REF!,MATCH('data '!$B535,#REF!,0),MATCH('data '!S$3,#REF!,0)))</f>
        <v>#REF!</v>
      </c>
      <c r="T535" s="29" t="e">
        <f>IF(INDEX(#REF!,MATCH('data '!$B535,#REF!,0),MATCH('data '!T$3,#REF!,0))=0,"",INDEX(#REF!,MATCH('data '!$B535,#REF!,0),MATCH('data '!T$3,#REF!,0)))</f>
        <v>#REF!</v>
      </c>
      <c r="V535" s="25" t="s">
        <v>74</v>
      </c>
      <c r="W535" s="25">
        <v>0</v>
      </c>
      <c r="AC535" s="8" t="e">
        <f>VLOOKUP(B535,#REF!,19,0)</f>
        <v>#REF!</v>
      </c>
      <c r="AP535" s="8" t="str">
        <f t="shared" si="24"/>
        <v>Not yet endorsed</v>
      </c>
      <c r="AQ535" s="10" t="b" cm="1">
        <f t="array" aca="1" ref="AQ535" ca="1">IF(AM535&gt;0,(TODAY()-AM535),IF(AL535&gt;0,(TODAY()-AL535),IF(AK535&gt;0,(TODAY()-AK535,IF(AI535&gt;0,(TODAY()-AI535),IF(AG535&gt;0,(TODAY()-AG535),IF(AF535&gt;0,(TODAY()-AF535),IF(X535&gt;0,(TODAY()-X535)," "))))))))</f>
        <v>0</v>
      </c>
      <c r="BD535" s="2" t="str">
        <f t="shared" si="25"/>
        <v>Not yet endorsed</v>
      </c>
      <c r="BE535" s="2" t="s">
        <v>75</v>
      </c>
      <c r="BG535" s="2" t="e">
        <v>#N/A</v>
      </c>
    </row>
    <row r="536" spans="2:59" hidden="1" x14ac:dyDescent="0.25">
      <c r="B536" s="2" t="s">
        <v>2553</v>
      </c>
      <c r="C536" s="2" t="s">
        <v>2554</v>
      </c>
      <c r="D536" s="44" t="s">
        <v>2555</v>
      </c>
      <c r="E536" s="2" t="s">
        <v>11</v>
      </c>
      <c r="F536" s="2" t="s">
        <v>66</v>
      </c>
      <c r="G536" s="2" t="s">
        <v>1</v>
      </c>
      <c r="H536" s="2" t="s">
        <v>67</v>
      </c>
      <c r="I536" s="2" t="s">
        <v>68</v>
      </c>
      <c r="J536" s="2" t="s">
        <v>69</v>
      </c>
      <c r="K536" s="2" t="s">
        <v>70</v>
      </c>
      <c r="L536" s="2">
        <v>0</v>
      </c>
      <c r="M536" s="2">
        <v>0</v>
      </c>
      <c r="N536" s="2">
        <v>0</v>
      </c>
      <c r="O536" s="2">
        <v>0</v>
      </c>
      <c r="P536" s="2" t="s">
        <v>72</v>
      </c>
      <c r="Q536" s="2" t="s">
        <v>73</v>
      </c>
      <c r="R536" s="29" t="e">
        <f>IF(INDEX(#REF!,MATCH('data '!$B536,#REF!,0),MATCH('data '!R$3,#REF!,0))=0,"",INDEX(#REF!,MATCH('data '!$B536,#REF!,0),MATCH('data '!R$3,#REF!,0)))</f>
        <v>#REF!</v>
      </c>
      <c r="S536" s="29" t="e">
        <f>IF(INDEX(#REF!,MATCH('data '!$B536,#REF!,0),MATCH('data '!S$3,#REF!,0))=0,"",INDEX(#REF!,MATCH('data '!$B536,#REF!,0),MATCH('data '!S$3,#REF!,0)))</f>
        <v>#REF!</v>
      </c>
      <c r="T536" s="29" t="e">
        <f>IF(INDEX(#REF!,MATCH('data '!$B536,#REF!,0),MATCH('data '!T$3,#REF!,0))=0,"",INDEX(#REF!,MATCH('data '!$B536,#REF!,0),MATCH('data '!T$3,#REF!,0)))</f>
        <v>#REF!</v>
      </c>
      <c r="V536" s="25" t="s">
        <v>74</v>
      </c>
      <c r="W536" s="25">
        <v>0</v>
      </c>
      <c r="AC536" s="8" t="e">
        <f>VLOOKUP(B536,#REF!,19,0)</f>
        <v>#REF!</v>
      </c>
      <c r="AP536" s="8" t="str">
        <f t="shared" si="24"/>
        <v>Not yet endorsed</v>
      </c>
      <c r="AQ536" s="10" t="b" cm="1">
        <f t="array" aca="1" ref="AQ536" ca="1">IF(AM536&gt;0,(TODAY()-AM536),IF(AL536&gt;0,(TODAY()-AL536),IF(AK536&gt;0,(TODAY()-AK536,IF(AI536&gt;0,(TODAY()-AI536),IF(AG536&gt;0,(TODAY()-AG536),IF(AF536&gt;0,(TODAY()-AF536),IF(X536&gt;0,(TODAY()-X536)," "))))))))</f>
        <v>0</v>
      </c>
      <c r="BD536" s="2" t="str">
        <f t="shared" si="25"/>
        <v>Not yet endorsed</v>
      </c>
      <c r="BE536" s="2" t="s">
        <v>75</v>
      </c>
      <c r="BG536" s="2" t="e">
        <v>#N/A</v>
      </c>
    </row>
    <row r="537" spans="2:59" hidden="1" x14ac:dyDescent="0.25">
      <c r="B537" s="2" t="s">
        <v>2556</v>
      </c>
      <c r="C537" s="2" t="s">
        <v>2557</v>
      </c>
      <c r="D537" s="44" t="s">
        <v>2558</v>
      </c>
      <c r="E537" s="2" t="s">
        <v>11</v>
      </c>
      <c r="F537" s="2" t="s">
        <v>66</v>
      </c>
      <c r="G537" s="2" t="s">
        <v>1</v>
      </c>
      <c r="H537" s="2" t="s">
        <v>67</v>
      </c>
      <c r="I537" s="2" t="s">
        <v>68</v>
      </c>
      <c r="J537" s="2" t="s">
        <v>69</v>
      </c>
      <c r="K537" s="2" t="s">
        <v>70</v>
      </c>
      <c r="L537" s="2">
        <v>0</v>
      </c>
      <c r="M537" s="2">
        <v>0</v>
      </c>
      <c r="N537" s="2">
        <v>0</v>
      </c>
      <c r="O537" s="2">
        <v>0</v>
      </c>
      <c r="P537" s="2" t="s">
        <v>482</v>
      </c>
      <c r="Q537" s="2" t="s">
        <v>73</v>
      </c>
      <c r="R537" s="29" t="e">
        <f>IF(INDEX(#REF!,MATCH('data '!$B537,#REF!,0),MATCH('data '!R$3,#REF!,0))=0,"",INDEX(#REF!,MATCH('data '!$B537,#REF!,0),MATCH('data '!R$3,#REF!,0)))</f>
        <v>#REF!</v>
      </c>
      <c r="S537" s="29" t="e">
        <f>IF(INDEX(#REF!,MATCH('data '!$B537,#REF!,0),MATCH('data '!S$3,#REF!,0))=0,"",INDEX(#REF!,MATCH('data '!$B537,#REF!,0),MATCH('data '!S$3,#REF!,0)))</f>
        <v>#REF!</v>
      </c>
      <c r="T537" s="29" t="e">
        <f>IF(INDEX(#REF!,MATCH('data '!$B537,#REF!,0),MATCH('data '!T$3,#REF!,0))=0,"",INDEX(#REF!,MATCH('data '!$B537,#REF!,0),MATCH('data '!T$3,#REF!,0)))</f>
        <v>#REF!</v>
      </c>
      <c r="V537" s="25" t="s">
        <v>82</v>
      </c>
      <c r="W537" s="25" t="s">
        <v>83</v>
      </c>
      <c r="AC537" s="8" t="e">
        <f>VLOOKUP(B537,#REF!,19,0)</f>
        <v>#REF!</v>
      </c>
      <c r="AP537" s="8" t="str">
        <f t="shared" si="24"/>
        <v>Not yet endorsed</v>
      </c>
      <c r="AQ537" s="10" t="b" cm="1">
        <f t="array" aca="1" ref="AQ537" ca="1">IF(AM537&gt;0,(TODAY()-AM537),IF(AL537&gt;0,(TODAY()-AL537),IF(AK537&gt;0,(TODAY()-AK537,IF(AI537&gt;0,(TODAY()-AI537),IF(AG537&gt;0,(TODAY()-AG537),IF(AF537&gt;0,(TODAY()-AF537),IF(X537&gt;0,(TODAY()-X537)," "))))))))</f>
        <v>0</v>
      </c>
      <c r="BD537" s="2" t="str">
        <f t="shared" si="25"/>
        <v>Not yet endorsed</v>
      </c>
      <c r="BE537" s="2" t="s">
        <v>75</v>
      </c>
      <c r="BG537" s="2" t="e">
        <v>#N/A</v>
      </c>
    </row>
    <row r="538" spans="2:59" hidden="1" x14ac:dyDescent="0.25">
      <c r="B538" s="2" t="s">
        <v>2559</v>
      </c>
      <c r="C538" s="2" t="s">
        <v>2560</v>
      </c>
      <c r="D538" s="44" t="s">
        <v>2561</v>
      </c>
      <c r="E538" s="2" t="s">
        <v>11</v>
      </c>
      <c r="F538" s="2" t="s">
        <v>66</v>
      </c>
      <c r="G538" s="2" t="s">
        <v>1</v>
      </c>
      <c r="H538" s="2" t="s">
        <v>67</v>
      </c>
      <c r="I538" s="2" t="s">
        <v>68</v>
      </c>
      <c r="J538" s="2" t="s">
        <v>69</v>
      </c>
      <c r="K538" s="2" t="s">
        <v>70</v>
      </c>
      <c r="L538" s="2" t="s">
        <v>2562</v>
      </c>
      <c r="M538" s="2" t="s">
        <v>2563</v>
      </c>
      <c r="N538" s="2">
        <v>7.3417899999999996</v>
      </c>
      <c r="O538" s="2">
        <v>124.24787000000001</v>
      </c>
      <c r="P538" s="2" t="s">
        <v>87</v>
      </c>
      <c r="Q538" s="2" t="s">
        <v>198</v>
      </c>
      <c r="R538" s="29" t="e">
        <f>IF(INDEX(#REF!,MATCH('data '!$B538,#REF!,0),MATCH('data '!R$3,#REF!,0))=0,"",INDEX(#REF!,MATCH('data '!$B538,#REF!,0),MATCH('data '!R$3,#REF!,0)))</f>
        <v>#REF!</v>
      </c>
      <c r="S538" s="29" t="e">
        <f>IF(INDEX(#REF!,MATCH('data '!$B538,#REF!,0),MATCH('data '!S$3,#REF!,0))=0,"",INDEX(#REF!,MATCH('data '!$B538,#REF!,0),MATCH('data '!S$3,#REF!,0)))</f>
        <v>#REF!</v>
      </c>
      <c r="T538" s="29" t="e">
        <f>IF(INDEX(#REF!,MATCH('data '!$B538,#REF!,0),MATCH('data '!T$3,#REF!,0))=0,"",INDEX(#REF!,MATCH('data '!$B538,#REF!,0),MATCH('data '!T$3,#REF!,0)))</f>
        <v>#REF!</v>
      </c>
      <c r="U538" s="8" t="s">
        <v>25</v>
      </c>
      <c r="V538" s="25" t="s">
        <v>351</v>
      </c>
      <c r="W538" s="25" t="s">
        <v>144</v>
      </c>
      <c r="X538" s="43" t="s">
        <v>25</v>
      </c>
      <c r="Y538" s="43">
        <v>45876</v>
      </c>
      <c r="AC538" s="8" t="e">
        <f>VLOOKUP(B538,#REF!,19,0)</f>
        <v>#REF!</v>
      </c>
      <c r="AP538" s="8" t="str">
        <f t="shared" si="24"/>
        <v>BP Secured</v>
      </c>
      <c r="AQ538" s="10" t="b" cm="1">
        <f t="array" aca="1" ref="AQ538" ca="1">IF(AM538&gt;0,(TODAY()-AM538),IF(AL538&gt;0,(TODAY()-AL538),IF(AK538&gt;0,(TODAY()-AK538,IF(AI538&gt;0,(TODAY()-AI538),IF(AG538&gt;0,(TODAY()-AG538),IF(AF538&gt;0,(TODAY()-AF538),IF(X538&gt;0,(TODAY()-X538)," "))))))))</f>
        <v>0</v>
      </c>
      <c r="BD538" s="2" t="str">
        <f t="shared" si="25"/>
        <v>BP Secured</v>
      </c>
      <c r="BE538" s="2" t="e">
        <v>#VALUE!</v>
      </c>
      <c r="BG538" s="2" t="e">
        <v>#N/A</v>
      </c>
    </row>
    <row r="539" spans="2:59" hidden="1" x14ac:dyDescent="0.25">
      <c r="B539" s="2" t="s">
        <v>2564</v>
      </c>
      <c r="C539" s="2" t="s">
        <v>2565</v>
      </c>
      <c r="D539" s="44" t="s">
        <v>2566</v>
      </c>
      <c r="E539" s="2" t="s">
        <v>11</v>
      </c>
      <c r="F539" s="2">
        <v>0</v>
      </c>
      <c r="G539" s="2" t="s">
        <v>1</v>
      </c>
      <c r="H539" s="2" t="s">
        <v>67</v>
      </c>
      <c r="I539" s="2" t="s">
        <v>68</v>
      </c>
      <c r="J539" s="2" t="s">
        <v>69</v>
      </c>
      <c r="K539" s="2" t="s">
        <v>70</v>
      </c>
      <c r="L539" s="2">
        <v>0</v>
      </c>
      <c r="M539" s="2">
        <v>0</v>
      </c>
      <c r="N539" s="2">
        <v>0</v>
      </c>
      <c r="O539" s="2">
        <v>0</v>
      </c>
      <c r="P539" s="2" t="s">
        <v>204</v>
      </c>
      <c r="Q539" s="2">
        <v>0</v>
      </c>
      <c r="R539" s="29" t="e">
        <f>IF(INDEX(#REF!,MATCH('data '!$B539,#REF!,0),MATCH('data '!R$3,#REF!,0))=0,"",INDEX(#REF!,MATCH('data '!$B539,#REF!,0),MATCH('data '!R$3,#REF!,0)))</f>
        <v>#REF!</v>
      </c>
      <c r="S539" s="29" t="e">
        <f>IF(INDEX(#REF!,MATCH('data '!$B539,#REF!,0),MATCH('data '!S$3,#REF!,0))=0,"",INDEX(#REF!,MATCH('data '!$B539,#REF!,0),MATCH('data '!S$3,#REF!,0)))</f>
        <v>#REF!</v>
      </c>
      <c r="T539" s="29" t="e">
        <f>IF(INDEX(#REF!,MATCH('data '!$B539,#REF!,0),MATCH('data '!T$3,#REF!,0))=0,"",INDEX(#REF!,MATCH('data '!$B539,#REF!,0),MATCH('data '!T$3,#REF!,0)))</f>
        <v>#REF!</v>
      </c>
      <c r="V539" s="25" t="s">
        <v>133</v>
      </c>
      <c r="W539" s="25" t="s">
        <v>134</v>
      </c>
      <c r="AC539" s="8" t="e">
        <f>VLOOKUP(B539,#REF!,19,0)</f>
        <v>#REF!</v>
      </c>
      <c r="AP539" s="8" t="str">
        <f t="shared" si="24"/>
        <v>Not yet endorsed</v>
      </c>
      <c r="AQ539" s="10" t="b" cm="1">
        <f t="array" aca="1" ref="AQ539" ca="1">IF(AM539&gt;0,(TODAY()-AM539),IF(AL539&gt;0,(TODAY()-AL539),IF(AK539&gt;0,(TODAY()-AK539,IF(AI539&gt;0,(TODAY()-AI539),IF(AG539&gt;0,(TODAY()-AG539),IF(AF539&gt;0,(TODAY()-AF539),IF(X539&gt;0,(TODAY()-X539)," "))))))))</f>
        <v>0</v>
      </c>
      <c r="BD539" s="2" t="str">
        <f t="shared" si="25"/>
        <v>Not yet endorsed</v>
      </c>
      <c r="BE539" s="2" t="s">
        <v>75</v>
      </c>
      <c r="BG539" s="2" t="e">
        <v>#N/A</v>
      </c>
    </row>
    <row r="540" spans="2:59" hidden="1" x14ac:dyDescent="0.25">
      <c r="B540" s="2" t="s">
        <v>2567</v>
      </c>
      <c r="C540" s="2" t="s">
        <v>2568</v>
      </c>
      <c r="D540" s="44" t="s">
        <v>2569</v>
      </c>
      <c r="E540" s="2" t="s">
        <v>11</v>
      </c>
      <c r="F540" s="2">
        <v>0</v>
      </c>
      <c r="G540" s="2" t="s">
        <v>1</v>
      </c>
      <c r="H540" s="2" t="s">
        <v>67</v>
      </c>
      <c r="I540" s="2" t="s">
        <v>68</v>
      </c>
      <c r="J540" s="2" t="s">
        <v>69</v>
      </c>
      <c r="K540" s="2" t="s">
        <v>70</v>
      </c>
      <c r="L540" s="2">
        <v>0</v>
      </c>
      <c r="M540" s="2">
        <v>0</v>
      </c>
      <c r="N540" s="2">
        <v>0</v>
      </c>
      <c r="O540" s="2">
        <v>0</v>
      </c>
      <c r="P540" s="2" t="s">
        <v>318</v>
      </c>
      <c r="Q540" s="2">
        <v>0</v>
      </c>
      <c r="R540" s="29" t="e">
        <f>IF(INDEX(#REF!,MATCH('data '!$B540,#REF!,0),MATCH('data '!R$3,#REF!,0))=0,"",INDEX(#REF!,MATCH('data '!$B540,#REF!,0),MATCH('data '!R$3,#REF!,0)))</f>
        <v>#REF!</v>
      </c>
      <c r="S540" s="29" t="e">
        <f>IF(INDEX(#REF!,MATCH('data '!$B540,#REF!,0),MATCH('data '!S$3,#REF!,0))=0,"",INDEX(#REF!,MATCH('data '!$B540,#REF!,0),MATCH('data '!S$3,#REF!,0)))</f>
        <v>#REF!</v>
      </c>
      <c r="T540" s="29" t="e">
        <f>IF(INDEX(#REF!,MATCH('data '!$B540,#REF!,0),MATCH('data '!T$3,#REF!,0))=0,"",INDEX(#REF!,MATCH('data '!$B540,#REF!,0),MATCH('data '!T$3,#REF!,0)))</f>
        <v>#REF!</v>
      </c>
      <c r="V540" s="25" t="s">
        <v>731</v>
      </c>
      <c r="W540" s="25">
        <v>0</v>
      </c>
      <c r="AC540" s="8" t="e">
        <f>VLOOKUP(B540,#REF!,19,0)</f>
        <v>#REF!</v>
      </c>
      <c r="AP540" s="8" t="str">
        <f t="shared" si="24"/>
        <v>Not yet endorsed</v>
      </c>
      <c r="AQ540" s="10" t="b" cm="1">
        <f t="array" aca="1" ref="AQ540" ca="1">IF(AM540&gt;0,(TODAY()-AM540),IF(AL540&gt;0,(TODAY()-AL540),IF(AK540&gt;0,(TODAY()-AK540,IF(AI540&gt;0,(TODAY()-AI540),IF(AG540&gt;0,(TODAY()-AG540),IF(AF540&gt;0,(TODAY()-AF540),IF(X540&gt;0,(TODAY()-X540)," "))))))))</f>
        <v>0</v>
      </c>
      <c r="BD540" s="2" t="str">
        <f t="shared" si="25"/>
        <v>Not yet endorsed</v>
      </c>
      <c r="BE540" s="2" t="s">
        <v>75</v>
      </c>
      <c r="BG540" s="2" t="e">
        <v>#N/A</v>
      </c>
    </row>
    <row r="541" spans="2:59" hidden="1" x14ac:dyDescent="0.25">
      <c r="B541" s="2" t="s">
        <v>2570</v>
      </c>
      <c r="C541" s="2" t="s">
        <v>2571</v>
      </c>
      <c r="D541" s="44" t="s">
        <v>2572</v>
      </c>
      <c r="E541" s="2" t="s">
        <v>11</v>
      </c>
      <c r="F541" s="2">
        <v>0</v>
      </c>
      <c r="G541" s="2" t="s">
        <v>1</v>
      </c>
      <c r="H541" s="2" t="s">
        <v>67</v>
      </c>
      <c r="I541" s="2" t="s">
        <v>68</v>
      </c>
      <c r="J541" s="2" t="s">
        <v>69</v>
      </c>
      <c r="K541" s="2" t="s">
        <v>70</v>
      </c>
      <c r="L541" s="2">
        <v>0</v>
      </c>
      <c r="M541" s="2">
        <v>0</v>
      </c>
      <c r="N541" s="2">
        <v>0</v>
      </c>
      <c r="O541" s="2">
        <v>0</v>
      </c>
      <c r="P541" s="2" t="s">
        <v>204</v>
      </c>
      <c r="Q541" s="2">
        <v>0</v>
      </c>
      <c r="R541" s="29" t="e">
        <f>IF(INDEX(#REF!,MATCH('data '!$B541,#REF!,0),MATCH('data '!R$3,#REF!,0))=0,"",INDEX(#REF!,MATCH('data '!$B541,#REF!,0),MATCH('data '!R$3,#REF!,0)))</f>
        <v>#REF!</v>
      </c>
      <c r="S541" s="29" t="e">
        <f>IF(INDEX(#REF!,MATCH('data '!$B541,#REF!,0),MATCH('data '!S$3,#REF!,0))=0,"",INDEX(#REF!,MATCH('data '!$B541,#REF!,0),MATCH('data '!S$3,#REF!,0)))</f>
        <v>#REF!</v>
      </c>
      <c r="T541" s="29" t="e">
        <f>IF(INDEX(#REF!,MATCH('data '!$B541,#REF!,0),MATCH('data '!T$3,#REF!,0))=0,"",INDEX(#REF!,MATCH('data '!$B541,#REF!,0),MATCH('data '!T$3,#REF!,0)))</f>
        <v>#REF!</v>
      </c>
      <c r="V541" s="25" t="s">
        <v>133</v>
      </c>
      <c r="W541" s="25" t="s">
        <v>134</v>
      </c>
      <c r="AC541" s="8" t="e">
        <f>VLOOKUP(B541,#REF!,19,0)</f>
        <v>#REF!</v>
      </c>
      <c r="AP541" s="8" t="str">
        <f t="shared" si="24"/>
        <v>Not yet endorsed</v>
      </c>
      <c r="AQ541" s="10" t="b" cm="1">
        <f t="array" aca="1" ref="AQ541" ca="1">IF(AM541&gt;0,(TODAY()-AM541),IF(AL541&gt;0,(TODAY()-AL541),IF(AK541&gt;0,(TODAY()-AK541,IF(AI541&gt;0,(TODAY()-AI541),IF(AG541&gt;0,(TODAY()-AG541),IF(AF541&gt;0,(TODAY()-AF541),IF(X541&gt;0,(TODAY()-X541)," "))))))))</f>
        <v>0</v>
      </c>
      <c r="BD541" s="2" t="str">
        <f t="shared" si="25"/>
        <v>Not yet endorsed</v>
      </c>
      <c r="BE541" s="2" t="s">
        <v>75</v>
      </c>
      <c r="BG541" s="2" t="e">
        <v>#N/A</v>
      </c>
    </row>
    <row r="542" spans="2:59" hidden="1" x14ac:dyDescent="0.25">
      <c r="B542" s="2" t="s">
        <v>2573</v>
      </c>
      <c r="C542" s="2" t="s">
        <v>2574</v>
      </c>
      <c r="D542" s="44" t="s">
        <v>2575</v>
      </c>
      <c r="E542" s="2" t="s">
        <v>11</v>
      </c>
      <c r="F542" s="2">
        <v>0</v>
      </c>
      <c r="G542" s="2" t="s">
        <v>1</v>
      </c>
      <c r="H542" s="2" t="s">
        <v>67</v>
      </c>
      <c r="I542" s="2" t="s">
        <v>68</v>
      </c>
      <c r="J542" s="2" t="s">
        <v>69</v>
      </c>
      <c r="K542" s="2" t="s">
        <v>70</v>
      </c>
      <c r="L542" s="2">
        <v>0</v>
      </c>
      <c r="M542" s="2">
        <v>0</v>
      </c>
      <c r="N542" s="2">
        <v>0</v>
      </c>
      <c r="O542" s="2">
        <v>0</v>
      </c>
      <c r="P542" s="2" t="s">
        <v>204</v>
      </c>
      <c r="Q542" s="2">
        <v>0</v>
      </c>
      <c r="R542" s="29" t="e">
        <f>IF(INDEX(#REF!,MATCH('data '!$B542,#REF!,0),MATCH('data '!R$3,#REF!,0))=0,"",INDEX(#REF!,MATCH('data '!$B542,#REF!,0),MATCH('data '!R$3,#REF!,0)))</f>
        <v>#REF!</v>
      </c>
      <c r="S542" s="29" t="e">
        <f>IF(INDEX(#REF!,MATCH('data '!$B542,#REF!,0),MATCH('data '!S$3,#REF!,0))=0,"",INDEX(#REF!,MATCH('data '!$B542,#REF!,0),MATCH('data '!S$3,#REF!,0)))</f>
        <v>#REF!</v>
      </c>
      <c r="T542" s="29" t="e">
        <f>IF(INDEX(#REF!,MATCH('data '!$B542,#REF!,0),MATCH('data '!T$3,#REF!,0))=0,"",INDEX(#REF!,MATCH('data '!$B542,#REF!,0),MATCH('data '!T$3,#REF!,0)))</f>
        <v>#REF!</v>
      </c>
      <c r="V542" s="25" t="s">
        <v>133</v>
      </c>
      <c r="W542" s="25" t="s">
        <v>134</v>
      </c>
      <c r="AC542" s="8" t="e">
        <f>VLOOKUP(B542,#REF!,19,0)</f>
        <v>#REF!</v>
      </c>
      <c r="AP542" s="8" t="str">
        <f t="shared" si="24"/>
        <v>Not yet endorsed</v>
      </c>
      <c r="AQ542" s="10" t="b" cm="1">
        <f t="array" aca="1" ref="AQ542" ca="1">IF(AM542&gt;0,(TODAY()-AM542),IF(AL542&gt;0,(TODAY()-AL542),IF(AK542&gt;0,(TODAY()-AK542,IF(AI542&gt;0,(TODAY()-AI542),IF(AG542&gt;0,(TODAY()-AG542),IF(AF542&gt;0,(TODAY()-AF542),IF(X542&gt;0,(TODAY()-X542)," "))))))))</f>
        <v>0</v>
      </c>
      <c r="BD542" s="2" t="str">
        <f t="shared" si="25"/>
        <v>Not yet endorsed</v>
      </c>
      <c r="BE542" s="2" t="s">
        <v>75</v>
      </c>
      <c r="BG542" s="2" t="e">
        <v>#N/A</v>
      </c>
    </row>
    <row r="543" spans="2:59" hidden="1" x14ac:dyDescent="0.25">
      <c r="B543" s="2" t="s">
        <v>2576</v>
      </c>
      <c r="C543" s="2" t="s">
        <v>2577</v>
      </c>
      <c r="D543" s="44" t="s">
        <v>2578</v>
      </c>
      <c r="E543" s="2" t="s">
        <v>11</v>
      </c>
      <c r="F543" s="2" t="s">
        <v>464</v>
      </c>
      <c r="G543" s="2" t="s">
        <v>1</v>
      </c>
      <c r="H543" s="2" t="s">
        <v>165</v>
      </c>
      <c r="I543" s="2" t="s">
        <v>68</v>
      </c>
      <c r="J543" s="2" t="s">
        <v>69</v>
      </c>
      <c r="K543" s="2" t="s">
        <v>465</v>
      </c>
      <c r="L543" s="2" t="s">
        <v>2579</v>
      </c>
      <c r="M543" s="2">
        <v>0</v>
      </c>
      <c r="N543" s="2">
        <v>0</v>
      </c>
      <c r="O543" s="2">
        <v>0</v>
      </c>
      <c r="P543" s="2" t="s">
        <v>82</v>
      </c>
      <c r="Q543" s="2" t="s">
        <v>73</v>
      </c>
      <c r="R543" s="29" t="e">
        <f>IF(INDEX(#REF!,MATCH('data '!$B543,#REF!,0),MATCH('data '!R$3,#REF!,0))=0,"",INDEX(#REF!,MATCH('data '!$B543,#REF!,0),MATCH('data '!R$3,#REF!,0)))</f>
        <v>#REF!</v>
      </c>
      <c r="S543" s="29" t="e">
        <f>IF(INDEX(#REF!,MATCH('data '!$B543,#REF!,0),MATCH('data '!S$3,#REF!,0))=0,"",INDEX(#REF!,MATCH('data '!$B543,#REF!,0),MATCH('data '!S$3,#REF!,0)))</f>
        <v>#REF!</v>
      </c>
      <c r="T543" s="29" t="e">
        <f>IF(INDEX(#REF!,MATCH('data '!$B543,#REF!,0),MATCH('data '!T$3,#REF!,0))=0,"",INDEX(#REF!,MATCH('data '!$B543,#REF!,0),MATCH('data '!T$3,#REF!,0)))</f>
        <v>#REF!</v>
      </c>
      <c r="U543" s="8" t="s">
        <v>25</v>
      </c>
      <c r="V543" s="25" t="s">
        <v>82</v>
      </c>
      <c r="W543" s="25" t="s">
        <v>83</v>
      </c>
      <c r="AC543" s="8" t="e">
        <f>VLOOKUP(B543,#REF!,19,0)</f>
        <v>#REF!</v>
      </c>
      <c r="AP543" s="8" t="str">
        <f t="shared" si="24"/>
        <v>Not yet endorsed</v>
      </c>
      <c r="AQ543" s="10" t="b" cm="1">
        <f t="array" aca="1" ref="AQ543" ca="1">IF(AM543&gt;0,(TODAY()-AM543),IF(AL543&gt;0,(TODAY()-AL543),IF(AK543&gt;0,(TODAY()-AK543,IF(AI543&gt;0,(TODAY()-AI543),IF(AG543&gt;0,(TODAY()-AG543),IF(AF543&gt;0,(TODAY()-AF543),IF(X543&gt;0,(TODAY()-X543)," "))))))))</f>
        <v>0</v>
      </c>
      <c r="BD543" s="2" t="str">
        <f t="shared" si="25"/>
        <v>TSSR Approved</v>
      </c>
      <c r="BE543" s="2" t="e">
        <v>#VALUE!</v>
      </c>
      <c r="BG543" s="2" t="e">
        <v>#N/A</v>
      </c>
    </row>
    <row r="544" spans="2:59" hidden="1" x14ac:dyDescent="0.25">
      <c r="B544" s="2" t="s">
        <v>2580</v>
      </c>
      <c r="C544" s="2" t="s">
        <v>2581</v>
      </c>
      <c r="D544" s="44" t="s">
        <v>2582</v>
      </c>
      <c r="E544" s="2" t="s">
        <v>11</v>
      </c>
      <c r="F544" s="2" t="s">
        <v>464</v>
      </c>
      <c r="G544" s="2" t="s">
        <v>1</v>
      </c>
      <c r="H544" s="2" t="s">
        <v>165</v>
      </c>
      <c r="I544" s="2" t="s">
        <v>68</v>
      </c>
      <c r="J544" s="2" t="s">
        <v>69</v>
      </c>
      <c r="K544" s="2" t="s">
        <v>465</v>
      </c>
      <c r="L544" s="2" t="s">
        <v>2583</v>
      </c>
      <c r="M544" s="2">
        <v>0</v>
      </c>
      <c r="N544" s="2">
        <v>0</v>
      </c>
      <c r="O544" s="2">
        <v>0</v>
      </c>
      <c r="P544" s="2" t="s">
        <v>116</v>
      </c>
      <c r="Q544" s="2" t="s">
        <v>73</v>
      </c>
      <c r="R544" s="29" t="e">
        <f>IF(INDEX(#REF!,MATCH('data '!$B544,#REF!,0),MATCH('data '!R$3,#REF!,0))=0,"",INDEX(#REF!,MATCH('data '!$B544,#REF!,0),MATCH('data '!R$3,#REF!,0)))</f>
        <v>#REF!</v>
      </c>
      <c r="S544" s="29" t="e">
        <f>IF(INDEX(#REF!,MATCH('data '!$B544,#REF!,0),MATCH('data '!S$3,#REF!,0))=0,"",INDEX(#REF!,MATCH('data '!$B544,#REF!,0),MATCH('data '!S$3,#REF!,0)))</f>
        <v>#REF!</v>
      </c>
      <c r="T544" s="29" t="e">
        <f>IF(INDEX(#REF!,MATCH('data '!$B544,#REF!,0),MATCH('data '!T$3,#REF!,0))=0,"",INDEX(#REF!,MATCH('data '!$B544,#REF!,0),MATCH('data '!T$3,#REF!,0)))</f>
        <v>#REF!</v>
      </c>
      <c r="V544" s="25" t="s">
        <v>74</v>
      </c>
      <c r="W544" s="25">
        <v>0</v>
      </c>
      <c r="AC544" s="8" t="e">
        <f>VLOOKUP(B544,#REF!,19,0)</f>
        <v>#REF!</v>
      </c>
      <c r="AP544" s="8" t="str">
        <f t="shared" si="24"/>
        <v>Not yet endorsed</v>
      </c>
      <c r="AQ544" s="10" t="b" cm="1">
        <f t="array" aca="1" ref="AQ544" ca="1">IF(AM544&gt;0,(TODAY()-AM544),IF(AL544&gt;0,(TODAY()-AL544),IF(AK544&gt;0,(TODAY()-AK544,IF(AI544&gt;0,(TODAY()-AI544),IF(AG544&gt;0,(TODAY()-AG544),IF(AF544&gt;0,(TODAY()-AF544),IF(X544&gt;0,(TODAY()-X544)," "))))))))</f>
        <v>0</v>
      </c>
      <c r="BD544" s="2" t="str">
        <f t="shared" si="25"/>
        <v>Not yet endorsed</v>
      </c>
      <c r="BE544" s="2" t="s">
        <v>75</v>
      </c>
      <c r="BG544" s="2" t="e">
        <v>#N/A</v>
      </c>
    </row>
    <row r="545" spans="2:59" hidden="1" x14ac:dyDescent="0.25">
      <c r="B545" s="2" t="s">
        <v>2584</v>
      </c>
      <c r="C545" s="2" t="s">
        <v>2585</v>
      </c>
      <c r="D545" s="44" t="s">
        <v>2586</v>
      </c>
      <c r="E545" s="2" t="s">
        <v>11</v>
      </c>
      <c r="F545" s="2" t="s">
        <v>464</v>
      </c>
      <c r="G545" s="2" t="s">
        <v>1</v>
      </c>
      <c r="H545" s="2" t="s">
        <v>165</v>
      </c>
      <c r="I545" s="2" t="s">
        <v>68</v>
      </c>
      <c r="J545" s="2" t="s">
        <v>69</v>
      </c>
      <c r="K545" s="2" t="s">
        <v>465</v>
      </c>
      <c r="L545" s="2" t="s">
        <v>2562</v>
      </c>
      <c r="M545" s="2">
        <v>0</v>
      </c>
      <c r="N545" s="2">
        <v>5.9783600000000003</v>
      </c>
      <c r="O545" s="2">
        <v>120.88961</v>
      </c>
      <c r="P545" s="2" t="s">
        <v>87</v>
      </c>
      <c r="Q545" s="2" t="s">
        <v>227</v>
      </c>
      <c r="R545" s="29" t="e">
        <f>IF(INDEX(#REF!,MATCH('data '!$B545,#REF!,0),MATCH('data '!R$3,#REF!,0))=0,"",INDEX(#REF!,MATCH('data '!$B545,#REF!,0),MATCH('data '!R$3,#REF!,0)))</f>
        <v>#REF!</v>
      </c>
      <c r="S545" s="29" t="e">
        <f>IF(INDEX(#REF!,MATCH('data '!$B545,#REF!,0),MATCH('data '!S$3,#REF!,0))=0,"",INDEX(#REF!,MATCH('data '!$B545,#REF!,0),MATCH('data '!S$3,#REF!,0)))</f>
        <v>#REF!</v>
      </c>
      <c r="T545" s="29" t="e">
        <f>IF(INDEX(#REF!,MATCH('data '!$B545,#REF!,0),MATCH('data '!T$3,#REF!,0))=0,"",INDEX(#REF!,MATCH('data '!$B545,#REF!,0),MATCH('data '!T$3,#REF!,0)))</f>
        <v>#REF!</v>
      </c>
      <c r="U545" s="8" t="s">
        <v>25</v>
      </c>
      <c r="V545" s="25" t="s">
        <v>160</v>
      </c>
      <c r="W545" s="25" t="s">
        <v>144</v>
      </c>
      <c r="X545" s="43" t="s">
        <v>25</v>
      </c>
      <c r="Y545" s="43">
        <v>45873</v>
      </c>
      <c r="Z545" s="8">
        <v>46000</v>
      </c>
      <c r="AC545" s="8" t="e">
        <f>VLOOKUP(B545,#REF!,19,0)</f>
        <v>#REF!</v>
      </c>
      <c r="AP545" s="8" t="str">
        <f t="shared" si="24"/>
        <v>BP Secured</v>
      </c>
      <c r="AQ545" s="10" t="b" cm="1">
        <f t="array" aca="1" ref="AQ545" ca="1">IF(AM545&gt;0,(TODAY()-AM545),IF(AL545&gt;0,(TODAY()-AL545),IF(AK545&gt;0,(TODAY()-AK545,IF(AI545&gt;0,(TODAY()-AI545),IF(AG545&gt;0,(TODAY()-AG545),IF(AF545&gt;0,(TODAY()-AF545),IF(X545&gt;0,(TODAY()-X545)," "))))))))</f>
        <v>0</v>
      </c>
      <c r="BD545" s="2" t="str">
        <f t="shared" si="25"/>
        <v>BP Secured</v>
      </c>
      <c r="BE545" s="2" t="e">
        <v>#VALUE!</v>
      </c>
      <c r="BG545" s="2" t="e">
        <v>#N/A</v>
      </c>
    </row>
    <row r="546" spans="2:59" hidden="1" x14ac:dyDescent="0.25">
      <c r="B546" s="2" t="s">
        <v>2587</v>
      </c>
      <c r="C546" s="2" t="s">
        <v>2588</v>
      </c>
      <c r="D546" s="44" t="s">
        <v>2589</v>
      </c>
      <c r="E546" s="2" t="s">
        <v>11</v>
      </c>
      <c r="F546" s="2" t="s">
        <v>464</v>
      </c>
      <c r="G546" s="2" t="s">
        <v>1</v>
      </c>
      <c r="H546" s="2" t="s">
        <v>165</v>
      </c>
      <c r="I546" s="2" t="s">
        <v>68</v>
      </c>
      <c r="J546" s="2" t="s">
        <v>69</v>
      </c>
      <c r="K546" s="2" t="s">
        <v>465</v>
      </c>
      <c r="L546" s="2" t="s">
        <v>2590</v>
      </c>
      <c r="M546" s="2">
        <v>0</v>
      </c>
      <c r="N546" s="2">
        <v>0</v>
      </c>
      <c r="O546" s="2">
        <v>0</v>
      </c>
      <c r="P546" s="2" t="s">
        <v>116</v>
      </c>
      <c r="Q546" s="2" t="s">
        <v>73</v>
      </c>
      <c r="R546" s="29" t="e">
        <f>IF(INDEX(#REF!,MATCH('data '!$B546,#REF!,0),MATCH('data '!R$3,#REF!,0))=0,"",INDEX(#REF!,MATCH('data '!$B546,#REF!,0),MATCH('data '!R$3,#REF!,0)))</f>
        <v>#REF!</v>
      </c>
      <c r="S546" s="29" t="e">
        <f>IF(INDEX(#REF!,MATCH('data '!$B546,#REF!,0),MATCH('data '!S$3,#REF!,0))=0,"",INDEX(#REF!,MATCH('data '!$B546,#REF!,0),MATCH('data '!S$3,#REF!,0)))</f>
        <v>#REF!</v>
      </c>
      <c r="T546" s="29" t="e">
        <f>IF(INDEX(#REF!,MATCH('data '!$B546,#REF!,0),MATCH('data '!T$3,#REF!,0))=0,"",INDEX(#REF!,MATCH('data '!$B546,#REF!,0),MATCH('data '!T$3,#REF!,0)))</f>
        <v>#REF!</v>
      </c>
      <c r="V546" s="25" t="s">
        <v>95</v>
      </c>
      <c r="W546" s="25">
        <v>0</v>
      </c>
      <c r="AC546" s="8" t="e">
        <f>VLOOKUP(B546,#REF!,19,0)</f>
        <v>#REF!</v>
      </c>
      <c r="AP546" s="8" t="str">
        <f t="shared" si="24"/>
        <v>Not yet endorsed</v>
      </c>
      <c r="AQ546" s="10" t="b" cm="1">
        <f t="array" aca="1" ref="AQ546" ca="1">IF(AM546&gt;0,(TODAY()-AM546),IF(AL546&gt;0,(TODAY()-AL546),IF(AK546&gt;0,(TODAY()-AK546,IF(AI546&gt;0,(TODAY()-AI546),IF(AG546&gt;0,(TODAY()-AG546),IF(AF546&gt;0,(TODAY()-AF546),IF(X546&gt;0,(TODAY()-X546)," "))))))))</f>
        <v>0</v>
      </c>
      <c r="BD546" s="2" t="str">
        <f t="shared" si="25"/>
        <v>Not yet endorsed</v>
      </c>
      <c r="BE546" s="2" t="s">
        <v>75</v>
      </c>
      <c r="BG546" s="2" t="e">
        <v>#N/A</v>
      </c>
    </row>
    <row r="547" spans="2:59" hidden="1" x14ac:dyDescent="0.25">
      <c r="B547" s="2" t="s">
        <v>2591</v>
      </c>
      <c r="C547" s="2" t="s">
        <v>2592</v>
      </c>
      <c r="D547" s="44" t="s">
        <v>2593</v>
      </c>
      <c r="E547" s="2" t="s">
        <v>11</v>
      </c>
      <c r="F547" s="2" t="s">
        <v>464</v>
      </c>
      <c r="G547" s="2" t="s">
        <v>1</v>
      </c>
      <c r="H547" s="2" t="s">
        <v>165</v>
      </c>
      <c r="I547" s="2" t="s">
        <v>68</v>
      </c>
      <c r="J547" s="2" t="s">
        <v>69</v>
      </c>
      <c r="K547" s="2" t="s">
        <v>465</v>
      </c>
      <c r="L547" s="2" t="s">
        <v>2594</v>
      </c>
      <c r="M547" s="2">
        <v>0</v>
      </c>
      <c r="N547" s="2">
        <v>0</v>
      </c>
      <c r="O547" s="2">
        <v>0</v>
      </c>
      <c r="P547" s="2" t="s">
        <v>116</v>
      </c>
      <c r="Q547" s="2" t="s">
        <v>73</v>
      </c>
      <c r="R547" s="29" t="e">
        <f>IF(INDEX(#REF!,MATCH('data '!$B547,#REF!,0),MATCH('data '!R$3,#REF!,0))=0,"",INDEX(#REF!,MATCH('data '!$B547,#REF!,0),MATCH('data '!R$3,#REF!,0)))</f>
        <v>#REF!</v>
      </c>
      <c r="S547" s="29" t="e">
        <f>IF(INDEX(#REF!,MATCH('data '!$B547,#REF!,0),MATCH('data '!S$3,#REF!,0))=0,"",INDEX(#REF!,MATCH('data '!$B547,#REF!,0),MATCH('data '!S$3,#REF!,0)))</f>
        <v>#REF!</v>
      </c>
      <c r="T547" s="29" t="e">
        <f>IF(INDEX(#REF!,MATCH('data '!$B547,#REF!,0),MATCH('data '!T$3,#REF!,0))=0,"",INDEX(#REF!,MATCH('data '!$B547,#REF!,0),MATCH('data '!T$3,#REF!,0)))</f>
        <v>#REF!</v>
      </c>
      <c r="V547" s="25" t="s">
        <v>95</v>
      </c>
      <c r="W547" s="25">
        <v>0</v>
      </c>
      <c r="AC547" s="8" t="e">
        <f>VLOOKUP(B547,#REF!,19,0)</f>
        <v>#REF!</v>
      </c>
      <c r="AP547" s="8" t="str">
        <f t="shared" si="24"/>
        <v>Not yet endorsed</v>
      </c>
      <c r="AQ547" s="10" t="b" cm="1">
        <f t="array" aca="1" ref="AQ547" ca="1">IF(AM547&gt;0,(TODAY()-AM547),IF(AL547&gt;0,(TODAY()-AL547),IF(AK547&gt;0,(TODAY()-AK547,IF(AI547&gt;0,(TODAY()-AI547),IF(AG547&gt;0,(TODAY()-AG547),IF(AF547&gt;0,(TODAY()-AF547),IF(X547&gt;0,(TODAY()-X547)," "))))))))</f>
        <v>0</v>
      </c>
      <c r="BD547" s="2" t="str">
        <f t="shared" si="25"/>
        <v>Not yet endorsed</v>
      </c>
      <c r="BE547" s="2" t="s">
        <v>75</v>
      </c>
      <c r="BG547" s="2" t="e">
        <v>#N/A</v>
      </c>
    </row>
    <row r="548" spans="2:59" hidden="1" x14ac:dyDescent="0.25">
      <c r="B548" s="2" t="s">
        <v>2595</v>
      </c>
      <c r="C548" s="2" t="s">
        <v>2596</v>
      </c>
      <c r="D548" s="44" t="s">
        <v>2597</v>
      </c>
      <c r="E548" s="2" t="s">
        <v>11</v>
      </c>
      <c r="F548" s="2" t="s">
        <v>464</v>
      </c>
      <c r="G548" s="2" t="s">
        <v>1</v>
      </c>
      <c r="H548" s="2" t="s">
        <v>165</v>
      </c>
      <c r="I548" s="2" t="s">
        <v>68</v>
      </c>
      <c r="J548" s="2" t="s">
        <v>69</v>
      </c>
      <c r="K548" s="2" t="s">
        <v>465</v>
      </c>
      <c r="L548" s="2" t="s">
        <v>2598</v>
      </c>
      <c r="M548" s="2">
        <v>0</v>
      </c>
      <c r="N548" s="2">
        <v>0</v>
      </c>
      <c r="O548" s="2">
        <v>0</v>
      </c>
      <c r="P548" s="2" t="s">
        <v>116</v>
      </c>
      <c r="Q548" s="2" t="s">
        <v>73</v>
      </c>
      <c r="R548" s="29" t="e">
        <f>IF(INDEX(#REF!,MATCH('data '!$B548,#REF!,0),MATCH('data '!R$3,#REF!,0))=0,"",INDEX(#REF!,MATCH('data '!$B548,#REF!,0),MATCH('data '!R$3,#REF!,0)))</f>
        <v>#REF!</v>
      </c>
      <c r="S548" s="29" t="e">
        <f>IF(INDEX(#REF!,MATCH('data '!$B548,#REF!,0),MATCH('data '!S$3,#REF!,0))=0,"",INDEX(#REF!,MATCH('data '!$B548,#REF!,0),MATCH('data '!S$3,#REF!,0)))</f>
        <v>#REF!</v>
      </c>
      <c r="T548" s="29" t="e">
        <f>IF(INDEX(#REF!,MATCH('data '!$B548,#REF!,0),MATCH('data '!T$3,#REF!,0))=0,"",INDEX(#REF!,MATCH('data '!$B548,#REF!,0),MATCH('data '!T$3,#REF!,0)))</f>
        <v>#REF!</v>
      </c>
      <c r="V548" s="25" t="s">
        <v>95</v>
      </c>
      <c r="W548" s="25">
        <v>0</v>
      </c>
      <c r="AC548" s="8" t="e">
        <f>VLOOKUP(B548,#REF!,19,0)</f>
        <v>#REF!</v>
      </c>
      <c r="AP548" s="8" t="str">
        <f t="shared" si="24"/>
        <v>Not yet endorsed</v>
      </c>
      <c r="AQ548" s="10" t="b" cm="1">
        <f t="array" aca="1" ref="AQ548" ca="1">IF(AM548&gt;0,(TODAY()-AM548),IF(AL548&gt;0,(TODAY()-AL548),IF(AK548&gt;0,(TODAY()-AK548,IF(AI548&gt;0,(TODAY()-AI548),IF(AG548&gt;0,(TODAY()-AG548),IF(AF548&gt;0,(TODAY()-AF548),IF(X548&gt;0,(TODAY()-X548)," "))))))))</f>
        <v>0</v>
      </c>
      <c r="BD548" s="2" t="str">
        <f t="shared" si="25"/>
        <v>Not yet endorsed</v>
      </c>
      <c r="BE548" s="2" t="s">
        <v>75</v>
      </c>
      <c r="BG548" s="2" t="e">
        <v>#N/A</v>
      </c>
    </row>
    <row r="549" spans="2:59" hidden="1" x14ac:dyDescent="0.25">
      <c r="B549" s="2" t="s">
        <v>2599</v>
      </c>
      <c r="C549" s="2" t="s">
        <v>2600</v>
      </c>
      <c r="D549" s="44" t="s">
        <v>2601</v>
      </c>
      <c r="E549" s="2" t="s">
        <v>11</v>
      </c>
      <c r="F549" s="2" t="s">
        <v>464</v>
      </c>
      <c r="G549" s="2" t="s">
        <v>1</v>
      </c>
      <c r="H549" s="2" t="s">
        <v>165</v>
      </c>
      <c r="I549" s="2" t="s">
        <v>68</v>
      </c>
      <c r="J549" s="2" t="s">
        <v>69</v>
      </c>
      <c r="K549" s="2" t="s">
        <v>465</v>
      </c>
      <c r="L549" s="2" t="s">
        <v>2562</v>
      </c>
      <c r="M549" s="2">
        <v>0</v>
      </c>
      <c r="N549" s="2">
        <v>5.9289750000000003</v>
      </c>
      <c r="O549" s="2">
        <v>120.880025</v>
      </c>
      <c r="P549" s="2" t="s">
        <v>87</v>
      </c>
      <c r="Q549" s="2" t="s">
        <v>184</v>
      </c>
      <c r="R549" s="29" t="e">
        <f>IF(INDEX(#REF!,MATCH('data '!$B549,#REF!,0),MATCH('data '!R$3,#REF!,0))=0,"",INDEX(#REF!,MATCH('data '!$B549,#REF!,0),MATCH('data '!R$3,#REF!,0)))</f>
        <v>#REF!</v>
      </c>
      <c r="S549" s="29" t="e">
        <f>IF(INDEX(#REF!,MATCH('data '!$B549,#REF!,0),MATCH('data '!S$3,#REF!,0))=0,"",INDEX(#REF!,MATCH('data '!$B549,#REF!,0),MATCH('data '!S$3,#REF!,0)))</f>
        <v>#REF!</v>
      </c>
      <c r="T549" s="29" t="e">
        <f>IF(INDEX(#REF!,MATCH('data '!$B549,#REF!,0),MATCH('data '!T$3,#REF!,0))=0,"",INDEX(#REF!,MATCH('data '!$B549,#REF!,0),MATCH('data '!T$3,#REF!,0)))</f>
        <v>#REF!</v>
      </c>
      <c r="U549" s="8" t="s">
        <v>25</v>
      </c>
      <c r="V549" s="25" t="s">
        <v>185</v>
      </c>
      <c r="W549" s="25" t="s">
        <v>144</v>
      </c>
      <c r="X549" s="43" t="s">
        <v>25</v>
      </c>
      <c r="Y549" s="43">
        <v>45859</v>
      </c>
      <c r="Z549" s="8">
        <v>45755</v>
      </c>
      <c r="AA549" s="8" t="s">
        <v>1414</v>
      </c>
      <c r="AC549" s="8" t="e">
        <f>VLOOKUP(B549,#REF!,19,0)</f>
        <v>#REF!</v>
      </c>
      <c r="AP549" s="8" t="str">
        <f t="shared" si="24"/>
        <v>BP Secured</v>
      </c>
      <c r="AQ549" s="10" t="b" cm="1">
        <f t="array" aca="1" ref="AQ549" ca="1">IF(AM549&gt;0,(TODAY()-AM549),IF(AL549&gt;0,(TODAY()-AL549),IF(AK549&gt;0,(TODAY()-AK549,IF(AI549&gt;0,(TODAY()-AI549),IF(AG549&gt;0,(TODAY()-AG549),IF(AF549&gt;0,(TODAY()-AF549),IF(X549&gt;0,(TODAY()-X549)," "))))))))</f>
        <v>0</v>
      </c>
      <c r="BD549" s="2" t="str">
        <f t="shared" si="25"/>
        <v>BP Secured</v>
      </c>
      <c r="BE549" s="2" t="e">
        <v>#VALUE!</v>
      </c>
      <c r="BG549" s="2" t="e">
        <v>#N/A</v>
      </c>
    </row>
    <row r="550" spans="2:59" hidden="1" x14ac:dyDescent="0.25">
      <c r="B550" s="2" t="s">
        <v>2602</v>
      </c>
      <c r="C550" s="2" t="s">
        <v>2603</v>
      </c>
      <c r="D550" s="44" t="s">
        <v>2604</v>
      </c>
      <c r="E550" s="2" t="s">
        <v>11</v>
      </c>
      <c r="F550" s="2" t="s">
        <v>464</v>
      </c>
      <c r="G550" s="2" t="s">
        <v>1</v>
      </c>
      <c r="H550" s="2" t="s">
        <v>165</v>
      </c>
      <c r="I550" s="2" t="s">
        <v>68</v>
      </c>
      <c r="J550" s="2" t="s">
        <v>69</v>
      </c>
      <c r="K550" s="2" t="s">
        <v>465</v>
      </c>
      <c r="L550" s="2" t="s">
        <v>1251</v>
      </c>
      <c r="M550" s="2">
        <v>0</v>
      </c>
      <c r="N550" s="2">
        <v>0</v>
      </c>
      <c r="O550" s="2">
        <v>0</v>
      </c>
      <c r="P550" s="2" t="s">
        <v>82</v>
      </c>
      <c r="Q550" s="2" t="s">
        <v>73</v>
      </c>
      <c r="R550" s="29" t="e">
        <f>IF(INDEX(#REF!,MATCH('data '!$B550,#REF!,0),MATCH('data '!R$3,#REF!,0))=0,"",INDEX(#REF!,MATCH('data '!$B550,#REF!,0),MATCH('data '!R$3,#REF!,0)))</f>
        <v>#REF!</v>
      </c>
      <c r="S550" s="29" t="e">
        <f>IF(INDEX(#REF!,MATCH('data '!$B550,#REF!,0),MATCH('data '!S$3,#REF!,0))=0,"",INDEX(#REF!,MATCH('data '!$B550,#REF!,0),MATCH('data '!S$3,#REF!,0)))</f>
        <v>#REF!</v>
      </c>
      <c r="T550" s="29" t="e">
        <f>IF(INDEX(#REF!,MATCH('data '!$B550,#REF!,0),MATCH('data '!T$3,#REF!,0))=0,"",INDEX(#REF!,MATCH('data '!$B550,#REF!,0),MATCH('data '!T$3,#REF!,0)))</f>
        <v>#REF!</v>
      </c>
      <c r="U550" s="8" t="s">
        <v>25</v>
      </c>
      <c r="V550" s="25" t="s">
        <v>82</v>
      </c>
      <c r="W550" s="25" t="s">
        <v>83</v>
      </c>
      <c r="AC550" s="8" t="e">
        <f>VLOOKUP(B550,#REF!,19,0)</f>
        <v>#REF!</v>
      </c>
      <c r="AP550" s="8" t="str">
        <f t="shared" si="24"/>
        <v>Not yet endorsed</v>
      </c>
      <c r="AQ550" s="10" t="b" cm="1">
        <f t="array" aca="1" ref="AQ550" ca="1">IF(AM550&gt;0,(TODAY()-AM550),IF(AL550&gt;0,(TODAY()-AL550),IF(AK550&gt;0,(TODAY()-AK550,IF(AI550&gt;0,(TODAY()-AI550),IF(AG550&gt;0,(TODAY()-AG550),IF(AF550&gt;0,(TODAY()-AF550),IF(X550&gt;0,(TODAY()-X550)," "))))))))</f>
        <v>0</v>
      </c>
      <c r="BD550" s="2" t="str">
        <f t="shared" si="25"/>
        <v>TSSR Approved</v>
      </c>
      <c r="BE550" s="2" t="e">
        <v>#VALUE!</v>
      </c>
      <c r="BG550" s="2" t="e">
        <v>#N/A</v>
      </c>
    </row>
    <row r="551" spans="2:59" hidden="1" x14ac:dyDescent="0.25">
      <c r="B551" s="2" t="s">
        <v>2605</v>
      </c>
      <c r="C551" s="2" t="s">
        <v>2606</v>
      </c>
      <c r="D551" s="44" t="s">
        <v>2607</v>
      </c>
      <c r="E551" s="2" t="s">
        <v>11</v>
      </c>
      <c r="F551" s="2" t="s">
        <v>464</v>
      </c>
      <c r="G551" s="2" t="s">
        <v>1</v>
      </c>
      <c r="H551" s="2" t="s">
        <v>165</v>
      </c>
      <c r="I551" s="2" t="s">
        <v>68</v>
      </c>
      <c r="J551" s="2" t="s">
        <v>69</v>
      </c>
      <c r="K551" s="2" t="s">
        <v>465</v>
      </c>
      <c r="L551" s="2" t="s">
        <v>2608</v>
      </c>
      <c r="M551" s="2">
        <v>0</v>
      </c>
      <c r="N551" s="2">
        <v>5.9249999999999998</v>
      </c>
      <c r="O551" s="2">
        <v>121.00565</v>
      </c>
      <c r="P551" s="2" t="s">
        <v>87</v>
      </c>
      <c r="Q551" s="2" t="s">
        <v>198</v>
      </c>
      <c r="R551" s="29" t="e">
        <f>IF(INDEX(#REF!,MATCH('data '!$B551,#REF!,0),MATCH('data '!R$3,#REF!,0))=0,"",INDEX(#REF!,MATCH('data '!$B551,#REF!,0),MATCH('data '!R$3,#REF!,0)))</f>
        <v>#REF!</v>
      </c>
      <c r="S551" s="29" t="e">
        <f>IF(INDEX(#REF!,MATCH('data '!$B551,#REF!,0),MATCH('data '!S$3,#REF!,0))=0,"",INDEX(#REF!,MATCH('data '!$B551,#REF!,0),MATCH('data '!S$3,#REF!,0)))</f>
        <v>#REF!</v>
      </c>
      <c r="T551" s="29" t="e">
        <f>IF(INDEX(#REF!,MATCH('data '!$B551,#REF!,0),MATCH('data '!T$3,#REF!,0))=0,"",INDEX(#REF!,MATCH('data '!$B551,#REF!,0),MATCH('data '!T$3,#REF!,0)))</f>
        <v>#REF!</v>
      </c>
      <c r="U551" s="8" t="s">
        <v>25</v>
      </c>
      <c r="V551" s="25" t="s">
        <v>383</v>
      </c>
      <c r="W551" s="25" t="s">
        <v>144</v>
      </c>
      <c r="X551" s="43" t="s">
        <v>25</v>
      </c>
      <c r="Y551" s="43">
        <v>45869</v>
      </c>
      <c r="Z551" s="8">
        <v>45755</v>
      </c>
      <c r="AC551" s="8" t="e">
        <f>VLOOKUP(B551,#REF!,19,0)</f>
        <v>#REF!</v>
      </c>
      <c r="AP551" s="8" t="str">
        <f t="shared" si="24"/>
        <v>BP Secured</v>
      </c>
      <c r="AQ551" s="10" t="b" cm="1">
        <f t="array" aca="1" ref="AQ551" ca="1">IF(AM551&gt;0,(TODAY()-AM551),IF(AL551&gt;0,(TODAY()-AL551),IF(AK551&gt;0,(TODAY()-AK551,IF(AI551&gt;0,(TODAY()-AI551),IF(AG551&gt;0,(TODAY()-AG551),IF(AF551&gt;0,(TODAY()-AF551),IF(X551&gt;0,(TODAY()-X551)," "))))))))</f>
        <v>0</v>
      </c>
      <c r="BD551" s="2" t="str">
        <f t="shared" si="25"/>
        <v>BP Secured</v>
      </c>
      <c r="BE551" s="2" t="e">
        <v>#VALUE!</v>
      </c>
      <c r="BG551" s="2" t="e">
        <v>#N/A</v>
      </c>
    </row>
    <row r="552" spans="2:59" hidden="1" x14ac:dyDescent="0.25">
      <c r="B552" s="2" t="s">
        <v>2609</v>
      </c>
      <c r="C552" s="2" t="s">
        <v>2610</v>
      </c>
      <c r="D552" s="44" t="s">
        <v>2611</v>
      </c>
      <c r="E552" s="2" t="s">
        <v>11</v>
      </c>
      <c r="F552" s="2" t="s">
        <v>164</v>
      </c>
      <c r="G552" s="2" t="s">
        <v>1</v>
      </c>
      <c r="H552" s="2" t="s">
        <v>165</v>
      </c>
      <c r="I552" s="2" t="s">
        <v>68</v>
      </c>
      <c r="J552" s="2" t="s">
        <v>69</v>
      </c>
      <c r="K552" s="2" t="s">
        <v>166</v>
      </c>
      <c r="L552" s="2" t="s">
        <v>2612</v>
      </c>
      <c r="M552" s="2">
        <v>0</v>
      </c>
      <c r="N552" s="2">
        <v>4.6629782999999998</v>
      </c>
      <c r="O552" s="2">
        <v>119.4745853</v>
      </c>
      <c r="P552" s="2" t="s">
        <v>87</v>
      </c>
      <c r="Q552" s="2" t="s">
        <v>73</v>
      </c>
      <c r="R552" s="29" t="e">
        <f>IF(INDEX(#REF!,MATCH('data '!$B552,#REF!,0),MATCH('data '!R$3,#REF!,0))=0,"",INDEX(#REF!,MATCH('data '!$B552,#REF!,0),MATCH('data '!R$3,#REF!,0)))</f>
        <v>#REF!</v>
      </c>
      <c r="S552" s="29" t="e">
        <f>IF(INDEX(#REF!,MATCH('data '!$B552,#REF!,0),MATCH('data '!S$3,#REF!,0))=0,"",INDEX(#REF!,MATCH('data '!$B552,#REF!,0),MATCH('data '!S$3,#REF!,0)))</f>
        <v>#REF!</v>
      </c>
      <c r="T552" s="29" t="e">
        <f>IF(INDEX(#REF!,MATCH('data '!$B552,#REF!,0),MATCH('data '!T$3,#REF!,0))=0,"",INDEX(#REF!,MATCH('data '!$B552,#REF!,0),MATCH('data '!T$3,#REF!,0)))</f>
        <v>#REF!</v>
      </c>
      <c r="U552" s="8" t="s">
        <v>25</v>
      </c>
      <c r="V552" s="25" t="s">
        <v>87</v>
      </c>
      <c r="W552" s="25" t="s">
        <v>144</v>
      </c>
      <c r="X552" s="43" t="s">
        <v>25</v>
      </c>
      <c r="Y552" s="43">
        <v>45905</v>
      </c>
      <c r="AC552" s="8" t="e">
        <f>VLOOKUP(B552,#REF!,19,0)</f>
        <v>#REF!</v>
      </c>
      <c r="AP552" s="8" t="str">
        <f t="shared" si="24"/>
        <v>BP Secured</v>
      </c>
      <c r="AQ552" s="10" t="b" cm="1">
        <f t="array" aca="1" ref="AQ552" ca="1">IF(AM552&gt;0,(TODAY()-AM552),IF(AL552&gt;0,(TODAY()-AL552),IF(AK552&gt;0,(TODAY()-AK552,IF(AI552&gt;0,(TODAY()-AI552),IF(AG552&gt;0,(TODAY()-AG552),IF(AF552&gt;0,(TODAY()-AF552),IF(X552&gt;0,(TODAY()-X552)," "))))))))</f>
        <v>0</v>
      </c>
      <c r="BD552" s="2" t="str">
        <f t="shared" si="25"/>
        <v>BP Secured</v>
      </c>
      <c r="BE552" s="2" t="e">
        <v>#VALUE!</v>
      </c>
      <c r="BG552" s="2" t="e">
        <v>#N/A</v>
      </c>
    </row>
    <row r="553" spans="2:59" hidden="1" x14ac:dyDescent="0.25">
      <c r="B553" s="2" t="s">
        <v>2613</v>
      </c>
      <c r="C553" s="2" t="s">
        <v>2614</v>
      </c>
      <c r="D553" s="44" t="s">
        <v>2615</v>
      </c>
      <c r="E553" s="2" t="s">
        <v>11</v>
      </c>
      <c r="F553" s="2" t="s">
        <v>164</v>
      </c>
      <c r="G553" s="2" t="s">
        <v>1</v>
      </c>
      <c r="H553" s="2" t="s">
        <v>165</v>
      </c>
      <c r="I553" s="2" t="s">
        <v>68</v>
      </c>
      <c r="J553" s="2" t="s">
        <v>69</v>
      </c>
      <c r="K553" s="2" t="s">
        <v>166</v>
      </c>
      <c r="L553" s="2" t="s">
        <v>2616</v>
      </c>
      <c r="M553" s="2">
        <v>0</v>
      </c>
      <c r="N553" s="2">
        <v>4.8137578999999997</v>
      </c>
      <c r="O553" s="2">
        <v>119.839808</v>
      </c>
      <c r="P553" s="2" t="s">
        <v>87</v>
      </c>
      <c r="Q553" s="2" t="s">
        <v>265</v>
      </c>
      <c r="R553" s="29" t="e">
        <f>IF(INDEX(#REF!,MATCH('data '!$B553,#REF!,0),MATCH('data '!R$3,#REF!,0))=0,"",INDEX(#REF!,MATCH('data '!$B553,#REF!,0),MATCH('data '!R$3,#REF!,0)))</f>
        <v>#REF!</v>
      </c>
      <c r="S553" s="29" t="e">
        <f>IF(INDEX(#REF!,MATCH('data '!$B553,#REF!,0),MATCH('data '!S$3,#REF!,0))=0,"",INDEX(#REF!,MATCH('data '!$B553,#REF!,0),MATCH('data '!S$3,#REF!,0)))</f>
        <v>#REF!</v>
      </c>
      <c r="T553" s="29" t="e">
        <f>IF(INDEX(#REF!,MATCH('data '!$B553,#REF!,0),MATCH('data '!T$3,#REF!,0))=0,"",INDEX(#REF!,MATCH('data '!$B553,#REF!,0),MATCH('data '!T$3,#REF!,0)))</f>
        <v>#REF!</v>
      </c>
      <c r="U553" s="8" t="s">
        <v>25</v>
      </c>
      <c r="V553" s="25" t="s">
        <v>185</v>
      </c>
      <c r="W553" s="25" t="s">
        <v>144</v>
      </c>
      <c r="X553" s="43" t="s">
        <v>25</v>
      </c>
      <c r="Y553" s="43">
        <v>45863</v>
      </c>
      <c r="Z553" s="8">
        <v>45816</v>
      </c>
      <c r="AA553" s="8" t="s">
        <v>1466</v>
      </c>
      <c r="AC553" s="8" t="e">
        <f>VLOOKUP(B553,#REF!,19,0)</f>
        <v>#REF!</v>
      </c>
      <c r="AP553" s="8" t="str">
        <f t="shared" si="24"/>
        <v>BP Secured</v>
      </c>
      <c r="AQ553" s="10" t="b" cm="1">
        <f t="array" aca="1" ref="AQ553" ca="1">IF(AM553&gt;0,(TODAY()-AM553),IF(AL553&gt;0,(TODAY()-AL553),IF(AK553&gt;0,(TODAY()-AK553,IF(AI553&gt;0,(TODAY()-AI553),IF(AG553&gt;0,(TODAY()-AG553),IF(AF553&gt;0,(TODAY()-AF553),IF(X553&gt;0,(TODAY()-X553)," "))))))))</f>
        <v>0</v>
      </c>
      <c r="BD553" s="2" t="str">
        <f t="shared" si="25"/>
        <v>BP Secured</v>
      </c>
      <c r="BE553" s="2" t="e">
        <v>#VALUE!</v>
      </c>
      <c r="BG553" s="2" t="e">
        <v>#N/A</v>
      </c>
    </row>
    <row r="554" spans="2:59" hidden="1" x14ac:dyDescent="0.25">
      <c r="B554" s="2" t="s">
        <v>2617</v>
      </c>
      <c r="C554" s="2" t="s">
        <v>2618</v>
      </c>
      <c r="D554" s="44" t="s">
        <v>2619</v>
      </c>
      <c r="E554" s="2" t="s">
        <v>11</v>
      </c>
      <c r="F554" s="2" t="s">
        <v>164</v>
      </c>
      <c r="G554" s="2" t="s">
        <v>1</v>
      </c>
      <c r="H554" s="2" t="s">
        <v>165</v>
      </c>
      <c r="I554" s="2" t="s">
        <v>68</v>
      </c>
      <c r="J554" s="2" t="s">
        <v>69</v>
      </c>
      <c r="K554" s="2" t="s">
        <v>166</v>
      </c>
      <c r="L554" s="2" t="s">
        <v>2612</v>
      </c>
      <c r="M554" s="2">
        <v>0</v>
      </c>
      <c r="N554" s="2">
        <v>4.8565244099999996</v>
      </c>
      <c r="O554" s="2">
        <v>119.4531958</v>
      </c>
      <c r="P554" s="2" t="s">
        <v>87</v>
      </c>
      <c r="Q554" s="2" t="s">
        <v>265</v>
      </c>
      <c r="R554" s="29" t="e">
        <f>IF(INDEX(#REF!,MATCH('data '!$B554,#REF!,0),MATCH('data '!R$3,#REF!,0))=0,"",INDEX(#REF!,MATCH('data '!$B554,#REF!,0),MATCH('data '!R$3,#REF!,0)))</f>
        <v>#REF!</v>
      </c>
      <c r="S554" s="29" t="e">
        <f>IF(INDEX(#REF!,MATCH('data '!$B554,#REF!,0),MATCH('data '!S$3,#REF!,0))=0,"",INDEX(#REF!,MATCH('data '!$B554,#REF!,0),MATCH('data '!S$3,#REF!,0)))</f>
        <v>#REF!</v>
      </c>
      <c r="T554" s="29" t="e">
        <f>IF(INDEX(#REF!,MATCH('data '!$B554,#REF!,0),MATCH('data '!T$3,#REF!,0))=0,"",INDEX(#REF!,MATCH('data '!$B554,#REF!,0),MATCH('data '!T$3,#REF!,0)))</f>
        <v>#REF!</v>
      </c>
      <c r="U554" s="8" t="s">
        <v>25</v>
      </c>
      <c r="V554" s="25" t="s">
        <v>185</v>
      </c>
      <c r="W554" s="25" t="s">
        <v>144</v>
      </c>
      <c r="X554" s="43" t="s">
        <v>25</v>
      </c>
      <c r="Y554" s="43">
        <v>45863</v>
      </c>
      <c r="AA554" s="8" t="s">
        <v>1470</v>
      </c>
      <c r="AC554" s="8" t="e">
        <f>VLOOKUP(B554,#REF!,19,0)</f>
        <v>#REF!</v>
      </c>
      <c r="AP554" s="8" t="str">
        <f t="shared" si="24"/>
        <v>BP Secured</v>
      </c>
      <c r="AQ554" s="10" t="b" cm="1">
        <f t="array" aca="1" ref="AQ554" ca="1">IF(AM554&gt;0,(TODAY()-AM554),IF(AL554&gt;0,(TODAY()-AL554),IF(AK554&gt;0,(TODAY()-AK554,IF(AI554&gt;0,(TODAY()-AI554),IF(AG554&gt;0,(TODAY()-AG554),IF(AF554&gt;0,(TODAY()-AF554),IF(X554&gt;0,(TODAY()-X554)," "))))))))</f>
        <v>0</v>
      </c>
      <c r="BD554" s="2" t="str">
        <f t="shared" si="25"/>
        <v>BP Secured</v>
      </c>
      <c r="BE554" s="2" t="e">
        <v>#VALUE!</v>
      </c>
      <c r="BG554" s="2" t="e">
        <v>#N/A</v>
      </c>
    </row>
    <row r="555" spans="2:59" hidden="1" x14ac:dyDescent="0.25">
      <c r="B555" s="2" t="s">
        <v>2620</v>
      </c>
      <c r="C555" s="2" t="s">
        <v>2621</v>
      </c>
      <c r="D555" s="44" t="s">
        <v>2622</v>
      </c>
      <c r="E555" s="2" t="s">
        <v>11</v>
      </c>
      <c r="F555" s="2" t="s">
        <v>164</v>
      </c>
      <c r="G555" s="2" t="s">
        <v>1</v>
      </c>
      <c r="H555" s="2" t="s">
        <v>165</v>
      </c>
      <c r="I555" s="2" t="s">
        <v>68</v>
      </c>
      <c r="J555" s="2" t="s">
        <v>69</v>
      </c>
      <c r="K555" s="2" t="s">
        <v>166</v>
      </c>
      <c r="L555" s="2" t="s">
        <v>2616</v>
      </c>
      <c r="M555" s="2">
        <v>0</v>
      </c>
      <c r="N555" s="2">
        <v>4.8888673300000001</v>
      </c>
      <c r="O555" s="2">
        <v>119.79557149999999</v>
      </c>
      <c r="P555" s="2" t="s">
        <v>87</v>
      </c>
      <c r="Q555" s="2" t="s">
        <v>314</v>
      </c>
      <c r="R555" s="29" t="e">
        <f>IF(INDEX(#REF!,MATCH('data '!$B555,#REF!,0),MATCH('data '!R$3,#REF!,0))=0,"",INDEX(#REF!,MATCH('data '!$B555,#REF!,0),MATCH('data '!R$3,#REF!,0)))</f>
        <v>#REF!</v>
      </c>
      <c r="S555" s="29" t="e">
        <f>IF(INDEX(#REF!,MATCH('data '!$B555,#REF!,0),MATCH('data '!S$3,#REF!,0))=0,"",INDEX(#REF!,MATCH('data '!$B555,#REF!,0),MATCH('data '!S$3,#REF!,0)))</f>
        <v>#REF!</v>
      </c>
      <c r="T555" s="29" t="e">
        <f>IF(INDEX(#REF!,MATCH('data '!$B555,#REF!,0),MATCH('data '!T$3,#REF!,0))=0,"",INDEX(#REF!,MATCH('data '!$B555,#REF!,0),MATCH('data '!T$3,#REF!,0)))</f>
        <v>#REF!</v>
      </c>
      <c r="U555" s="8" t="s">
        <v>25</v>
      </c>
      <c r="V555" s="25" t="s">
        <v>87</v>
      </c>
      <c r="W555" s="25" t="s">
        <v>144</v>
      </c>
      <c r="X555" s="43" t="s">
        <v>25</v>
      </c>
      <c r="Y555" s="43">
        <v>45863</v>
      </c>
      <c r="AC555" s="8" t="e">
        <f>VLOOKUP(B555,#REF!,19,0)</f>
        <v>#REF!</v>
      </c>
      <c r="AP555" s="8" t="str">
        <f t="shared" si="24"/>
        <v>BP Secured</v>
      </c>
      <c r="AQ555" s="10" t="b" cm="1">
        <f t="array" aca="1" ref="AQ555" ca="1">IF(AM555&gt;0,(TODAY()-AM555),IF(AL555&gt;0,(TODAY()-AL555),IF(AK555&gt;0,(TODAY()-AK555,IF(AI555&gt;0,(TODAY()-AI555),IF(AG555&gt;0,(TODAY()-AG555),IF(AF555&gt;0,(TODAY()-AF555),IF(X555&gt;0,(TODAY()-X555)," "))))))))</f>
        <v>0</v>
      </c>
      <c r="BD555" s="2" t="str">
        <f t="shared" si="25"/>
        <v>BP Secured</v>
      </c>
      <c r="BE555" s="2" t="e">
        <v>#VALUE!</v>
      </c>
      <c r="BG555" s="2" t="e">
        <v>#N/A</v>
      </c>
    </row>
    <row r="556" spans="2:59" hidden="1" x14ac:dyDescent="0.25">
      <c r="B556" s="2" t="s">
        <v>2623</v>
      </c>
      <c r="C556" s="2" t="s">
        <v>2624</v>
      </c>
      <c r="D556" s="44" t="s">
        <v>2625</v>
      </c>
      <c r="E556" s="2" t="s">
        <v>11</v>
      </c>
      <c r="F556" s="2" t="s">
        <v>164</v>
      </c>
      <c r="G556" s="2" t="s">
        <v>1</v>
      </c>
      <c r="H556" s="2" t="s">
        <v>165</v>
      </c>
      <c r="I556" s="2" t="s">
        <v>68</v>
      </c>
      <c r="J556" s="2" t="s">
        <v>69</v>
      </c>
      <c r="K556" s="2" t="s">
        <v>166</v>
      </c>
      <c r="L556" s="2" t="s">
        <v>2626</v>
      </c>
      <c r="M556" s="2">
        <v>0</v>
      </c>
      <c r="N556" s="2">
        <v>5.1369102</v>
      </c>
      <c r="O556" s="2">
        <v>120.322845</v>
      </c>
      <c r="P556" s="2" t="s">
        <v>88</v>
      </c>
      <c r="Q556" s="2" t="s">
        <v>73</v>
      </c>
      <c r="R556" s="29" t="e">
        <f>IF(INDEX(#REF!,MATCH('data '!$B556,#REF!,0),MATCH('data '!R$3,#REF!,0))=0,"",INDEX(#REF!,MATCH('data '!$B556,#REF!,0),MATCH('data '!R$3,#REF!,0)))</f>
        <v>#REF!</v>
      </c>
      <c r="S556" s="29" t="e">
        <f>IF(INDEX(#REF!,MATCH('data '!$B556,#REF!,0),MATCH('data '!S$3,#REF!,0))=0,"",INDEX(#REF!,MATCH('data '!$B556,#REF!,0),MATCH('data '!S$3,#REF!,0)))</f>
        <v>#REF!</v>
      </c>
      <c r="T556" s="29" t="e">
        <f>IF(INDEX(#REF!,MATCH('data '!$B556,#REF!,0),MATCH('data '!T$3,#REF!,0))=0,"",INDEX(#REF!,MATCH('data '!$B556,#REF!,0),MATCH('data '!T$3,#REF!,0)))</f>
        <v>#REF!</v>
      </c>
      <c r="U556" s="8" t="s">
        <v>25</v>
      </c>
      <c r="V556" s="25" t="s">
        <v>88</v>
      </c>
      <c r="W556" s="25" t="s">
        <v>89</v>
      </c>
      <c r="AC556" s="8" t="e">
        <f>VLOOKUP(B556,#REF!,19,0)</f>
        <v>#REF!</v>
      </c>
      <c r="AP556" s="8" t="str">
        <f t="shared" si="24"/>
        <v>Not yet endorsed</v>
      </c>
      <c r="AQ556" s="10" t="b" cm="1">
        <f t="array" aca="1" ref="AQ556" ca="1">IF(AM556&gt;0,(TODAY()-AM556),IF(AL556&gt;0,(TODAY()-AL556),IF(AK556&gt;0,(TODAY()-AK556,IF(AI556&gt;0,(TODAY()-AI556),IF(AG556&gt;0,(TODAY()-AG556),IF(AF556&gt;0,(TODAY()-AF556),IF(X556&gt;0,(TODAY()-X556)," "))))))))</f>
        <v>0</v>
      </c>
      <c r="BD556" s="2" t="str">
        <f t="shared" si="25"/>
        <v>TSSR Approved</v>
      </c>
      <c r="BE556" s="2" t="e">
        <v>#VALUE!</v>
      </c>
      <c r="BG556" s="2" t="e">
        <v>#N/A</v>
      </c>
    </row>
    <row r="557" spans="2:59" hidden="1" x14ac:dyDescent="0.25">
      <c r="B557" s="2" t="s">
        <v>2627</v>
      </c>
      <c r="C557" s="2" t="s">
        <v>2628</v>
      </c>
      <c r="D557" s="44" t="s">
        <v>2629</v>
      </c>
      <c r="E557" s="2" t="s">
        <v>11</v>
      </c>
      <c r="F557" s="2" t="s">
        <v>164</v>
      </c>
      <c r="G557" s="2" t="s">
        <v>1</v>
      </c>
      <c r="H557" s="2" t="s">
        <v>165</v>
      </c>
      <c r="I557" s="2" t="s">
        <v>68</v>
      </c>
      <c r="J557" s="2" t="s">
        <v>69</v>
      </c>
      <c r="K557" s="2" t="s">
        <v>166</v>
      </c>
      <c r="L557" s="2" t="s">
        <v>2630</v>
      </c>
      <c r="M557" s="2">
        <v>0</v>
      </c>
      <c r="N557" s="2">
        <v>5.1884855999999999</v>
      </c>
      <c r="O557" s="2">
        <v>120.4931789</v>
      </c>
      <c r="P557" s="2" t="s">
        <v>88</v>
      </c>
      <c r="Q557" s="2" t="s">
        <v>73</v>
      </c>
      <c r="R557" s="29" t="e">
        <f>IF(INDEX(#REF!,MATCH('data '!$B557,#REF!,0),MATCH('data '!R$3,#REF!,0))=0,"",INDEX(#REF!,MATCH('data '!$B557,#REF!,0),MATCH('data '!R$3,#REF!,0)))</f>
        <v>#REF!</v>
      </c>
      <c r="S557" s="29" t="e">
        <f>IF(INDEX(#REF!,MATCH('data '!$B557,#REF!,0),MATCH('data '!S$3,#REF!,0))=0,"",INDEX(#REF!,MATCH('data '!$B557,#REF!,0),MATCH('data '!S$3,#REF!,0)))</f>
        <v>#REF!</v>
      </c>
      <c r="T557" s="29" t="e">
        <f>IF(INDEX(#REF!,MATCH('data '!$B557,#REF!,0),MATCH('data '!T$3,#REF!,0))=0,"",INDEX(#REF!,MATCH('data '!$B557,#REF!,0),MATCH('data '!T$3,#REF!,0)))</f>
        <v>#REF!</v>
      </c>
      <c r="U557" s="8" t="s">
        <v>25</v>
      </c>
      <c r="V557" s="25" t="s">
        <v>249</v>
      </c>
      <c r="W557" s="25">
        <v>0</v>
      </c>
      <c r="AC557" s="8" t="e">
        <f>VLOOKUP(B557,#REF!,19,0)</f>
        <v>#REF!</v>
      </c>
      <c r="AP557" s="8" t="str">
        <f t="shared" si="24"/>
        <v>Not yet endorsed</v>
      </c>
      <c r="AQ557" s="10" t="b" cm="1">
        <f t="array" aca="1" ref="AQ557" ca="1">IF(AM557&gt;0,(TODAY()-AM557),IF(AL557&gt;0,(TODAY()-AL557),IF(AK557&gt;0,(TODAY()-AK557,IF(AI557&gt;0,(TODAY()-AI557),IF(AG557&gt;0,(TODAY()-AG557),IF(AF557&gt;0,(TODAY()-AF557),IF(X557&gt;0,(TODAY()-X557)," "))))))))</f>
        <v>0</v>
      </c>
      <c r="BD557" s="2" t="str">
        <f t="shared" si="25"/>
        <v>TSSR Approved</v>
      </c>
      <c r="BE557" s="2" t="e">
        <v>#VALUE!</v>
      </c>
      <c r="BG557" s="2" t="e">
        <v>#N/A</v>
      </c>
    </row>
    <row r="558" spans="2:59" hidden="1" x14ac:dyDescent="0.25">
      <c r="B558" s="2" t="s">
        <v>2631</v>
      </c>
      <c r="C558" s="2" t="s">
        <v>2632</v>
      </c>
      <c r="D558" s="44" t="s">
        <v>2633</v>
      </c>
      <c r="E558" s="2" t="s">
        <v>11</v>
      </c>
      <c r="F558" s="2">
        <v>0</v>
      </c>
      <c r="G558" s="2" t="s">
        <v>1</v>
      </c>
      <c r="H558" s="2" t="s">
        <v>67</v>
      </c>
      <c r="I558" s="2" t="s">
        <v>68</v>
      </c>
      <c r="J558" s="2" t="s">
        <v>69</v>
      </c>
      <c r="K558" s="2" t="s">
        <v>70</v>
      </c>
      <c r="L558" s="2">
        <v>0</v>
      </c>
      <c r="M558" s="2">
        <v>0</v>
      </c>
      <c r="N558" s="2">
        <v>0</v>
      </c>
      <c r="O558" s="2">
        <v>0</v>
      </c>
      <c r="P558" s="2" t="s">
        <v>490</v>
      </c>
      <c r="Q558" s="2">
        <v>0</v>
      </c>
      <c r="R558" s="29" t="e">
        <f>IF(INDEX(#REF!,MATCH('data '!$B558,#REF!,0),MATCH('data '!R$3,#REF!,0))=0,"",INDEX(#REF!,MATCH('data '!$B558,#REF!,0),MATCH('data '!R$3,#REF!,0)))</f>
        <v>#REF!</v>
      </c>
      <c r="S558" s="29" t="e">
        <f>IF(INDEX(#REF!,MATCH('data '!$B558,#REF!,0),MATCH('data '!S$3,#REF!,0))=0,"",INDEX(#REF!,MATCH('data '!$B558,#REF!,0),MATCH('data '!S$3,#REF!,0)))</f>
        <v>#REF!</v>
      </c>
      <c r="T558" s="29" t="e">
        <f>IF(INDEX(#REF!,MATCH('data '!$B558,#REF!,0),MATCH('data '!T$3,#REF!,0))=0,"",INDEX(#REF!,MATCH('data '!$B558,#REF!,0),MATCH('data '!T$3,#REF!,0)))</f>
        <v>#REF!</v>
      </c>
      <c r="V558" s="25" t="s">
        <v>82</v>
      </c>
      <c r="W558" s="25" t="s">
        <v>83</v>
      </c>
      <c r="AC558" s="8" t="e">
        <f>VLOOKUP(B558,#REF!,19,0)</f>
        <v>#REF!</v>
      </c>
      <c r="AP558" s="8" t="str">
        <f t="shared" si="24"/>
        <v>Not yet endorsed</v>
      </c>
      <c r="AQ558" s="10" t="b" cm="1">
        <f t="array" aca="1" ref="AQ558" ca="1">IF(AM558&gt;0,(TODAY()-AM558),IF(AL558&gt;0,(TODAY()-AL558),IF(AK558&gt;0,(TODAY()-AK558,IF(AI558&gt;0,(TODAY()-AI558),IF(AG558&gt;0,(TODAY()-AG558),IF(AF558&gt;0,(TODAY()-AF558),IF(X558&gt;0,(TODAY()-X558)," "))))))))</f>
        <v>0</v>
      </c>
      <c r="BD558" s="2" t="str">
        <f t="shared" si="25"/>
        <v>Not yet endorsed</v>
      </c>
      <c r="BE558" s="2" t="s">
        <v>75</v>
      </c>
      <c r="BG558" s="2" t="e">
        <v>#N/A</v>
      </c>
    </row>
    <row r="559" spans="2:59" hidden="1" x14ac:dyDescent="0.25">
      <c r="B559" s="2" t="s">
        <v>2634</v>
      </c>
      <c r="C559" s="2" t="s">
        <v>2635</v>
      </c>
      <c r="D559" s="44" t="s">
        <v>2636</v>
      </c>
      <c r="E559" s="2" t="s">
        <v>11</v>
      </c>
      <c r="F559" s="2">
        <v>0</v>
      </c>
      <c r="G559" s="2" t="s">
        <v>1</v>
      </c>
      <c r="H559" s="2" t="s">
        <v>67</v>
      </c>
      <c r="I559" s="2" t="s">
        <v>68</v>
      </c>
      <c r="J559" s="2" t="s">
        <v>69</v>
      </c>
      <c r="K559" s="2" t="s">
        <v>70</v>
      </c>
      <c r="L559" s="2">
        <v>0</v>
      </c>
      <c r="M559" s="2">
        <v>0</v>
      </c>
      <c r="N559" s="2">
        <v>0</v>
      </c>
      <c r="O559" s="2">
        <v>0</v>
      </c>
      <c r="P559" s="2" t="s">
        <v>116</v>
      </c>
      <c r="Q559" s="2">
        <v>0</v>
      </c>
      <c r="R559" s="29" t="e">
        <f>IF(INDEX(#REF!,MATCH('data '!$B559,#REF!,0),MATCH('data '!R$3,#REF!,0))=0,"",INDEX(#REF!,MATCH('data '!$B559,#REF!,0),MATCH('data '!R$3,#REF!,0)))</f>
        <v>#REF!</v>
      </c>
      <c r="S559" s="29" t="e">
        <f>IF(INDEX(#REF!,MATCH('data '!$B559,#REF!,0),MATCH('data '!S$3,#REF!,0))=0,"",INDEX(#REF!,MATCH('data '!$B559,#REF!,0),MATCH('data '!S$3,#REF!,0)))</f>
        <v>#REF!</v>
      </c>
      <c r="T559" s="29" t="e">
        <f>IF(INDEX(#REF!,MATCH('data '!$B559,#REF!,0),MATCH('data '!T$3,#REF!,0))=0,"",INDEX(#REF!,MATCH('data '!$B559,#REF!,0),MATCH('data '!T$3,#REF!,0)))</f>
        <v>#REF!</v>
      </c>
      <c r="V559" s="25" t="s">
        <v>74</v>
      </c>
      <c r="W559" s="25">
        <v>0</v>
      </c>
      <c r="AC559" s="8" t="e">
        <f>VLOOKUP(B559,#REF!,19,0)</f>
        <v>#REF!</v>
      </c>
      <c r="AP559" s="8" t="str">
        <f t="shared" si="24"/>
        <v>Not yet endorsed</v>
      </c>
      <c r="AQ559" s="10" t="b" cm="1">
        <f t="array" aca="1" ref="AQ559" ca="1">IF(AM559&gt;0,(TODAY()-AM559),IF(AL559&gt;0,(TODAY()-AL559),IF(AK559&gt;0,(TODAY()-AK559,IF(AI559&gt;0,(TODAY()-AI559),IF(AG559&gt;0,(TODAY()-AG559),IF(AF559&gt;0,(TODAY()-AF559),IF(X559&gt;0,(TODAY()-X559)," "))))))))</f>
        <v>0</v>
      </c>
      <c r="BD559" s="2" t="str">
        <f t="shared" si="25"/>
        <v>Not yet endorsed</v>
      </c>
      <c r="BE559" s="2" t="s">
        <v>75</v>
      </c>
      <c r="BG559" s="2" t="e">
        <v>#N/A</v>
      </c>
    </row>
    <row r="560" spans="2:59" hidden="1" x14ac:dyDescent="0.25">
      <c r="B560" s="2" t="s">
        <v>2637</v>
      </c>
      <c r="C560" s="2" t="s">
        <v>2638</v>
      </c>
      <c r="D560" s="44" t="s">
        <v>2639</v>
      </c>
      <c r="E560" s="2" t="s">
        <v>11</v>
      </c>
      <c r="F560" s="2">
        <v>0</v>
      </c>
      <c r="G560" s="2" t="s">
        <v>1</v>
      </c>
      <c r="H560" s="2" t="s">
        <v>67</v>
      </c>
      <c r="I560" s="2" t="s">
        <v>68</v>
      </c>
      <c r="J560" s="2" t="s">
        <v>69</v>
      </c>
      <c r="K560" s="2" t="s">
        <v>70</v>
      </c>
      <c r="L560" s="2">
        <v>0</v>
      </c>
      <c r="M560" s="2">
        <v>0</v>
      </c>
      <c r="N560" s="2">
        <v>0</v>
      </c>
      <c r="O560" s="2">
        <v>0</v>
      </c>
      <c r="P560" s="2" t="s">
        <v>490</v>
      </c>
      <c r="Q560" s="2">
        <v>0</v>
      </c>
      <c r="R560" s="29" t="e">
        <f>IF(INDEX(#REF!,MATCH('data '!$B560,#REF!,0),MATCH('data '!R$3,#REF!,0))=0,"",INDEX(#REF!,MATCH('data '!$B560,#REF!,0),MATCH('data '!R$3,#REF!,0)))</f>
        <v>#REF!</v>
      </c>
      <c r="S560" s="29" t="e">
        <f>IF(INDEX(#REF!,MATCH('data '!$B560,#REF!,0),MATCH('data '!S$3,#REF!,0))=0,"",INDEX(#REF!,MATCH('data '!$B560,#REF!,0),MATCH('data '!S$3,#REF!,0)))</f>
        <v>#REF!</v>
      </c>
      <c r="T560" s="29" t="e">
        <f>IF(INDEX(#REF!,MATCH('data '!$B560,#REF!,0),MATCH('data '!T$3,#REF!,0))=0,"",INDEX(#REF!,MATCH('data '!$B560,#REF!,0),MATCH('data '!T$3,#REF!,0)))</f>
        <v>#REF!</v>
      </c>
      <c r="V560" s="25" t="s">
        <v>125</v>
      </c>
      <c r="W560" s="25">
        <v>0</v>
      </c>
      <c r="AC560" s="8" t="e">
        <f>VLOOKUP(B560,#REF!,19,0)</f>
        <v>#REF!</v>
      </c>
      <c r="AP560" s="8" t="str">
        <f t="shared" si="24"/>
        <v>Not yet endorsed</v>
      </c>
      <c r="AQ560" s="10" t="b" cm="1">
        <f t="array" aca="1" ref="AQ560" ca="1">IF(AM560&gt;0,(TODAY()-AM560),IF(AL560&gt;0,(TODAY()-AL560),IF(AK560&gt;0,(TODAY()-AK560,IF(AI560&gt;0,(TODAY()-AI560),IF(AG560&gt;0,(TODAY()-AG560),IF(AF560&gt;0,(TODAY()-AF560),IF(X560&gt;0,(TODAY()-X560)," "))))))))</f>
        <v>0</v>
      </c>
      <c r="BD560" s="2" t="str">
        <f t="shared" si="25"/>
        <v>Not yet endorsed</v>
      </c>
      <c r="BE560" s="2" t="s">
        <v>75</v>
      </c>
      <c r="BG560" s="2" t="e">
        <v>#N/A</v>
      </c>
    </row>
    <row r="561" spans="2:59" hidden="1" x14ac:dyDescent="0.25">
      <c r="B561" s="2" t="s">
        <v>2640</v>
      </c>
      <c r="C561" s="2" t="s">
        <v>2641</v>
      </c>
      <c r="D561" s="44" t="s">
        <v>2642</v>
      </c>
      <c r="E561" s="2" t="s">
        <v>11</v>
      </c>
      <c r="F561" s="2">
        <v>0</v>
      </c>
      <c r="G561" s="2" t="s">
        <v>1</v>
      </c>
      <c r="H561" s="2" t="s">
        <v>67</v>
      </c>
      <c r="I561" s="2" t="s">
        <v>68</v>
      </c>
      <c r="J561" s="2" t="s">
        <v>69</v>
      </c>
      <c r="K561" s="2" t="s">
        <v>70</v>
      </c>
      <c r="L561" s="2">
        <v>0</v>
      </c>
      <c r="M561" s="2">
        <v>0</v>
      </c>
      <c r="N561" s="2">
        <v>0</v>
      </c>
      <c r="O561" s="2">
        <v>0</v>
      </c>
      <c r="P561" s="2" t="s">
        <v>702</v>
      </c>
      <c r="Q561" s="2">
        <v>0</v>
      </c>
      <c r="R561" s="29" t="e">
        <f>IF(INDEX(#REF!,MATCH('data '!$B561,#REF!,0),MATCH('data '!R$3,#REF!,0))=0,"",INDEX(#REF!,MATCH('data '!$B561,#REF!,0),MATCH('data '!R$3,#REF!,0)))</f>
        <v>#REF!</v>
      </c>
      <c r="S561" s="29" t="e">
        <f>IF(INDEX(#REF!,MATCH('data '!$B561,#REF!,0),MATCH('data '!S$3,#REF!,0))=0,"",INDEX(#REF!,MATCH('data '!$B561,#REF!,0),MATCH('data '!S$3,#REF!,0)))</f>
        <v>#REF!</v>
      </c>
      <c r="T561" s="29" t="e">
        <f>IF(INDEX(#REF!,MATCH('data '!$B561,#REF!,0),MATCH('data '!T$3,#REF!,0))=0,"",INDEX(#REF!,MATCH('data '!$B561,#REF!,0),MATCH('data '!T$3,#REF!,0)))</f>
        <v>#REF!</v>
      </c>
      <c r="V561" s="25" t="s">
        <v>82</v>
      </c>
      <c r="W561" s="25" t="s">
        <v>83</v>
      </c>
      <c r="AC561" s="8" t="e">
        <f>VLOOKUP(B561,#REF!,19,0)</f>
        <v>#REF!</v>
      </c>
      <c r="AP561" s="8" t="str">
        <f t="shared" si="24"/>
        <v>Not yet endorsed</v>
      </c>
      <c r="AQ561" s="10" t="b" cm="1">
        <f t="array" aca="1" ref="AQ561" ca="1">IF(AM561&gt;0,(TODAY()-AM561),IF(AL561&gt;0,(TODAY()-AL561),IF(AK561&gt;0,(TODAY()-AK561,IF(AI561&gt;0,(TODAY()-AI561),IF(AG561&gt;0,(TODAY()-AG561),IF(AF561&gt;0,(TODAY()-AF561),IF(X561&gt;0,(TODAY()-X561)," "))))))))</f>
        <v>0</v>
      </c>
      <c r="BD561" s="2" t="str">
        <f t="shared" si="25"/>
        <v>Not yet endorsed</v>
      </c>
      <c r="BE561" s="2" t="s">
        <v>75</v>
      </c>
      <c r="BG561" s="2" t="e">
        <v>#N/A</v>
      </c>
    </row>
    <row r="562" spans="2:59" hidden="1" x14ac:dyDescent="0.25">
      <c r="B562" s="2" t="s">
        <v>2643</v>
      </c>
      <c r="C562" s="2" t="s">
        <v>2644</v>
      </c>
      <c r="D562" s="44" t="s">
        <v>2645</v>
      </c>
      <c r="E562" s="2" t="s">
        <v>11</v>
      </c>
      <c r="F562" s="2">
        <v>0</v>
      </c>
      <c r="G562" s="2" t="s">
        <v>1</v>
      </c>
      <c r="H562" s="2" t="s">
        <v>67</v>
      </c>
      <c r="I562" s="2" t="s">
        <v>68</v>
      </c>
      <c r="J562" s="2" t="s">
        <v>69</v>
      </c>
      <c r="K562" s="2" t="s">
        <v>70</v>
      </c>
      <c r="L562" s="2">
        <v>0</v>
      </c>
      <c r="M562" s="2">
        <v>0</v>
      </c>
      <c r="N562" s="2">
        <v>0</v>
      </c>
      <c r="O562" s="2">
        <v>0</v>
      </c>
      <c r="P562" s="2" t="s">
        <v>318</v>
      </c>
      <c r="Q562" s="2">
        <v>0</v>
      </c>
      <c r="R562" s="29" t="e">
        <f>IF(INDEX(#REF!,MATCH('data '!$B562,#REF!,0),MATCH('data '!R$3,#REF!,0))=0,"",INDEX(#REF!,MATCH('data '!$B562,#REF!,0),MATCH('data '!R$3,#REF!,0)))</f>
        <v>#REF!</v>
      </c>
      <c r="S562" s="29" t="e">
        <f>IF(INDEX(#REF!,MATCH('data '!$B562,#REF!,0),MATCH('data '!S$3,#REF!,0))=0,"",INDEX(#REF!,MATCH('data '!$B562,#REF!,0),MATCH('data '!S$3,#REF!,0)))</f>
        <v>#REF!</v>
      </c>
      <c r="T562" s="29" t="e">
        <f>IF(INDEX(#REF!,MATCH('data '!$B562,#REF!,0),MATCH('data '!T$3,#REF!,0))=0,"",INDEX(#REF!,MATCH('data '!$B562,#REF!,0),MATCH('data '!T$3,#REF!,0)))</f>
        <v>#REF!</v>
      </c>
      <c r="V562" s="25" t="s">
        <v>568</v>
      </c>
      <c r="W562" s="25">
        <v>0</v>
      </c>
      <c r="AC562" s="8" t="e">
        <f>VLOOKUP(B562,#REF!,19,0)</f>
        <v>#REF!</v>
      </c>
      <c r="AP562" s="8" t="str">
        <f t="shared" si="24"/>
        <v>Not yet endorsed</v>
      </c>
      <c r="AQ562" s="10" t="b" cm="1">
        <f t="array" aca="1" ref="AQ562" ca="1">IF(AM562&gt;0,(TODAY()-AM562),IF(AL562&gt;0,(TODAY()-AL562),IF(AK562&gt;0,(TODAY()-AK562,IF(AI562&gt;0,(TODAY()-AI562),IF(AG562&gt;0,(TODAY()-AG562),IF(AF562&gt;0,(TODAY()-AF562),IF(X562&gt;0,(TODAY()-X562)," "))))))))</f>
        <v>0</v>
      </c>
      <c r="BD562" s="2" t="str">
        <f t="shared" si="25"/>
        <v>Not yet endorsed</v>
      </c>
      <c r="BE562" s="2" t="s">
        <v>75</v>
      </c>
      <c r="BG562" s="2" t="e">
        <v>#N/A</v>
      </c>
    </row>
    <row r="563" spans="2:59" hidden="1" x14ac:dyDescent="0.25">
      <c r="B563" s="2" t="s">
        <v>2646</v>
      </c>
      <c r="C563" s="2" t="s">
        <v>2647</v>
      </c>
      <c r="D563" s="44" t="s">
        <v>2648</v>
      </c>
      <c r="E563" s="2" t="s">
        <v>11</v>
      </c>
      <c r="F563" s="2" t="s">
        <v>180</v>
      </c>
      <c r="G563" s="2" t="s">
        <v>1</v>
      </c>
      <c r="H563" s="2" t="s">
        <v>165</v>
      </c>
      <c r="I563" s="2" t="s">
        <v>68</v>
      </c>
      <c r="J563" s="2" t="s">
        <v>181</v>
      </c>
      <c r="K563" s="2" t="s">
        <v>182</v>
      </c>
      <c r="L563" s="2" t="s">
        <v>183</v>
      </c>
      <c r="M563" s="2">
        <v>0</v>
      </c>
      <c r="N563" s="2">
        <v>0</v>
      </c>
      <c r="O563" s="2">
        <v>0</v>
      </c>
      <c r="P563" s="2" t="s">
        <v>116</v>
      </c>
      <c r="Q563" s="2" t="s">
        <v>73</v>
      </c>
      <c r="R563" s="29" t="e">
        <f>IF(INDEX(#REF!,MATCH('data '!$B563,#REF!,0),MATCH('data '!R$3,#REF!,0))=0,"",INDEX(#REF!,MATCH('data '!$B563,#REF!,0),MATCH('data '!R$3,#REF!,0)))</f>
        <v>#REF!</v>
      </c>
      <c r="S563" s="29" t="e">
        <f>IF(INDEX(#REF!,MATCH('data '!$B563,#REF!,0),MATCH('data '!S$3,#REF!,0))=0,"",INDEX(#REF!,MATCH('data '!$B563,#REF!,0),MATCH('data '!S$3,#REF!,0)))</f>
        <v>#REF!</v>
      </c>
      <c r="T563" s="29" t="e">
        <f>IF(INDEX(#REF!,MATCH('data '!$B563,#REF!,0),MATCH('data '!T$3,#REF!,0))=0,"",INDEX(#REF!,MATCH('data '!$B563,#REF!,0),MATCH('data '!T$3,#REF!,0)))</f>
        <v>#REF!</v>
      </c>
      <c r="V563" s="25" t="s">
        <v>74</v>
      </c>
      <c r="W563" s="25">
        <v>0</v>
      </c>
      <c r="AC563" s="8" t="e">
        <f>VLOOKUP(B563,#REF!,19,0)</f>
        <v>#REF!</v>
      </c>
      <c r="AP563" s="8" t="str">
        <f t="shared" si="24"/>
        <v>Not yet endorsed</v>
      </c>
      <c r="AQ563" s="10" t="b" cm="1">
        <f t="array" aca="1" ref="AQ563" ca="1">IF(AM563&gt;0,(TODAY()-AM563),IF(AL563&gt;0,(TODAY()-AL563),IF(AK563&gt;0,(TODAY()-AK563,IF(AI563&gt;0,(TODAY()-AI563),IF(AG563&gt;0,(TODAY()-AG563),IF(AF563&gt;0,(TODAY()-AF563),IF(X563&gt;0,(TODAY()-X563)," "))))))))</f>
        <v>0</v>
      </c>
      <c r="BD563" s="2" t="str">
        <f t="shared" si="25"/>
        <v>Not yet endorsed</v>
      </c>
      <c r="BE563" s="2" t="s">
        <v>75</v>
      </c>
      <c r="BG563" s="2" t="e">
        <v>#N/A</v>
      </c>
    </row>
    <row r="564" spans="2:59" hidden="1" x14ac:dyDescent="0.25">
      <c r="B564" s="2" t="s">
        <v>2649</v>
      </c>
      <c r="C564" s="2" t="s">
        <v>2650</v>
      </c>
      <c r="D564" s="44" t="s">
        <v>2651</v>
      </c>
      <c r="E564" s="2" t="s">
        <v>11</v>
      </c>
      <c r="F564" s="2" t="s">
        <v>180</v>
      </c>
      <c r="G564" s="2" t="s">
        <v>1</v>
      </c>
      <c r="H564" s="2" t="s">
        <v>165</v>
      </c>
      <c r="I564" s="2" t="s">
        <v>68</v>
      </c>
      <c r="J564" s="2" t="s">
        <v>181</v>
      </c>
      <c r="K564" s="2" t="s">
        <v>182</v>
      </c>
      <c r="L564" s="2" t="s">
        <v>183</v>
      </c>
      <c r="M564" s="2">
        <v>0</v>
      </c>
      <c r="N564" s="2">
        <v>7.2045139999999996</v>
      </c>
      <c r="O564" s="2">
        <v>122.226535</v>
      </c>
      <c r="P564" s="2" t="s">
        <v>87</v>
      </c>
      <c r="Q564" s="2" t="s">
        <v>219</v>
      </c>
      <c r="R564" s="29" t="e">
        <f>IF(INDEX(#REF!,MATCH('data '!$B564,#REF!,0),MATCH('data '!R$3,#REF!,0))=0,"",INDEX(#REF!,MATCH('data '!$B564,#REF!,0),MATCH('data '!R$3,#REF!,0)))</f>
        <v>#REF!</v>
      </c>
      <c r="S564" s="29" t="e">
        <f>IF(INDEX(#REF!,MATCH('data '!$B564,#REF!,0),MATCH('data '!S$3,#REF!,0))=0,"",INDEX(#REF!,MATCH('data '!$B564,#REF!,0),MATCH('data '!S$3,#REF!,0)))</f>
        <v>#REF!</v>
      </c>
      <c r="T564" s="29" t="e">
        <f>IF(INDEX(#REF!,MATCH('data '!$B564,#REF!,0),MATCH('data '!T$3,#REF!,0))=0,"",INDEX(#REF!,MATCH('data '!$B564,#REF!,0),MATCH('data '!T$3,#REF!,0)))</f>
        <v>#REF!</v>
      </c>
      <c r="U564" s="8" t="s">
        <v>25</v>
      </c>
      <c r="V564" s="25" t="s">
        <v>351</v>
      </c>
      <c r="W564" s="25" t="s">
        <v>144</v>
      </c>
      <c r="X564" s="43" t="s">
        <v>25</v>
      </c>
      <c r="Y564" s="43">
        <v>45856</v>
      </c>
      <c r="AC564" s="8" t="e">
        <f>VLOOKUP(B564,#REF!,19,0)</f>
        <v>#REF!</v>
      </c>
      <c r="AP564" s="8" t="str">
        <f t="shared" si="24"/>
        <v>BP Secured</v>
      </c>
      <c r="AQ564" s="10" t="b" cm="1">
        <f t="array" aca="1" ref="AQ564" ca="1">IF(AM564&gt;0,(TODAY()-AM564),IF(AL564&gt;0,(TODAY()-AL564),IF(AK564&gt;0,(TODAY()-AK564,IF(AI564&gt;0,(TODAY()-AI564),IF(AG564&gt;0,(TODAY()-AG564),IF(AF564&gt;0,(TODAY()-AF564),IF(X564&gt;0,(TODAY()-X564)," "))))))))</f>
        <v>0</v>
      </c>
      <c r="BD564" s="2" t="str">
        <f t="shared" si="25"/>
        <v>BP Secured</v>
      </c>
      <c r="BE564" s="2" t="e">
        <v>#VALUE!</v>
      </c>
      <c r="BG564" s="2" t="e">
        <v>#N/A</v>
      </c>
    </row>
    <row r="565" spans="2:59" hidden="1" x14ac:dyDescent="0.25">
      <c r="B565" s="2" t="s">
        <v>2652</v>
      </c>
      <c r="C565" s="2" t="s">
        <v>2653</v>
      </c>
      <c r="D565" s="44" t="s">
        <v>2654</v>
      </c>
      <c r="E565" s="2" t="s">
        <v>11</v>
      </c>
      <c r="F565" s="2" t="s">
        <v>180</v>
      </c>
      <c r="G565" s="2" t="s">
        <v>1</v>
      </c>
      <c r="H565" s="2" t="s">
        <v>165</v>
      </c>
      <c r="I565" s="2" t="s">
        <v>68</v>
      </c>
      <c r="J565" s="2" t="s">
        <v>181</v>
      </c>
      <c r="K565" s="2" t="s">
        <v>182</v>
      </c>
      <c r="L565" s="2" t="s">
        <v>183</v>
      </c>
      <c r="M565" s="2">
        <v>0</v>
      </c>
      <c r="N565" s="2">
        <v>7.302526179</v>
      </c>
      <c r="O565" s="2">
        <v>122.25811040000001</v>
      </c>
      <c r="P565" s="2" t="s">
        <v>88</v>
      </c>
      <c r="Q565" s="2" t="s">
        <v>73</v>
      </c>
      <c r="R565" s="29" t="e">
        <f>IF(INDEX(#REF!,MATCH('data '!$B565,#REF!,0),MATCH('data '!R$3,#REF!,0))=0,"",INDEX(#REF!,MATCH('data '!$B565,#REF!,0),MATCH('data '!R$3,#REF!,0)))</f>
        <v>#REF!</v>
      </c>
      <c r="S565" s="29" t="e">
        <f>IF(INDEX(#REF!,MATCH('data '!$B565,#REF!,0),MATCH('data '!S$3,#REF!,0))=0,"",INDEX(#REF!,MATCH('data '!$B565,#REF!,0),MATCH('data '!S$3,#REF!,0)))</f>
        <v>#REF!</v>
      </c>
      <c r="T565" s="29" t="e">
        <f>IF(INDEX(#REF!,MATCH('data '!$B565,#REF!,0),MATCH('data '!T$3,#REF!,0))=0,"",INDEX(#REF!,MATCH('data '!$B565,#REF!,0),MATCH('data '!T$3,#REF!,0)))</f>
        <v>#REF!</v>
      </c>
      <c r="U565" s="8" t="s">
        <v>25</v>
      </c>
      <c r="V565" s="25" t="s">
        <v>560</v>
      </c>
      <c r="W565" s="25" t="s">
        <v>103</v>
      </c>
      <c r="X565" s="61"/>
      <c r="Y565" s="61"/>
      <c r="AC565" s="8" t="e">
        <f>VLOOKUP(B565,#REF!,19,0)</f>
        <v>#REF!</v>
      </c>
      <c r="AP565" s="8" t="str">
        <f t="shared" si="24"/>
        <v>Not yet endorsed</v>
      </c>
      <c r="AQ565" s="10" t="b" cm="1">
        <f t="array" aca="1" ref="AQ565" ca="1">IF(AM565&gt;0,(TODAY()-AM565),IF(AL565&gt;0,(TODAY()-AL565),IF(AK565&gt;0,(TODAY()-AK565,IF(AI565&gt;0,(TODAY()-AI565),IF(AG565&gt;0,(TODAY()-AG565),IF(AF565&gt;0,(TODAY()-AF565),IF(X565&gt;0,(TODAY()-X565)," "))))))))</f>
        <v>0</v>
      </c>
      <c r="BD565" s="2" t="str">
        <f t="shared" si="25"/>
        <v>TSSR Approved</v>
      </c>
      <c r="BE565" s="2" t="e">
        <v>#VALUE!</v>
      </c>
      <c r="BG565" s="2" t="e">
        <v>#N/A</v>
      </c>
    </row>
    <row r="566" spans="2:59" hidden="1" x14ac:dyDescent="0.25">
      <c r="B566" s="2" t="s">
        <v>2655</v>
      </c>
      <c r="C566" s="2" t="s">
        <v>2656</v>
      </c>
      <c r="D566" s="44" t="s">
        <v>2657</v>
      </c>
      <c r="E566" s="2" t="s">
        <v>11</v>
      </c>
      <c r="F566" s="2" t="s">
        <v>180</v>
      </c>
      <c r="G566" s="2" t="s">
        <v>1</v>
      </c>
      <c r="H566" s="2" t="s">
        <v>165</v>
      </c>
      <c r="I566" s="2" t="s">
        <v>68</v>
      </c>
      <c r="J566" s="2" t="s">
        <v>181</v>
      </c>
      <c r="K566" s="2" t="s">
        <v>182</v>
      </c>
      <c r="L566" s="2" t="s">
        <v>183</v>
      </c>
      <c r="M566" s="2">
        <v>0</v>
      </c>
      <c r="N566" s="2">
        <v>0</v>
      </c>
      <c r="O566" s="2">
        <v>0</v>
      </c>
      <c r="P566" s="2" t="s">
        <v>168</v>
      </c>
      <c r="Q566" s="2" t="s">
        <v>73</v>
      </c>
      <c r="R566" s="29" t="e">
        <f>IF(INDEX(#REF!,MATCH('data '!$B566,#REF!,0),MATCH('data '!R$3,#REF!,0))=0,"",INDEX(#REF!,MATCH('data '!$B566,#REF!,0),MATCH('data '!R$3,#REF!,0)))</f>
        <v>#REF!</v>
      </c>
      <c r="S566" s="29" t="e">
        <f>IF(INDEX(#REF!,MATCH('data '!$B566,#REF!,0),MATCH('data '!S$3,#REF!,0))=0,"",INDEX(#REF!,MATCH('data '!$B566,#REF!,0),MATCH('data '!S$3,#REF!,0)))</f>
        <v>#REF!</v>
      </c>
      <c r="T566" s="29" t="e">
        <f>IF(INDEX(#REF!,MATCH('data '!$B566,#REF!,0),MATCH('data '!T$3,#REF!,0))=0,"",INDEX(#REF!,MATCH('data '!$B566,#REF!,0),MATCH('data '!T$3,#REF!,0)))</f>
        <v>#REF!</v>
      </c>
      <c r="U566" s="8" t="s">
        <v>25</v>
      </c>
      <c r="V566" s="25" t="s">
        <v>168</v>
      </c>
      <c r="W566" s="25" t="s">
        <v>176</v>
      </c>
      <c r="AC566" s="8" t="e">
        <f>VLOOKUP(B566,#REF!,19,0)</f>
        <v>#REF!</v>
      </c>
      <c r="AP566" s="8" t="str">
        <f t="shared" si="24"/>
        <v>Not yet endorsed</v>
      </c>
      <c r="AQ566" s="10" t="b" cm="1">
        <f t="array" aca="1" ref="AQ566" ca="1">IF(AM566&gt;0,(TODAY()-AM566),IF(AL566&gt;0,(TODAY()-AL566),IF(AK566&gt;0,(TODAY()-AK566,IF(AI566&gt;0,(TODAY()-AI566),IF(AG566&gt;0,(TODAY()-AG566),IF(AF566&gt;0,(TODAY()-AF566),IF(X566&gt;0,(TODAY()-X566)," "))))))))</f>
        <v>0</v>
      </c>
      <c r="BD566" s="2" t="str">
        <f t="shared" si="25"/>
        <v>TSSR Approved</v>
      </c>
      <c r="BE566" s="2" t="e">
        <v>#VALUE!</v>
      </c>
      <c r="BG566" s="2" t="e">
        <v>#N/A</v>
      </c>
    </row>
    <row r="567" spans="2:59" hidden="1" x14ac:dyDescent="0.25">
      <c r="B567" s="2" t="s">
        <v>2658</v>
      </c>
      <c r="C567" s="2" t="s">
        <v>2659</v>
      </c>
      <c r="D567" s="44" t="s">
        <v>2660</v>
      </c>
      <c r="E567" s="2" t="s">
        <v>11</v>
      </c>
      <c r="F567" s="2" t="s">
        <v>216</v>
      </c>
      <c r="G567" s="2" t="s">
        <v>1</v>
      </c>
      <c r="H567" s="2" t="s">
        <v>165</v>
      </c>
      <c r="I567" s="2" t="s">
        <v>68</v>
      </c>
      <c r="J567" s="2" t="s">
        <v>69</v>
      </c>
      <c r="K567" s="2" t="s">
        <v>217</v>
      </c>
      <c r="L567" s="2" t="s">
        <v>2661</v>
      </c>
      <c r="M567" s="2">
        <v>0</v>
      </c>
      <c r="N567" s="2">
        <v>0</v>
      </c>
      <c r="O567" s="2">
        <v>0</v>
      </c>
      <c r="P567" s="2" t="s">
        <v>490</v>
      </c>
      <c r="Q567" s="2" t="s">
        <v>73</v>
      </c>
      <c r="R567" s="29" t="e">
        <f>IF(INDEX(#REF!,MATCH('data '!$B567,#REF!,0),MATCH('data '!R$3,#REF!,0))=0,"",INDEX(#REF!,MATCH('data '!$B567,#REF!,0),MATCH('data '!R$3,#REF!,0)))</f>
        <v>#REF!</v>
      </c>
      <c r="S567" s="29" t="e">
        <f>IF(INDEX(#REF!,MATCH('data '!$B567,#REF!,0),MATCH('data '!S$3,#REF!,0))=0,"",INDEX(#REF!,MATCH('data '!$B567,#REF!,0),MATCH('data '!S$3,#REF!,0)))</f>
        <v>#REF!</v>
      </c>
      <c r="T567" s="29" t="e">
        <f>IF(INDEX(#REF!,MATCH('data '!$B567,#REF!,0),MATCH('data '!T$3,#REF!,0))=0,"",INDEX(#REF!,MATCH('data '!$B567,#REF!,0),MATCH('data '!T$3,#REF!,0)))</f>
        <v>#REF!</v>
      </c>
      <c r="V567" s="25" t="s">
        <v>82</v>
      </c>
      <c r="W567" s="25" t="s">
        <v>83</v>
      </c>
      <c r="AC567" s="8" t="e">
        <f>VLOOKUP(B567,#REF!,19,0)</f>
        <v>#REF!</v>
      </c>
      <c r="AP567" s="8" t="str">
        <f t="shared" si="24"/>
        <v>Not yet endorsed</v>
      </c>
      <c r="AQ567" s="10" t="b" cm="1">
        <f t="array" aca="1" ref="AQ567" ca="1">IF(AM567&gt;0,(TODAY()-AM567),IF(AL567&gt;0,(TODAY()-AL567),IF(AK567&gt;0,(TODAY()-AK567,IF(AI567&gt;0,(TODAY()-AI567),IF(AG567&gt;0,(TODAY()-AG567),IF(AF567&gt;0,(TODAY()-AF567),IF(X567&gt;0,(TODAY()-X567)," "))))))))</f>
        <v>0</v>
      </c>
      <c r="BD567" s="2" t="str">
        <f t="shared" si="25"/>
        <v>Not yet endorsed</v>
      </c>
      <c r="BE567" s="2" t="s">
        <v>75</v>
      </c>
      <c r="BG567" s="2" t="e">
        <v>#N/A</v>
      </c>
    </row>
    <row r="568" spans="2:59" hidden="1" x14ac:dyDescent="0.25">
      <c r="B568" s="2" t="s">
        <v>2662</v>
      </c>
      <c r="C568" s="2" t="s">
        <v>2663</v>
      </c>
      <c r="D568" s="44" t="s">
        <v>2664</v>
      </c>
      <c r="E568" s="2" t="s">
        <v>11</v>
      </c>
      <c r="F568" s="2" t="s">
        <v>216</v>
      </c>
      <c r="G568" s="2" t="s">
        <v>1</v>
      </c>
      <c r="H568" s="2" t="s">
        <v>165</v>
      </c>
      <c r="I568" s="2" t="s">
        <v>68</v>
      </c>
      <c r="J568" s="2" t="s">
        <v>69</v>
      </c>
      <c r="K568" s="2" t="s">
        <v>217</v>
      </c>
      <c r="L568" s="2" t="s">
        <v>2665</v>
      </c>
      <c r="M568" s="2">
        <v>0</v>
      </c>
      <c r="N568" s="2">
        <v>0</v>
      </c>
      <c r="O568" s="2">
        <v>0</v>
      </c>
      <c r="P568" s="2" t="s">
        <v>94</v>
      </c>
      <c r="Q568" s="2" t="s">
        <v>73</v>
      </c>
      <c r="R568" s="29" t="e">
        <f>IF(INDEX(#REF!,MATCH('data '!$B568,#REF!,0),MATCH('data '!R$3,#REF!,0))=0,"",INDEX(#REF!,MATCH('data '!$B568,#REF!,0),MATCH('data '!R$3,#REF!,0)))</f>
        <v>#REF!</v>
      </c>
      <c r="S568" s="29" t="e">
        <f>IF(INDEX(#REF!,MATCH('data '!$B568,#REF!,0),MATCH('data '!S$3,#REF!,0))=0,"",INDEX(#REF!,MATCH('data '!$B568,#REF!,0),MATCH('data '!S$3,#REF!,0)))</f>
        <v>#REF!</v>
      </c>
      <c r="T568" s="29" t="e">
        <f>IF(INDEX(#REF!,MATCH('data '!$B568,#REF!,0),MATCH('data '!T$3,#REF!,0))=0,"",INDEX(#REF!,MATCH('data '!$B568,#REF!,0),MATCH('data '!T$3,#REF!,0)))</f>
        <v>#REF!</v>
      </c>
      <c r="V568" s="25" t="s">
        <v>74</v>
      </c>
      <c r="W568" s="25">
        <v>0</v>
      </c>
      <c r="AC568" s="8" t="e">
        <f>VLOOKUP(B568,#REF!,19,0)</f>
        <v>#REF!</v>
      </c>
      <c r="AP568" s="8" t="str">
        <f t="shared" si="24"/>
        <v>Not yet endorsed</v>
      </c>
      <c r="AQ568" s="10" t="b" cm="1">
        <f t="array" aca="1" ref="AQ568" ca="1">IF(AM568&gt;0,(TODAY()-AM568),IF(AL568&gt;0,(TODAY()-AL568),IF(AK568&gt;0,(TODAY()-AK568,IF(AI568&gt;0,(TODAY()-AI568),IF(AG568&gt;0,(TODAY()-AG568),IF(AF568&gt;0,(TODAY()-AF568),IF(X568&gt;0,(TODAY()-X568)," "))))))))</f>
        <v>0</v>
      </c>
      <c r="BD568" s="2" t="str">
        <f t="shared" si="25"/>
        <v>Not yet endorsed</v>
      </c>
      <c r="BE568" s="2" t="s">
        <v>75</v>
      </c>
      <c r="BG568" s="2" t="e">
        <v>#N/A</v>
      </c>
    </row>
    <row r="569" spans="2:59" hidden="1" x14ac:dyDescent="0.25">
      <c r="B569" s="2" t="s">
        <v>2666</v>
      </c>
      <c r="C569" s="2" t="s">
        <v>2667</v>
      </c>
      <c r="D569" s="44" t="s">
        <v>2668</v>
      </c>
      <c r="E569" s="2" t="s">
        <v>11</v>
      </c>
      <c r="F569" s="2">
        <v>0</v>
      </c>
      <c r="G569" s="2" t="s">
        <v>1</v>
      </c>
      <c r="H569" s="2" t="s">
        <v>165</v>
      </c>
      <c r="I569" s="2" t="s">
        <v>68</v>
      </c>
      <c r="J569" s="2" t="s">
        <v>69</v>
      </c>
      <c r="K569" s="2" t="s">
        <v>217</v>
      </c>
      <c r="L569" s="2" t="s">
        <v>218</v>
      </c>
      <c r="M569" s="2" t="s">
        <v>1166</v>
      </c>
      <c r="N569" s="2">
        <v>6.6497283300000003</v>
      </c>
      <c r="O569" s="2">
        <v>122.15447829999999</v>
      </c>
      <c r="P569" s="2" t="s">
        <v>87</v>
      </c>
      <c r="Q569" s="2" t="s">
        <v>314</v>
      </c>
      <c r="R569" s="29" t="e">
        <f>IF(INDEX(#REF!,MATCH('data '!$B569,#REF!,0),MATCH('data '!R$3,#REF!,0))=0,"",INDEX(#REF!,MATCH('data '!$B569,#REF!,0),MATCH('data '!R$3,#REF!,0)))</f>
        <v>#REF!</v>
      </c>
      <c r="S569" s="29" t="e">
        <f>IF(INDEX(#REF!,MATCH('data '!$B569,#REF!,0),MATCH('data '!S$3,#REF!,0))=0,"",INDEX(#REF!,MATCH('data '!$B569,#REF!,0),MATCH('data '!S$3,#REF!,0)))</f>
        <v>#REF!</v>
      </c>
      <c r="T569" s="29" t="e">
        <f>IF(INDEX(#REF!,MATCH('data '!$B569,#REF!,0),MATCH('data '!T$3,#REF!,0))=0,"",INDEX(#REF!,MATCH('data '!$B569,#REF!,0),MATCH('data '!T$3,#REF!,0)))</f>
        <v>#REF!</v>
      </c>
      <c r="U569" s="8" t="s">
        <v>25</v>
      </c>
      <c r="V569" s="25" t="s">
        <v>160</v>
      </c>
      <c r="W569" s="25" t="s">
        <v>144</v>
      </c>
      <c r="X569" s="43" t="s">
        <v>25</v>
      </c>
      <c r="Y569" s="43">
        <v>45873</v>
      </c>
      <c r="AC569" s="8" t="e">
        <f>VLOOKUP(B569,#REF!,19,0)</f>
        <v>#REF!</v>
      </c>
      <c r="AP569" s="8" t="str">
        <f t="shared" si="24"/>
        <v>BP Secured</v>
      </c>
      <c r="AQ569" s="10" t="b" cm="1">
        <f t="array" aca="1" ref="AQ569" ca="1">IF(AM569&gt;0,(TODAY()-AM569),IF(AL569&gt;0,(TODAY()-AL569),IF(AK569&gt;0,(TODAY()-AK569,IF(AI569&gt;0,(TODAY()-AI569),IF(AG569&gt;0,(TODAY()-AG569),IF(AF569&gt;0,(TODAY()-AF569),IF(X569&gt;0,(TODAY()-X569)," "))))))))</f>
        <v>0</v>
      </c>
      <c r="BD569" s="2" t="str">
        <f t="shared" si="25"/>
        <v>BP Secured</v>
      </c>
      <c r="BE569" s="2" t="e">
        <v>#VALUE!</v>
      </c>
      <c r="BG569" s="2" t="e">
        <v>#N/A</v>
      </c>
    </row>
    <row r="570" spans="2:59" hidden="1" x14ac:dyDescent="0.25">
      <c r="B570" s="2" t="s">
        <v>2669</v>
      </c>
      <c r="C570" s="2" t="s">
        <v>2670</v>
      </c>
      <c r="D570" s="44" t="s">
        <v>2671</v>
      </c>
      <c r="E570" s="2" t="s">
        <v>11</v>
      </c>
      <c r="F570" s="2" t="s">
        <v>216</v>
      </c>
      <c r="G570" s="2" t="s">
        <v>1</v>
      </c>
      <c r="H570" s="2" t="s">
        <v>165</v>
      </c>
      <c r="I570" s="2" t="s">
        <v>68</v>
      </c>
      <c r="J570" s="2" t="s">
        <v>69</v>
      </c>
      <c r="K570" s="2" t="s">
        <v>217</v>
      </c>
      <c r="L570" s="2" t="s">
        <v>985</v>
      </c>
      <c r="M570" s="2">
        <v>0</v>
      </c>
      <c r="N570" s="2">
        <v>0</v>
      </c>
      <c r="O570" s="2">
        <v>0</v>
      </c>
      <c r="P570" s="2" t="s">
        <v>702</v>
      </c>
      <c r="Q570" s="2" t="s">
        <v>73</v>
      </c>
      <c r="R570" s="29" t="e">
        <f>IF(INDEX(#REF!,MATCH('data '!$B570,#REF!,0),MATCH('data '!R$3,#REF!,0))=0,"",INDEX(#REF!,MATCH('data '!$B570,#REF!,0),MATCH('data '!R$3,#REF!,0)))</f>
        <v>#REF!</v>
      </c>
      <c r="S570" s="29" t="e">
        <f>IF(INDEX(#REF!,MATCH('data '!$B570,#REF!,0),MATCH('data '!S$3,#REF!,0))=0,"",INDEX(#REF!,MATCH('data '!$B570,#REF!,0),MATCH('data '!S$3,#REF!,0)))</f>
        <v>#REF!</v>
      </c>
      <c r="T570" s="29" t="e">
        <f>IF(INDEX(#REF!,MATCH('data '!$B570,#REF!,0),MATCH('data '!T$3,#REF!,0))=0,"",INDEX(#REF!,MATCH('data '!$B570,#REF!,0),MATCH('data '!T$3,#REF!,0)))</f>
        <v>#REF!</v>
      </c>
      <c r="V570" s="25" t="s">
        <v>95</v>
      </c>
      <c r="W570" s="25">
        <v>0</v>
      </c>
      <c r="AC570" s="8" t="e">
        <f>VLOOKUP(B570,#REF!,19,0)</f>
        <v>#REF!</v>
      </c>
      <c r="AP570" s="8" t="str">
        <f t="shared" si="24"/>
        <v>Not yet endorsed</v>
      </c>
      <c r="AQ570" s="10" t="b" cm="1">
        <f t="array" aca="1" ref="AQ570" ca="1">IF(AM570&gt;0,(TODAY()-AM570),IF(AL570&gt;0,(TODAY()-AL570),IF(AK570&gt;0,(TODAY()-AK570,IF(AI570&gt;0,(TODAY()-AI570),IF(AG570&gt;0,(TODAY()-AG570),IF(AF570&gt;0,(TODAY()-AF570),IF(X570&gt;0,(TODAY()-X570)," "))))))))</f>
        <v>0</v>
      </c>
      <c r="BD570" s="2" t="str">
        <f t="shared" si="25"/>
        <v>Not yet endorsed</v>
      </c>
      <c r="BE570" s="2" t="s">
        <v>75</v>
      </c>
      <c r="BG570" s="2" t="e">
        <v>#N/A</v>
      </c>
    </row>
    <row r="571" spans="2:59" hidden="1" x14ac:dyDescent="0.25">
      <c r="B571" s="2" t="s">
        <v>2672</v>
      </c>
      <c r="C571" s="2" t="s">
        <v>2673</v>
      </c>
      <c r="D571" s="44" t="s">
        <v>2674</v>
      </c>
      <c r="E571" s="2" t="s">
        <v>11</v>
      </c>
      <c r="F571" s="2" t="s">
        <v>216</v>
      </c>
      <c r="G571" s="2" t="s">
        <v>1</v>
      </c>
      <c r="H571" s="2" t="s">
        <v>165</v>
      </c>
      <c r="I571" s="2" t="s">
        <v>68</v>
      </c>
      <c r="J571" s="2" t="s">
        <v>69</v>
      </c>
      <c r="K571" s="2" t="s">
        <v>217</v>
      </c>
      <c r="L571" s="2" t="s">
        <v>985</v>
      </c>
      <c r="M571" s="2">
        <v>0</v>
      </c>
      <c r="N571" s="2">
        <v>6.7352920000000003</v>
      </c>
      <c r="O571" s="2">
        <v>121.949951</v>
      </c>
      <c r="P571" s="2" t="s">
        <v>168</v>
      </c>
      <c r="Q571" s="2" t="s">
        <v>73</v>
      </c>
      <c r="R571" s="29" t="e">
        <f>IF(INDEX(#REF!,MATCH('data '!$B571,#REF!,0),MATCH('data '!R$3,#REF!,0))=0,"",INDEX(#REF!,MATCH('data '!$B571,#REF!,0),MATCH('data '!R$3,#REF!,0)))</f>
        <v>#REF!</v>
      </c>
      <c r="S571" s="29" t="e">
        <f>IF(INDEX(#REF!,MATCH('data '!$B571,#REF!,0),MATCH('data '!S$3,#REF!,0))=0,"",INDEX(#REF!,MATCH('data '!$B571,#REF!,0),MATCH('data '!S$3,#REF!,0)))</f>
        <v>#REF!</v>
      </c>
      <c r="T571" s="29" t="e">
        <f>IF(INDEX(#REF!,MATCH('data '!$B571,#REF!,0),MATCH('data '!T$3,#REF!,0))=0,"",INDEX(#REF!,MATCH('data '!$B571,#REF!,0),MATCH('data '!T$3,#REF!,0)))</f>
        <v>#REF!</v>
      </c>
      <c r="U571" s="8" t="s">
        <v>25</v>
      </c>
      <c r="V571" s="25" t="s">
        <v>74</v>
      </c>
      <c r="W571" s="25">
        <v>0</v>
      </c>
      <c r="AC571" s="8" t="e">
        <f>VLOOKUP(B571,#REF!,19,0)</f>
        <v>#REF!</v>
      </c>
      <c r="AP571" s="8" t="str">
        <f t="shared" si="24"/>
        <v>Not yet endorsed</v>
      </c>
      <c r="AQ571" s="10" t="b" cm="1">
        <f t="array" aca="1" ref="AQ571" ca="1">IF(AM571&gt;0,(TODAY()-AM571),IF(AL571&gt;0,(TODAY()-AL571),IF(AK571&gt;0,(TODAY()-AK571,IF(AI571&gt;0,(TODAY()-AI571),IF(AG571&gt;0,(TODAY()-AG571),IF(AF571&gt;0,(TODAY()-AF571),IF(X571&gt;0,(TODAY()-X571)," "))))))))</f>
        <v>0</v>
      </c>
      <c r="BD571" s="2" t="str">
        <f t="shared" si="25"/>
        <v>TSSR Approved</v>
      </c>
      <c r="BE571" s="2" t="e">
        <v>#VALUE!</v>
      </c>
      <c r="BG571" s="2" t="e">
        <v>#N/A</v>
      </c>
    </row>
    <row r="572" spans="2:59" hidden="1" x14ac:dyDescent="0.25">
      <c r="B572" s="2" t="s">
        <v>2675</v>
      </c>
      <c r="C572" s="2" t="s">
        <v>2676</v>
      </c>
      <c r="D572" s="44" t="s">
        <v>2677</v>
      </c>
      <c r="E572" s="2" t="s">
        <v>11</v>
      </c>
      <c r="F572" s="2" t="s">
        <v>216</v>
      </c>
      <c r="G572" s="2" t="s">
        <v>1</v>
      </c>
      <c r="H572" s="2" t="s">
        <v>165</v>
      </c>
      <c r="I572" s="2" t="s">
        <v>68</v>
      </c>
      <c r="J572" s="2" t="s">
        <v>69</v>
      </c>
      <c r="K572" s="2" t="s">
        <v>217</v>
      </c>
      <c r="L572" s="2" t="s">
        <v>2678</v>
      </c>
      <c r="M572" s="2">
        <v>0</v>
      </c>
      <c r="N572" s="2">
        <v>6.6087416599999997</v>
      </c>
      <c r="O572" s="2">
        <v>122.19218499999999</v>
      </c>
      <c r="P572" s="2" t="s">
        <v>87</v>
      </c>
      <c r="Q572" s="2" t="s">
        <v>184</v>
      </c>
      <c r="R572" s="29" t="e">
        <f>IF(INDEX(#REF!,MATCH('data '!$B572,#REF!,0),MATCH('data '!R$3,#REF!,0))=0,"",INDEX(#REF!,MATCH('data '!$B572,#REF!,0),MATCH('data '!R$3,#REF!,0)))</f>
        <v>#REF!</v>
      </c>
      <c r="S572" s="29" t="e">
        <f>IF(INDEX(#REF!,MATCH('data '!$B572,#REF!,0),MATCH('data '!S$3,#REF!,0))=0,"",INDEX(#REF!,MATCH('data '!$B572,#REF!,0),MATCH('data '!S$3,#REF!,0)))</f>
        <v>#REF!</v>
      </c>
      <c r="T572" s="29" t="e">
        <f>IF(INDEX(#REF!,MATCH('data '!$B572,#REF!,0),MATCH('data '!T$3,#REF!,0))=0,"",INDEX(#REF!,MATCH('data '!$B572,#REF!,0),MATCH('data '!T$3,#REF!,0)))</f>
        <v>#REF!</v>
      </c>
      <c r="U572" s="8" t="s">
        <v>25</v>
      </c>
      <c r="V572" s="25" t="s">
        <v>266</v>
      </c>
      <c r="W572" s="25" t="s">
        <v>144</v>
      </c>
      <c r="X572" s="43" t="s">
        <v>25</v>
      </c>
      <c r="Y572" s="43">
        <v>45796</v>
      </c>
      <c r="AB572" s="8">
        <v>45854</v>
      </c>
      <c r="AC572" s="8" t="e">
        <f>VLOOKUP(B572,#REF!,19,0)</f>
        <v>#REF!</v>
      </c>
      <c r="AE572" s="8" t="s">
        <v>497</v>
      </c>
      <c r="AP572" s="8" t="str">
        <f t="shared" si="24"/>
        <v>BP Secured</v>
      </c>
      <c r="AQ572" s="10" t="b" cm="1">
        <f t="array" aca="1" ref="AQ572" ca="1">IF(AM572&gt;0,(TODAY()-AM572),IF(AL572&gt;0,(TODAY()-AL572),IF(AK572&gt;0,(TODAY()-AK572,IF(AI572&gt;0,(TODAY()-AI572),IF(AG572&gt;0,(TODAY()-AG572),IF(AF572&gt;0,(TODAY()-AF572),IF(X572&gt;0,(TODAY()-X572)," "))))))))</f>
        <v>0</v>
      </c>
      <c r="AT572" s="8" t="s">
        <v>155</v>
      </c>
      <c r="AU572" s="8">
        <v>45845</v>
      </c>
      <c r="AV572" s="8">
        <v>45845</v>
      </c>
      <c r="AX572" s="8">
        <v>45848</v>
      </c>
      <c r="BD572" s="2" t="str">
        <f t="shared" si="25"/>
        <v>PO Issued</v>
      </c>
      <c r="BE572" s="2">
        <v>92</v>
      </c>
      <c r="BG572" s="2" t="e">
        <v>#N/A</v>
      </c>
    </row>
    <row r="573" spans="2:59" hidden="1" x14ac:dyDescent="0.25">
      <c r="B573" s="2" t="s">
        <v>2679</v>
      </c>
      <c r="C573" s="2" t="s">
        <v>2680</v>
      </c>
      <c r="D573" s="44" t="s">
        <v>2681</v>
      </c>
      <c r="E573" s="2" t="s">
        <v>11</v>
      </c>
      <c r="F573" s="2" t="s">
        <v>597</v>
      </c>
      <c r="G573" s="2" t="s">
        <v>1</v>
      </c>
      <c r="H573" s="2" t="s">
        <v>165</v>
      </c>
      <c r="I573" s="2" t="s">
        <v>68</v>
      </c>
      <c r="J573" s="2" t="s">
        <v>239</v>
      </c>
      <c r="K573" s="2" t="s">
        <v>598</v>
      </c>
      <c r="L573" s="2" t="s">
        <v>2682</v>
      </c>
      <c r="M573" s="2" t="s">
        <v>1374</v>
      </c>
      <c r="N573" s="2">
        <v>9.0822699999999994</v>
      </c>
      <c r="O573" s="2">
        <v>125.215621</v>
      </c>
      <c r="P573" s="2" t="s">
        <v>87</v>
      </c>
      <c r="Q573" s="2" t="s">
        <v>184</v>
      </c>
      <c r="R573" s="29" t="e">
        <f>IF(INDEX(#REF!,MATCH('data '!$B573,#REF!,0),MATCH('data '!R$3,#REF!,0))=0,"",INDEX(#REF!,MATCH('data '!$B573,#REF!,0),MATCH('data '!R$3,#REF!,0)))</f>
        <v>#REF!</v>
      </c>
      <c r="S573" s="29" t="e">
        <f>IF(INDEX(#REF!,MATCH('data '!$B573,#REF!,0),MATCH('data '!S$3,#REF!,0))=0,"",INDEX(#REF!,MATCH('data '!$B573,#REF!,0),MATCH('data '!S$3,#REF!,0)))</f>
        <v>#REF!</v>
      </c>
      <c r="T573" s="29" t="e">
        <f>IF(INDEX(#REF!,MATCH('data '!$B573,#REF!,0),MATCH('data '!T$3,#REF!,0))=0,"",INDEX(#REF!,MATCH('data '!$B573,#REF!,0),MATCH('data '!T$3,#REF!,0)))</f>
        <v>#REF!</v>
      </c>
      <c r="U573" s="8" t="s">
        <v>25</v>
      </c>
      <c r="V573" s="25" t="s">
        <v>266</v>
      </c>
      <c r="W573" s="25" t="s">
        <v>144</v>
      </c>
      <c r="X573" s="43" t="s">
        <v>25</v>
      </c>
      <c r="Y573" s="43">
        <v>45813</v>
      </c>
      <c r="AA573" s="8" t="s">
        <v>2441</v>
      </c>
      <c r="AC573" s="8" t="e">
        <f>VLOOKUP(B573,#REF!,19,0)</f>
        <v>#REF!</v>
      </c>
      <c r="AE573" s="8" t="s">
        <v>460</v>
      </c>
      <c r="AP573" s="8" t="str">
        <f t="shared" si="24"/>
        <v>BP Secured</v>
      </c>
      <c r="AQ573" s="10" t="b" cm="1">
        <f t="array" aca="1" ref="AQ573" ca="1">IF(AM573&gt;0,(TODAY()-AM573),IF(AL573&gt;0,(TODAY()-AL573),IF(AK573&gt;0,(TODAY()-AK573,IF(AI573&gt;0,(TODAY()-AI573),IF(AG573&gt;0,(TODAY()-AG573),IF(AF573&gt;0,(TODAY()-AF573),IF(X573&gt;0,(TODAY()-X573)," "))))))))</f>
        <v>0</v>
      </c>
      <c r="AT573" s="8" t="s">
        <v>155</v>
      </c>
      <c r="AU573" s="8">
        <v>45868</v>
      </c>
      <c r="AV573" s="8">
        <v>45867</v>
      </c>
      <c r="AX573" s="8">
        <v>45870</v>
      </c>
      <c r="BD573" s="2" t="str">
        <f t="shared" si="25"/>
        <v>PO Issued</v>
      </c>
      <c r="BE573" s="2">
        <v>70</v>
      </c>
      <c r="BG573" s="2" t="e">
        <v>#N/A</v>
      </c>
    </row>
    <row r="574" spans="2:59" hidden="1" x14ac:dyDescent="0.25">
      <c r="B574" s="2" t="s">
        <v>2683</v>
      </c>
      <c r="C574" s="2" t="s">
        <v>2684</v>
      </c>
      <c r="D574" s="44" t="s">
        <v>2685</v>
      </c>
      <c r="E574" s="2" t="s">
        <v>11</v>
      </c>
      <c r="F574" s="2" t="s">
        <v>597</v>
      </c>
      <c r="G574" s="2" t="s">
        <v>1</v>
      </c>
      <c r="H574" s="2" t="s">
        <v>165</v>
      </c>
      <c r="I574" s="2" t="s">
        <v>68</v>
      </c>
      <c r="J574" s="2" t="s">
        <v>239</v>
      </c>
      <c r="K574" s="2" t="s">
        <v>598</v>
      </c>
      <c r="L574" s="2" t="s">
        <v>599</v>
      </c>
      <c r="M574" s="2">
        <v>0</v>
      </c>
      <c r="N574" s="2">
        <v>8.9908020000000004</v>
      </c>
      <c r="O574" s="2">
        <v>125.64271100000001</v>
      </c>
      <c r="P574" s="2" t="s">
        <v>87</v>
      </c>
      <c r="Q574" s="2" t="s">
        <v>198</v>
      </c>
      <c r="R574" s="29" t="e">
        <f>IF(INDEX(#REF!,MATCH('data '!$B574,#REF!,0),MATCH('data '!R$3,#REF!,0))=0,"",INDEX(#REF!,MATCH('data '!$B574,#REF!,0),MATCH('data '!R$3,#REF!,0)))</f>
        <v>#REF!</v>
      </c>
      <c r="S574" s="29" t="e">
        <f>IF(INDEX(#REF!,MATCH('data '!$B574,#REF!,0),MATCH('data '!S$3,#REF!,0))=0,"",INDEX(#REF!,MATCH('data '!$B574,#REF!,0),MATCH('data '!S$3,#REF!,0)))</f>
        <v>#REF!</v>
      </c>
      <c r="T574" s="29" t="e">
        <f>IF(INDEX(#REF!,MATCH('data '!$B574,#REF!,0),MATCH('data '!T$3,#REF!,0))=0,"",INDEX(#REF!,MATCH('data '!$B574,#REF!,0),MATCH('data '!T$3,#REF!,0)))</f>
        <v>#REF!</v>
      </c>
      <c r="U574" s="8" t="s">
        <v>25</v>
      </c>
      <c r="V574" s="25" t="s">
        <v>185</v>
      </c>
      <c r="W574" s="25" t="s">
        <v>144</v>
      </c>
      <c r="X574" s="43" t="s">
        <v>25</v>
      </c>
      <c r="Y574" s="43">
        <v>45846</v>
      </c>
      <c r="Z574" s="8">
        <v>45846</v>
      </c>
      <c r="AC574" s="8" t="e">
        <f>VLOOKUP(B574,#REF!,19,0)</f>
        <v>#REF!</v>
      </c>
      <c r="AP574" s="8" t="str">
        <f t="shared" si="24"/>
        <v>BP Secured</v>
      </c>
      <c r="AQ574" s="10" t="b" cm="1">
        <f t="array" aca="1" ref="AQ574" ca="1">IF(AM574&gt;0,(TODAY()-AM574),IF(AL574&gt;0,(TODAY()-AL574),IF(AK574&gt;0,(TODAY()-AK574,IF(AI574&gt;0,(TODAY()-AI574),IF(AG574&gt;0,(TODAY()-AG574),IF(AF574&gt;0,(TODAY()-AF574),IF(X574&gt;0,(TODAY()-X574)," "))))))))</f>
        <v>0</v>
      </c>
      <c r="BD574" s="2" t="str">
        <f t="shared" si="25"/>
        <v>BP Secured</v>
      </c>
      <c r="BE574" s="2" t="e">
        <v>#VALUE!</v>
      </c>
      <c r="BG574" s="2" t="e">
        <v>#N/A</v>
      </c>
    </row>
    <row r="575" spans="2:59" hidden="1" x14ac:dyDescent="0.25">
      <c r="B575" s="2" t="s">
        <v>2686</v>
      </c>
      <c r="C575" s="2" t="s">
        <v>2687</v>
      </c>
      <c r="D575" s="44" t="s">
        <v>2688</v>
      </c>
      <c r="E575" s="2" t="s">
        <v>11</v>
      </c>
      <c r="F575" s="2" t="s">
        <v>216</v>
      </c>
      <c r="G575" s="2" t="s">
        <v>1</v>
      </c>
      <c r="H575" s="2" t="s">
        <v>165</v>
      </c>
      <c r="I575" s="2" t="s">
        <v>68</v>
      </c>
      <c r="J575" s="2" t="s">
        <v>69</v>
      </c>
      <c r="K575" s="2" t="s">
        <v>217</v>
      </c>
      <c r="L575" s="2" t="s">
        <v>985</v>
      </c>
      <c r="M575" s="2">
        <v>0</v>
      </c>
      <c r="N575" s="2">
        <v>6.6711</v>
      </c>
      <c r="O575" s="2">
        <v>121.9366</v>
      </c>
      <c r="P575" s="2" t="s">
        <v>87</v>
      </c>
      <c r="Q575" s="2" t="s">
        <v>219</v>
      </c>
      <c r="R575" s="29" t="e">
        <f>IF(INDEX(#REF!,MATCH('data '!$B575,#REF!,0),MATCH('data '!R$3,#REF!,0))=0,"",INDEX(#REF!,MATCH('data '!$B575,#REF!,0),MATCH('data '!R$3,#REF!,0)))</f>
        <v>#REF!</v>
      </c>
      <c r="S575" s="29" t="e">
        <f>IF(INDEX(#REF!,MATCH('data '!$B575,#REF!,0),MATCH('data '!S$3,#REF!,0))=0,"",INDEX(#REF!,MATCH('data '!$B575,#REF!,0),MATCH('data '!S$3,#REF!,0)))</f>
        <v>#REF!</v>
      </c>
      <c r="T575" s="29" t="e">
        <f>IF(INDEX(#REF!,MATCH('data '!$B575,#REF!,0),MATCH('data '!T$3,#REF!,0))=0,"",INDEX(#REF!,MATCH('data '!$B575,#REF!,0),MATCH('data '!T$3,#REF!,0)))</f>
        <v>#REF!</v>
      </c>
      <c r="U575" s="8" t="s">
        <v>25</v>
      </c>
      <c r="V575" s="25" t="s">
        <v>351</v>
      </c>
      <c r="W575" s="25" t="s">
        <v>144</v>
      </c>
      <c r="X575" s="43" t="s">
        <v>25</v>
      </c>
      <c r="Y575" s="43">
        <v>45845</v>
      </c>
      <c r="AC575" s="8" t="e">
        <f>VLOOKUP(B575,#REF!,19,0)</f>
        <v>#REF!</v>
      </c>
      <c r="AP575" s="8" t="str">
        <f t="shared" si="24"/>
        <v>BP Secured</v>
      </c>
      <c r="AQ575" s="10" t="b" cm="1">
        <f t="array" aca="1" ref="AQ575" ca="1">IF(AM575&gt;0,(TODAY()-AM575),IF(AL575&gt;0,(TODAY()-AL575),IF(AK575&gt;0,(TODAY()-AK575,IF(AI575&gt;0,(TODAY()-AI575),IF(AG575&gt;0,(TODAY()-AG575),IF(AF575&gt;0,(TODAY()-AF575),IF(X575&gt;0,(TODAY()-X575)," "))))))))</f>
        <v>0</v>
      </c>
      <c r="BD575" s="2" t="str">
        <f t="shared" si="25"/>
        <v>BP Secured</v>
      </c>
      <c r="BE575" s="2" t="e">
        <v>#VALUE!</v>
      </c>
      <c r="BG575" s="2" t="e">
        <v>#N/A</v>
      </c>
    </row>
    <row r="576" spans="2:59" hidden="1" x14ac:dyDescent="0.25">
      <c r="B576" s="2" t="s">
        <v>2689</v>
      </c>
      <c r="C576" s="2" t="s">
        <v>2690</v>
      </c>
      <c r="D576" s="44" t="s">
        <v>2691</v>
      </c>
      <c r="E576" s="2" t="s">
        <v>11</v>
      </c>
      <c r="F576" s="2" t="s">
        <v>216</v>
      </c>
      <c r="G576" s="2" t="s">
        <v>1</v>
      </c>
      <c r="H576" s="2" t="s">
        <v>165</v>
      </c>
      <c r="I576" s="2" t="s">
        <v>68</v>
      </c>
      <c r="J576" s="2" t="s">
        <v>69</v>
      </c>
      <c r="K576" s="2" t="s">
        <v>217</v>
      </c>
      <c r="L576" s="2" t="s">
        <v>985</v>
      </c>
      <c r="M576" s="2">
        <v>0</v>
      </c>
      <c r="N576" s="2">
        <v>6.6698915999999997</v>
      </c>
      <c r="O576" s="2">
        <v>121.9661983</v>
      </c>
      <c r="P576" s="2" t="s">
        <v>87</v>
      </c>
      <c r="Q576" s="2" t="s">
        <v>265</v>
      </c>
      <c r="R576" s="29" t="e">
        <f>IF(INDEX(#REF!,MATCH('data '!$B576,#REF!,0),MATCH('data '!R$3,#REF!,0))=0,"",INDEX(#REF!,MATCH('data '!$B576,#REF!,0),MATCH('data '!R$3,#REF!,0)))</f>
        <v>#REF!</v>
      </c>
      <c r="S576" s="29" t="e">
        <f>IF(INDEX(#REF!,MATCH('data '!$B576,#REF!,0),MATCH('data '!S$3,#REF!,0))=0,"",INDEX(#REF!,MATCH('data '!$B576,#REF!,0),MATCH('data '!S$3,#REF!,0)))</f>
        <v>#REF!</v>
      </c>
      <c r="T576" s="29" t="e">
        <f>IF(INDEX(#REF!,MATCH('data '!$B576,#REF!,0),MATCH('data '!T$3,#REF!,0))=0,"",INDEX(#REF!,MATCH('data '!$B576,#REF!,0),MATCH('data '!T$3,#REF!,0)))</f>
        <v>#REF!</v>
      </c>
      <c r="U576" s="8" t="s">
        <v>25</v>
      </c>
      <c r="V576" s="25" t="s">
        <v>185</v>
      </c>
      <c r="W576" s="25" t="s">
        <v>144</v>
      </c>
      <c r="X576" s="43" t="s">
        <v>25</v>
      </c>
      <c r="Y576" s="43">
        <v>45860</v>
      </c>
      <c r="AA576" s="8">
        <v>45878</v>
      </c>
      <c r="AC576" s="8" t="e">
        <f>VLOOKUP(B576,#REF!,19,0)</f>
        <v>#REF!</v>
      </c>
      <c r="AP576" s="8" t="str">
        <f t="shared" si="24"/>
        <v>BP Secured</v>
      </c>
      <c r="AQ576" s="10" t="b" cm="1">
        <f t="array" aca="1" ref="AQ576" ca="1">IF(AM576&gt;0,(TODAY()-AM576),IF(AL576&gt;0,(TODAY()-AL576),IF(AK576&gt;0,(TODAY()-AK576,IF(AI576&gt;0,(TODAY()-AI576),IF(AG576&gt;0,(TODAY()-AG576),IF(AF576&gt;0,(TODAY()-AF576),IF(X576&gt;0,(TODAY()-X576)," "))))))))</f>
        <v>0</v>
      </c>
      <c r="BD576" s="2" t="str">
        <f t="shared" si="25"/>
        <v>BP Secured</v>
      </c>
      <c r="BE576" s="2" t="e">
        <v>#VALUE!</v>
      </c>
      <c r="BG576" s="2" t="e">
        <v>#N/A</v>
      </c>
    </row>
    <row r="577" spans="2:59" hidden="1" x14ac:dyDescent="0.25">
      <c r="B577" s="2" t="s">
        <v>2692</v>
      </c>
      <c r="C577" s="2" t="s">
        <v>2693</v>
      </c>
      <c r="D577" s="44" t="s">
        <v>2694</v>
      </c>
      <c r="E577" s="2" t="s">
        <v>11</v>
      </c>
      <c r="F577" s="2">
        <v>0</v>
      </c>
      <c r="G577" s="2" t="s">
        <v>1</v>
      </c>
      <c r="H577" s="2" t="s">
        <v>165</v>
      </c>
      <c r="I577" s="2" t="s">
        <v>68</v>
      </c>
      <c r="J577" s="2" t="s">
        <v>69</v>
      </c>
      <c r="K577" s="2" t="s">
        <v>217</v>
      </c>
      <c r="L577" s="2" t="s">
        <v>985</v>
      </c>
      <c r="M577" s="2">
        <v>0</v>
      </c>
      <c r="N577" s="2">
        <v>6.6387099999999997</v>
      </c>
      <c r="O577" s="2">
        <v>121.95129</v>
      </c>
      <c r="P577" s="2" t="s">
        <v>87</v>
      </c>
      <c r="Q577" s="2" t="s">
        <v>184</v>
      </c>
      <c r="R577" s="29" t="e">
        <f>IF(INDEX(#REF!,MATCH('data '!$B577,#REF!,0),MATCH('data '!R$3,#REF!,0))=0,"",INDEX(#REF!,MATCH('data '!$B577,#REF!,0),MATCH('data '!R$3,#REF!,0)))</f>
        <v>#REF!</v>
      </c>
      <c r="S577" s="29" t="e">
        <f>IF(INDEX(#REF!,MATCH('data '!$B577,#REF!,0),MATCH('data '!S$3,#REF!,0))=0,"",INDEX(#REF!,MATCH('data '!$B577,#REF!,0),MATCH('data '!S$3,#REF!,0)))</f>
        <v>#REF!</v>
      </c>
      <c r="T577" s="29" t="e">
        <f>IF(INDEX(#REF!,MATCH('data '!$B577,#REF!,0),MATCH('data '!T$3,#REF!,0))=0,"",INDEX(#REF!,MATCH('data '!$B577,#REF!,0),MATCH('data '!T$3,#REF!,0)))</f>
        <v>#REF!</v>
      </c>
      <c r="U577" s="8" t="s">
        <v>25</v>
      </c>
      <c r="V577" s="25" t="s">
        <v>185</v>
      </c>
      <c r="W577" s="25" t="s">
        <v>144</v>
      </c>
      <c r="X577" s="43" t="s">
        <v>25</v>
      </c>
      <c r="Y577" s="43">
        <v>45826</v>
      </c>
      <c r="AA577" s="8">
        <v>45786</v>
      </c>
      <c r="AC577" s="8" t="e">
        <f>VLOOKUP(B577,#REF!,19,0)</f>
        <v>#REF!</v>
      </c>
      <c r="AE577" s="8" t="s">
        <v>497</v>
      </c>
      <c r="AP577" s="8" t="str">
        <f t="shared" si="24"/>
        <v>BP Secured</v>
      </c>
      <c r="AQ577" s="10" t="b" cm="1">
        <f t="array" aca="1" ref="AQ577" ca="1">IF(AM577&gt;0,(TODAY()-AM577),IF(AL577&gt;0,(TODAY()-AL577),IF(AK577&gt;0,(TODAY()-AK577,IF(AI577&gt;0,(TODAY()-AI577),IF(AG577&gt;0,(TODAY()-AG577),IF(AF577&gt;0,(TODAY()-AF577),IF(X577&gt;0,(TODAY()-X577)," "))))))))</f>
        <v>0</v>
      </c>
      <c r="AT577" s="8" t="s">
        <v>155</v>
      </c>
      <c r="AU577" s="8">
        <v>45908</v>
      </c>
      <c r="AV577" s="8">
        <v>45906</v>
      </c>
      <c r="AX577" s="8">
        <v>45909</v>
      </c>
      <c r="BD577" s="2" t="str">
        <f t="shared" si="25"/>
        <v>PO Issued</v>
      </c>
      <c r="BE577" s="2">
        <v>31</v>
      </c>
      <c r="BG577" s="2" t="e">
        <v>#N/A</v>
      </c>
    </row>
    <row r="578" spans="2:59" hidden="1" x14ac:dyDescent="0.25">
      <c r="B578" s="2" t="s">
        <v>2695</v>
      </c>
      <c r="C578" s="2" t="s">
        <v>2696</v>
      </c>
      <c r="D578" s="44" t="s">
        <v>2697</v>
      </c>
      <c r="E578" s="2" t="s">
        <v>11</v>
      </c>
      <c r="F578" s="2" t="s">
        <v>216</v>
      </c>
      <c r="G578" s="2" t="s">
        <v>1</v>
      </c>
      <c r="H578" s="2" t="s">
        <v>165</v>
      </c>
      <c r="I578" s="2" t="s">
        <v>68</v>
      </c>
      <c r="J578" s="2" t="s">
        <v>69</v>
      </c>
      <c r="K578" s="2" t="s">
        <v>217</v>
      </c>
      <c r="L578" s="2" t="s">
        <v>985</v>
      </c>
      <c r="M578" s="2">
        <v>0</v>
      </c>
      <c r="N578" s="2">
        <v>6.6494</v>
      </c>
      <c r="O578" s="2">
        <v>121.99160000000001</v>
      </c>
      <c r="P578" s="2" t="s">
        <v>87</v>
      </c>
      <c r="Q578" s="2" t="s">
        <v>184</v>
      </c>
      <c r="R578" s="29" t="e">
        <f>IF(INDEX(#REF!,MATCH('data '!$B578,#REF!,0),MATCH('data '!R$3,#REF!,0))=0,"",INDEX(#REF!,MATCH('data '!$B578,#REF!,0),MATCH('data '!R$3,#REF!,0)))</f>
        <v>#REF!</v>
      </c>
      <c r="S578" s="29" t="e">
        <f>IF(INDEX(#REF!,MATCH('data '!$B578,#REF!,0),MATCH('data '!S$3,#REF!,0))=0,"",INDEX(#REF!,MATCH('data '!$B578,#REF!,0),MATCH('data '!S$3,#REF!,0)))</f>
        <v>#REF!</v>
      </c>
      <c r="T578" s="29" t="e">
        <f>IF(INDEX(#REF!,MATCH('data '!$B578,#REF!,0),MATCH('data '!T$3,#REF!,0))=0,"",INDEX(#REF!,MATCH('data '!$B578,#REF!,0),MATCH('data '!T$3,#REF!,0)))</f>
        <v>#REF!</v>
      </c>
      <c r="U578" s="8" t="s">
        <v>25</v>
      </c>
      <c r="V578" s="25" t="s">
        <v>185</v>
      </c>
      <c r="W578" s="25" t="s">
        <v>144</v>
      </c>
      <c r="X578" s="43" t="s">
        <v>25</v>
      </c>
      <c r="Y578" s="43">
        <v>45826</v>
      </c>
      <c r="AA578" s="8">
        <v>45970</v>
      </c>
      <c r="AC578" s="8" t="e">
        <f>VLOOKUP(B578,#REF!,19,0)</f>
        <v>#REF!</v>
      </c>
      <c r="AP578" s="8" t="str">
        <f t="shared" si="24"/>
        <v>BP Secured</v>
      </c>
      <c r="AQ578" s="10" t="b" cm="1">
        <f t="array" aca="1" ref="AQ578" ca="1">IF(AM578&gt;0,(TODAY()-AM578),IF(AL578&gt;0,(TODAY()-AL578),IF(AK578&gt;0,(TODAY()-AK578,IF(AI578&gt;0,(TODAY()-AI578),IF(AG578&gt;0,(TODAY()-AG578),IF(AF578&gt;0,(TODAY()-AF578),IF(X578&gt;0,(TODAY()-X578)," "))))))))</f>
        <v>0</v>
      </c>
      <c r="BD578" s="2" t="str">
        <f t="shared" si="25"/>
        <v>BP Secured</v>
      </c>
      <c r="BE578" s="2" t="e">
        <v>#VALUE!</v>
      </c>
      <c r="BG578" s="2" t="e">
        <v>#N/A</v>
      </c>
    </row>
    <row r="579" spans="2:59" hidden="1" x14ac:dyDescent="0.25">
      <c r="B579" s="2" t="s">
        <v>2698</v>
      </c>
      <c r="C579" s="2" t="s">
        <v>2699</v>
      </c>
      <c r="D579" s="44" t="s">
        <v>2700</v>
      </c>
      <c r="E579" s="2" t="s">
        <v>11</v>
      </c>
      <c r="F579" s="2" t="s">
        <v>456</v>
      </c>
      <c r="G579" s="2" t="s">
        <v>1</v>
      </c>
      <c r="H579" s="2" t="s">
        <v>67</v>
      </c>
      <c r="I579" s="2" t="s">
        <v>68</v>
      </c>
      <c r="J579" s="2" t="s">
        <v>80</v>
      </c>
      <c r="K579" s="2" t="s">
        <v>692</v>
      </c>
      <c r="L579" s="2">
        <v>0</v>
      </c>
      <c r="M579" s="2">
        <v>0</v>
      </c>
      <c r="N579" s="2">
        <v>7.3045999999999998</v>
      </c>
      <c r="O579" s="2">
        <v>125.69840000000001</v>
      </c>
      <c r="P579" s="2" t="s">
        <v>87</v>
      </c>
      <c r="Q579" s="2" t="s">
        <v>219</v>
      </c>
      <c r="R579" s="29" t="e">
        <f>IF(INDEX(#REF!,MATCH('data '!$B579,#REF!,0),MATCH('data '!R$3,#REF!,0))=0,"",INDEX(#REF!,MATCH('data '!$B579,#REF!,0),MATCH('data '!R$3,#REF!,0)))</f>
        <v>#REF!</v>
      </c>
      <c r="S579" s="29" t="e">
        <f>IF(INDEX(#REF!,MATCH('data '!$B579,#REF!,0),MATCH('data '!S$3,#REF!,0))=0,"",INDEX(#REF!,MATCH('data '!$B579,#REF!,0),MATCH('data '!S$3,#REF!,0)))</f>
        <v>#REF!</v>
      </c>
      <c r="T579" s="29" t="e">
        <f>IF(INDEX(#REF!,MATCH('data '!$B579,#REF!,0),MATCH('data '!T$3,#REF!,0))=0,"",INDEX(#REF!,MATCH('data '!$B579,#REF!,0),MATCH('data '!T$3,#REF!,0)))</f>
        <v>#REF!</v>
      </c>
      <c r="V579" s="25" t="s">
        <v>87</v>
      </c>
      <c r="W579" s="25" t="s">
        <v>144</v>
      </c>
      <c r="X579" s="43" t="s">
        <v>25</v>
      </c>
      <c r="Y579" s="43">
        <v>45896</v>
      </c>
      <c r="AC579" s="8" t="e">
        <f>VLOOKUP(B579,#REF!,19,0)</f>
        <v>#REF!</v>
      </c>
      <c r="AP579" s="8" t="str">
        <f t="shared" si="24"/>
        <v>BP Secured</v>
      </c>
      <c r="AQ579" s="10" t="b" cm="1">
        <f t="array" aca="1" ref="AQ579" ca="1">IF(AM579&gt;0,(TODAY()-AM579),IF(AL579&gt;0,(TODAY()-AL579),IF(AK579&gt;0,(TODAY()-AK579,IF(AI579&gt;0,(TODAY()-AI579),IF(AG579&gt;0,(TODAY()-AG579),IF(AF579&gt;0,(TODAY()-AF579),IF(X579&gt;0,(TODAY()-X579)," "))))))))</f>
        <v>0</v>
      </c>
      <c r="BD579" s="2" t="str">
        <f t="shared" si="25"/>
        <v>BP Secured</v>
      </c>
      <c r="BE579" s="2" t="e">
        <v>#VALUE!</v>
      </c>
      <c r="BG579" s="2" t="e">
        <v>#N/A</v>
      </c>
    </row>
    <row r="580" spans="2:59" hidden="1" x14ac:dyDescent="0.25">
      <c r="B580" s="2" t="s">
        <v>2701</v>
      </c>
      <c r="C580" s="2" t="s">
        <v>2702</v>
      </c>
      <c r="D580" s="44" t="s">
        <v>2703</v>
      </c>
      <c r="E580" s="2" t="s">
        <v>11</v>
      </c>
      <c r="F580" s="2" t="s">
        <v>456</v>
      </c>
      <c r="G580" s="2" t="s">
        <v>1</v>
      </c>
      <c r="H580" s="2" t="s">
        <v>67</v>
      </c>
      <c r="I580" s="2" t="s">
        <v>68</v>
      </c>
      <c r="J580" s="2" t="s">
        <v>80</v>
      </c>
      <c r="K580" s="2" t="s">
        <v>692</v>
      </c>
      <c r="L580" s="2" t="s">
        <v>2704</v>
      </c>
      <c r="M580" s="2" t="s">
        <v>2705</v>
      </c>
      <c r="N580" s="2">
        <v>7.1532999999999998</v>
      </c>
      <c r="O580" s="2">
        <v>125.7149</v>
      </c>
      <c r="P580" s="2" t="s">
        <v>87</v>
      </c>
      <c r="Q580" s="2" t="s">
        <v>184</v>
      </c>
      <c r="R580" s="29" t="e">
        <f>IF(INDEX(#REF!,MATCH('data '!$B580,#REF!,0),MATCH('data '!R$3,#REF!,0))=0,"",INDEX(#REF!,MATCH('data '!$B580,#REF!,0),MATCH('data '!R$3,#REF!,0)))</f>
        <v>#REF!</v>
      </c>
      <c r="S580" s="29" t="e">
        <f>IF(INDEX(#REF!,MATCH('data '!$B580,#REF!,0),MATCH('data '!S$3,#REF!,0))=0,"",INDEX(#REF!,MATCH('data '!$B580,#REF!,0),MATCH('data '!S$3,#REF!,0)))</f>
        <v>#REF!</v>
      </c>
      <c r="T580" s="29" t="e">
        <f>IF(INDEX(#REF!,MATCH('data '!$B580,#REF!,0),MATCH('data '!T$3,#REF!,0))=0,"",INDEX(#REF!,MATCH('data '!$B580,#REF!,0),MATCH('data '!T$3,#REF!,0)))</f>
        <v>#REF!</v>
      </c>
      <c r="U580" s="8" t="s">
        <v>25</v>
      </c>
      <c r="V580" s="25" t="s">
        <v>185</v>
      </c>
      <c r="W580" s="25" t="s">
        <v>144</v>
      </c>
      <c r="X580" s="9" t="s">
        <v>25</v>
      </c>
      <c r="Y580" s="9">
        <v>45724</v>
      </c>
      <c r="AA580" s="8" t="s">
        <v>2706</v>
      </c>
      <c r="AC580" s="8" t="e">
        <f>VLOOKUP(B580,#REF!,19,0)</f>
        <v>#REF!</v>
      </c>
      <c r="AE580" s="8" t="s">
        <v>460</v>
      </c>
      <c r="AK580" s="8">
        <v>45770</v>
      </c>
      <c r="AP580" s="8" t="str">
        <f t="shared" ref="AP580:AP643" si="26">IF(AM580&gt;0,"Tempo Energized",IF(AL580&gt;0,"Tempo Permit Released",IF(AK580&gt;0,"COOP Surveyed",IF(AI580&gt;0,"PO Issued",IF(AG580&gt;0,"PQ Raised",IF(AF580&gt;0,"Vendor Allocated",IF(X580&gt;0,"BP Secured","Not yet endorsed")))))))</f>
        <v>COOP Surveyed</v>
      </c>
      <c r="AQ580" s="10" t="e" cm="1">
        <f t="array" aca="1" ref="AQ580" ca="1">IF(AM580&gt;0,(TODAY()-AM580),IF(AL580&gt;0,(TODAY()-AL580),IF(AK580&gt;0,(TODAY()-AK580,IF(AI580&gt;0,(TODAY()-AI580),IF(AG580&gt;0,(TODAY()-AG580),IF(AF580&gt;0,(TODAY()-AF580),IF(X580&gt;0,(TODAY()-X580)," "))))))))</f>
        <v>#VALUE!</v>
      </c>
      <c r="AT580" s="8" t="s">
        <v>155</v>
      </c>
      <c r="AU580" s="8">
        <v>45852</v>
      </c>
      <c r="AV580" s="8">
        <v>45851</v>
      </c>
      <c r="AX580" s="8">
        <v>45854</v>
      </c>
      <c r="BD580" s="2" t="str">
        <f t="shared" ref="BD580:BD643" si="27">IF(BC580&gt;0,"Permanent Energized",IF(BB580&gt;0,"Bill deposit Paid",IF(BA580&gt;0,"Line Construction Completed",IF(AZ580&gt;0,"Line Construction Started",IF(AX580&gt;0,"PO Issued",IF(AV580&gt;0,"PQ Raised",IF(AU580&gt;0,"BoQ Approved",IF(AT580&gt;0,"BoQ Submitted",IF(AF580&gt;0,"Vendor Allocated",IF(X580&gt;0,"BP Secured",IF(U580&gt;0,"TSSR Approved","Not yet endorsed")))))))))))</f>
        <v>PO Issued</v>
      </c>
      <c r="BE580" s="2">
        <v>86</v>
      </c>
      <c r="BG580" s="2" t="e">
        <v>#N/A</v>
      </c>
    </row>
    <row r="581" spans="2:59" hidden="1" x14ac:dyDescent="0.25">
      <c r="B581" s="2" t="s">
        <v>2707</v>
      </c>
      <c r="C581" s="2" t="s">
        <v>2708</v>
      </c>
      <c r="D581" s="44" t="s">
        <v>2709</v>
      </c>
      <c r="E581" s="2" t="s">
        <v>11</v>
      </c>
      <c r="F581" s="2">
        <v>0</v>
      </c>
      <c r="G581" s="2" t="s">
        <v>1</v>
      </c>
      <c r="H581" s="2" t="s">
        <v>67</v>
      </c>
      <c r="I581" s="2" t="s">
        <v>68</v>
      </c>
      <c r="J581" s="2" t="s">
        <v>80</v>
      </c>
      <c r="K581" s="2" t="s">
        <v>692</v>
      </c>
      <c r="L581" s="2">
        <v>0</v>
      </c>
      <c r="M581" s="2">
        <v>0</v>
      </c>
      <c r="N581" s="2">
        <v>0</v>
      </c>
      <c r="O581" s="2">
        <v>0</v>
      </c>
      <c r="P581" s="2" t="s">
        <v>87</v>
      </c>
      <c r="Q581" s="2" t="s">
        <v>73</v>
      </c>
      <c r="R581" s="29" t="e">
        <f>IF(INDEX(#REF!,MATCH('data '!$B581,#REF!,0),MATCH('data '!R$3,#REF!,0))=0,"",INDEX(#REF!,MATCH('data '!$B581,#REF!,0),MATCH('data '!R$3,#REF!,0)))</f>
        <v>#REF!</v>
      </c>
      <c r="S581" s="29" t="e">
        <f>IF(INDEX(#REF!,MATCH('data '!$B581,#REF!,0),MATCH('data '!S$3,#REF!,0))=0,"",INDEX(#REF!,MATCH('data '!$B581,#REF!,0),MATCH('data '!S$3,#REF!,0)))</f>
        <v>#REF!</v>
      </c>
      <c r="T581" s="29" t="e">
        <f>IF(INDEX(#REF!,MATCH('data '!$B581,#REF!,0),MATCH('data '!T$3,#REF!,0))=0,"",INDEX(#REF!,MATCH('data '!$B581,#REF!,0),MATCH('data '!T$3,#REF!,0)))</f>
        <v>#REF!</v>
      </c>
      <c r="V581" s="25" t="s">
        <v>160</v>
      </c>
      <c r="W581" s="25" t="s">
        <v>144</v>
      </c>
      <c r="X581" s="43" t="s">
        <v>25</v>
      </c>
      <c r="Y581" s="43">
        <v>45922</v>
      </c>
      <c r="AC581" s="8" t="e">
        <f>VLOOKUP(B581,#REF!,19,0)</f>
        <v>#REF!</v>
      </c>
      <c r="AP581" s="8" t="str">
        <f t="shared" si="26"/>
        <v>BP Secured</v>
      </c>
      <c r="AQ581" s="10" t="b" cm="1">
        <f t="array" aca="1" ref="AQ581" ca="1">IF(AM581&gt;0,(TODAY()-AM581),IF(AL581&gt;0,(TODAY()-AL581),IF(AK581&gt;0,(TODAY()-AK581,IF(AI581&gt;0,(TODAY()-AI581),IF(AG581&gt;0,(TODAY()-AG581),IF(AF581&gt;0,(TODAY()-AF581),IF(X581&gt;0,(TODAY()-X581)," "))))))))</f>
        <v>0</v>
      </c>
      <c r="BD581" s="2" t="str">
        <f t="shared" si="27"/>
        <v>BP Secured</v>
      </c>
      <c r="BE581" s="2" t="e">
        <v>#VALUE!</v>
      </c>
      <c r="BG581" s="2" t="e">
        <v>#N/A</v>
      </c>
    </row>
    <row r="582" spans="2:59" hidden="1" x14ac:dyDescent="0.25">
      <c r="B582" s="2" t="s">
        <v>2710</v>
      </c>
      <c r="C582" s="2" t="s">
        <v>2711</v>
      </c>
      <c r="D582" s="44" t="s">
        <v>2712</v>
      </c>
      <c r="E582" s="2" t="s">
        <v>11</v>
      </c>
      <c r="F582" s="2">
        <v>0</v>
      </c>
      <c r="G582" s="2" t="s">
        <v>1</v>
      </c>
      <c r="H582" s="2" t="s">
        <v>67</v>
      </c>
      <c r="I582" s="2" t="s">
        <v>68</v>
      </c>
      <c r="J582" s="2" t="s">
        <v>80</v>
      </c>
      <c r="K582" s="2" t="s">
        <v>692</v>
      </c>
      <c r="L582" s="2">
        <v>0</v>
      </c>
      <c r="M582" s="2">
        <v>0</v>
      </c>
      <c r="N582" s="2">
        <v>7.5655109999999999</v>
      </c>
      <c r="O582" s="2">
        <v>125.757233</v>
      </c>
      <c r="P582" s="2" t="s">
        <v>87</v>
      </c>
      <c r="Q582" s="2" t="s">
        <v>314</v>
      </c>
      <c r="R582" s="29" t="e">
        <f>IF(INDEX(#REF!,MATCH('data '!$B582,#REF!,0),MATCH('data '!R$3,#REF!,0))=0,"",INDEX(#REF!,MATCH('data '!$B582,#REF!,0),MATCH('data '!R$3,#REF!,0)))</f>
        <v>#REF!</v>
      </c>
      <c r="S582" s="29" t="e">
        <f>IF(INDEX(#REF!,MATCH('data '!$B582,#REF!,0),MATCH('data '!S$3,#REF!,0))=0,"",INDEX(#REF!,MATCH('data '!$B582,#REF!,0),MATCH('data '!S$3,#REF!,0)))</f>
        <v>#REF!</v>
      </c>
      <c r="T582" s="29" t="e">
        <f>IF(INDEX(#REF!,MATCH('data '!$B582,#REF!,0),MATCH('data '!T$3,#REF!,0))=0,"",INDEX(#REF!,MATCH('data '!$B582,#REF!,0),MATCH('data '!T$3,#REF!,0)))</f>
        <v>#REF!</v>
      </c>
      <c r="V582" s="25" t="s">
        <v>160</v>
      </c>
      <c r="W582" s="25" t="s">
        <v>144</v>
      </c>
      <c r="X582" s="43" t="s">
        <v>25</v>
      </c>
      <c r="Y582" s="43">
        <v>45909</v>
      </c>
      <c r="AC582" s="8" t="e">
        <f>VLOOKUP(B582,#REF!,19,0)</f>
        <v>#REF!</v>
      </c>
      <c r="AP582" s="8" t="str">
        <f t="shared" si="26"/>
        <v>BP Secured</v>
      </c>
      <c r="AQ582" s="10" t="b" cm="1">
        <f t="array" aca="1" ref="AQ582" ca="1">IF(AM582&gt;0,(TODAY()-AM582),IF(AL582&gt;0,(TODAY()-AL582),IF(AK582&gt;0,(TODAY()-AK582,IF(AI582&gt;0,(TODAY()-AI582),IF(AG582&gt;0,(TODAY()-AG582),IF(AF582&gt;0,(TODAY()-AF582),IF(X582&gt;0,(TODAY()-X582)," "))))))))</f>
        <v>0</v>
      </c>
      <c r="BD582" s="2" t="str">
        <f t="shared" si="27"/>
        <v>BP Secured</v>
      </c>
      <c r="BE582" s="2" t="e">
        <v>#VALUE!</v>
      </c>
      <c r="BG582" s="2" t="e">
        <v>#N/A</v>
      </c>
    </row>
    <row r="583" spans="2:59" hidden="1" x14ac:dyDescent="0.25">
      <c r="B583" s="2" t="s">
        <v>2713</v>
      </c>
      <c r="C583" s="2" t="s">
        <v>2714</v>
      </c>
      <c r="D583" s="44" t="s">
        <v>2715</v>
      </c>
      <c r="E583" s="2" t="s">
        <v>11</v>
      </c>
      <c r="F583" s="2" t="s">
        <v>79</v>
      </c>
      <c r="G583" s="2" t="s">
        <v>1</v>
      </c>
      <c r="H583" s="2" t="s">
        <v>67</v>
      </c>
      <c r="I583" s="2" t="s">
        <v>68</v>
      </c>
      <c r="J583" s="2" t="s">
        <v>80</v>
      </c>
      <c r="K583" s="2" t="s">
        <v>196</v>
      </c>
      <c r="L583" s="2" t="s">
        <v>494</v>
      </c>
      <c r="M583" s="2">
        <v>0</v>
      </c>
      <c r="N583" s="2">
        <v>0</v>
      </c>
      <c r="O583" s="2">
        <v>0</v>
      </c>
      <c r="P583" s="2" t="s">
        <v>72</v>
      </c>
      <c r="Q583" s="2" t="s">
        <v>73</v>
      </c>
      <c r="R583" s="29" t="e">
        <f>IF(INDEX(#REF!,MATCH('data '!$B583,#REF!,0),MATCH('data '!R$3,#REF!,0))=0,"",INDEX(#REF!,MATCH('data '!$B583,#REF!,0),MATCH('data '!R$3,#REF!,0)))</f>
        <v>#REF!</v>
      </c>
      <c r="S583" s="29" t="e">
        <f>IF(INDEX(#REF!,MATCH('data '!$B583,#REF!,0),MATCH('data '!S$3,#REF!,0))=0,"",INDEX(#REF!,MATCH('data '!$B583,#REF!,0),MATCH('data '!S$3,#REF!,0)))</f>
        <v>#REF!</v>
      </c>
      <c r="T583" s="29" t="e">
        <f>IF(INDEX(#REF!,MATCH('data '!$B583,#REF!,0),MATCH('data '!T$3,#REF!,0))=0,"",INDEX(#REF!,MATCH('data '!$B583,#REF!,0),MATCH('data '!T$3,#REF!,0)))</f>
        <v>#REF!</v>
      </c>
      <c r="V583" s="25" t="s">
        <v>74</v>
      </c>
      <c r="W583" s="25">
        <v>0</v>
      </c>
      <c r="AC583" s="8" t="e">
        <f>VLOOKUP(B583,#REF!,19,0)</f>
        <v>#REF!</v>
      </c>
      <c r="AP583" s="8" t="str">
        <f t="shared" si="26"/>
        <v>Not yet endorsed</v>
      </c>
      <c r="AQ583" s="10" t="b" cm="1">
        <f t="array" aca="1" ref="AQ583" ca="1">IF(AM583&gt;0,(TODAY()-AM583),IF(AL583&gt;0,(TODAY()-AL583),IF(AK583&gt;0,(TODAY()-AK583,IF(AI583&gt;0,(TODAY()-AI583),IF(AG583&gt;0,(TODAY()-AG583),IF(AF583&gt;0,(TODAY()-AF583),IF(X583&gt;0,(TODAY()-X583)," "))))))))</f>
        <v>0</v>
      </c>
      <c r="BD583" s="2" t="str">
        <f t="shared" si="27"/>
        <v>Not yet endorsed</v>
      </c>
      <c r="BE583" s="2" t="s">
        <v>75</v>
      </c>
      <c r="BG583" s="2" t="e">
        <v>#N/A</v>
      </c>
    </row>
    <row r="584" spans="2:59" hidden="1" x14ac:dyDescent="0.25">
      <c r="B584" s="2" t="s">
        <v>2716</v>
      </c>
      <c r="C584" s="2" t="s">
        <v>2717</v>
      </c>
      <c r="D584" s="44" t="s">
        <v>2718</v>
      </c>
      <c r="E584" s="2" t="s">
        <v>11</v>
      </c>
      <c r="F584" s="2">
        <v>0</v>
      </c>
      <c r="G584" s="2" t="s">
        <v>1</v>
      </c>
      <c r="H584" s="2" t="s">
        <v>67</v>
      </c>
      <c r="I584" s="2" t="s">
        <v>68</v>
      </c>
      <c r="J584" s="2" t="s">
        <v>80</v>
      </c>
      <c r="K584" s="2" t="s">
        <v>196</v>
      </c>
      <c r="L584" s="2">
        <v>0</v>
      </c>
      <c r="M584" s="2">
        <v>0</v>
      </c>
      <c r="N584" s="2">
        <v>0</v>
      </c>
      <c r="O584" s="2">
        <v>0</v>
      </c>
      <c r="P584" s="2" t="s">
        <v>82</v>
      </c>
      <c r="Q584" s="2">
        <v>0</v>
      </c>
      <c r="R584" s="29" t="e">
        <f>IF(INDEX(#REF!,MATCH('data '!$B584,#REF!,0),MATCH('data '!R$3,#REF!,0))=0,"",INDEX(#REF!,MATCH('data '!$B584,#REF!,0),MATCH('data '!R$3,#REF!,0)))</f>
        <v>#REF!</v>
      </c>
      <c r="S584" s="29" t="e">
        <f>IF(INDEX(#REF!,MATCH('data '!$B584,#REF!,0),MATCH('data '!S$3,#REF!,0))=0,"",INDEX(#REF!,MATCH('data '!$B584,#REF!,0),MATCH('data '!S$3,#REF!,0)))</f>
        <v>#REF!</v>
      </c>
      <c r="T584" s="29" t="e">
        <f>IF(INDEX(#REF!,MATCH('data '!$B584,#REF!,0),MATCH('data '!T$3,#REF!,0))=0,"",INDEX(#REF!,MATCH('data '!$B584,#REF!,0),MATCH('data '!T$3,#REF!,0)))</f>
        <v>#REF!</v>
      </c>
      <c r="V584" s="25" t="s">
        <v>82</v>
      </c>
      <c r="W584" s="25" t="s">
        <v>83</v>
      </c>
      <c r="AC584" s="8" t="e">
        <f>VLOOKUP(B584,#REF!,19,0)</f>
        <v>#REF!</v>
      </c>
      <c r="AP584" s="8" t="str">
        <f t="shared" si="26"/>
        <v>Not yet endorsed</v>
      </c>
      <c r="AQ584" s="10" t="b" cm="1">
        <f t="array" aca="1" ref="AQ584" ca="1">IF(AM584&gt;0,(TODAY()-AM584),IF(AL584&gt;0,(TODAY()-AL584),IF(AK584&gt;0,(TODAY()-AK584,IF(AI584&gt;0,(TODAY()-AI584),IF(AG584&gt;0,(TODAY()-AG584),IF(AF584&gt;0,(TODAY()-AF584),IF(X584&gt;0,(TODAY()-X584)," "))))))))</f>
        <v>0</v>
      </c>
      <c r="BD584" s="2" t="str">
        <f t="shared" si="27"/>
        <v>Not yet endorsed</v>
      </c>
      <c r="BE584" s="2" t="s">
        <v>75</v>
      </c>
      <c r="BG584" s="2" t="e">
        <v>#N/A</v>
      </c>
    </row>
    <row r="585" spans="2:59" hidden="1" x14ac:dyDescent="0.25">
      <c r="B585" s="2" t="s">
        <v>2719</v>
      </c>
      <c r="C585" s="2" t="s">
        <v>2720</v>
      </c>
      <c r="D585" s="44" t="s">
        <v>2721</v>
      </c>
      <c r="E585" s="2" t="s">
        <v>11</v>
      </c>
      <c r="F585" s="2">
        <v>0</v>
      </c>
      <c r="G585" s="2" t="s">
        <v>1</v>
      </c>
      <c r="H585" s="2" t="s">
        <v>67</v>
      </c>
      <c r="I585" s="2" t="s">
        <v>68</v>
      </c>
      <c r="J585" s="2" t="s">
        <v>80</v>
      </c>
      <c r="K585" s="2" t="s">
        <v>196</v>
      </c>
      <c r="L585" s="2">
        <v>0</v>
      </c>
      <c r="M585" s="2">
        <v>0</v>
      </c>
      <c r="N585" s="2">
        <v>0</v>
      </c>
      <c r="O585" s="2">
        <v>0</v>
      </c>
      <c r="P585" s="2" t="s">
        <v>482</v>
      </c>
      <c r="Q585" s="2">
        <v>0</v>
      </c>
      <c r="R585" s="29" t="e">
        <f>IF(INDEX(#REF!,MATCH('data '!$B585,#REF!,0),MATCH('data '!R$3,#REF!,0))=0,"",INDEX(#REF!,MATCH('data '!$B585,#REF!,0),MATCH('data '!R$3,#REF!,0)))</f>
        <v>#REF!</v>
      </c>
      <c r="S585" s="29" t="e">
        <f>IF(INDEX(#REF!,MATCH('data '!$B585,#REF!,0),MATCH('data '!S$3,#REF!,0))=0,"",INDEX(#REF!,MATCH('data '!$B585,#REF!,0),MATCH('data '!S$3,#REF!,0)))</f>
        <v>#REF!</v>
      </c>
      <c r="T585" s="29" t="e">
        <f>IF(INDEX(#REF!,MATCH('data '!$B585,#REF!,0),MATCH('data '!T$3,#REF!,0))=0,"",INDEX(#REF!,MATCH('data '!$B585,#REF!,0),MATCH('data '!T$3,#REF!,0)))</f>
        <v>#REF!</v>
      </c>
      <c r="V585" s="25" t="s">
        <v>82</v>
      </c>
      <c r="W585" s="25" t="s">
        <v>83</v>
      </c>
      <c r="AC585" s="8" t="e">
        <f>VLOOKUP(B585,#REF!,19,0)</f>
        <v>#REF!</v>
      </c>
      <c r="AP585" s="8" t="str">
        <f t="shared" si="26"/>
        <v>Not yet endorsed</v>
      </c>
      <c r="AQ585" s="10" t="b" cm="1">
        <f t="array" aca="1" ref="AQ585" ca="1">IF(AM585&gt;0,(TODAY()-AM585),IF(AL585&gt;0,(TODAY()-AL585),IF(AK585&gt;0,(TODAY()-AK585,IF(AI585&gt;0,(TODAY()-AI585),IF(AG585&gt;0,(TODAY()-AG585),IF(AF585&gt;0,(TODAY()-AF585),IF(X585&gt;0,(TODAY()-X585)," "))))))))</f>
        <v>0</v>
      </c>
      <c r="BD585" s="2" t="str">
        <f t="shared" si="27"/>
        <v>Not yet endorsed</v>
      </c>
      <c r="BE585" s="2" t="s">
        <v>75</v>
      </c>
      <c r="BG585" s="2" t="e">
        <v>#N/A</v>
      </c>
    </row>
    <row r="586" spans="2:59" hidden="1" x14ac:dyDescent="0.25">
      <c r="B586" s="2" t="s">
        <v>2722</v>
      </c>
      <c r="C586" s="2" t="s">
        <v>2723</v>
      </c>
      <c r="D586" s="44" t="s">
        <v>2724</v>
      </c>
      <c r="E586" s="2" t="s">
        <v>11</v>
      </c>
      <c r="F586" s="2">
        <v>0</v>
      </c>
      <c r="G586" s="2" t="s">
        <v>1</v>
      </c>
      <c r="H586" s="2" t="s">
        <v>67</v>
      </c>
      <c r="I586" s="2" t="s">
        <v>68</v>
      </c>
      <c r="J586" s="2" t="s">
        <v>80</v>
      </c>
      <c r="K586" s="2" t="s">
        <v>196</v>
      </c>
      <c r="L586" s="2">
        <v>0</v>
      </c>
      <c r="M586" s="2">
        <v>0</v>
      </c>
      <c r="N586" s="2">
        <v>0</v>
      </c>
      <c r="O586" s="2">
        <v>0</v>
      </c>
      <c r="P586" s="2" t="s">
        <v>133</v>
      </c>
      <c r="Q586" s="2">
        <v>0</v>
      </c>
      <c r="R586" s="29" t="e">
        <f>IF(INDEX(#REF!,MATCH('data '!$B586,#REF!,0),MATCH('data '!R$3,#REF!,0))=0,"",INDEX(#REF!,MATCH('data '!$B586,#REF!,0),MATCH('data '!R$3,#REF!,0)))</f>
        <v>#REF!</v>
      </c>
      <c r="S586" s="29" t="e">
        <f>IF(INDEX(#REF!,MATCH('data '!$B586,#REF!,0),MATCH('data '!S$3,#REF!,0))=0,"",INDEX(#REF!,MATCH('data '!$B586,#REF!,0),MATCH('data '!S$3,#REF!,0)))</f>
        <v>#REF!</v>
      </c>
      <c r="T586" s="29" t="e">
        <f>IF(INDEX(#REF!,MATCH('data '!$B586,#REF!,0),MATCH('data '!T$3,#REF!,0))=0,"",INDEX(#REF!,MATCH('data '!$B586,#REF!,0),MATCH('data '!T$3,#REF!,0)))</f>
        <v>#REF!</v>
      </c>
      <c r="V586" s="25" t="s">
        <v>133</v>
      </c>
      <c r="W586" s="25" t="s">
        <v>134</v>
      </c>
      <c r="AC586" s="8" t="e">
        <f>VLOOKUP(B586,#REF!,19,0)</f>
        <v>#REF!</v>
      </c>
      <c r="AP586" s="8" t="str">
        <f t="shared" si="26"/>
        <v>Not yet endorsed</v>
      </c>
      <c r="AQ586" s="10" t="b" cm="1">
        <f t="array" aca="1" ref="AQ586" ca="1">IF(AM586&gt;0,(TODAY()-AM586),IF(AL586&gt;0,(TODAY()-AL586),IF(AK586&gt;0,(TODAY()-AK586,IF(AI586&gt;0,(TODAY()-AI586),IF(AG586&gt;0,(TODAY()-AG586),IF(AF586&gt;0,(TODAY()-AF586),IF(X586&gt;0,(TODAY()-X586)," "))))))))</f>
        <v>0</v>
      </c>
      <c r="BD586" s="2" t="str">
        <f t="shared" si="27"/>
        <v>Not yet endorsed</v>
      </c>
      <c r="BE586" s="2" t="s">
        <v>75</v>
      </c>
      <c r="BG586" s="2" t="e">
        <v>#N/A</v>
      </c>
    </row>
    <row r="587" spans="2:59" hidden="1" x14ac:dyDescent="0.25">
      <c r="B587" s="2" t="s">
        <v>2725</v>
      </c>
      <c r="C587" s="2" t="s">
        <v>2726</v>
      </c>
      <c r="D587" s="44" t="s">
        <v>2727</v>
      </c>
      <c r="E587" s="2" t="s">
        <v>11</v>
      </c>
      <c r="F587" s="2">
        <v>0</v>
      </c>
      <c r="G587" s="2" t="s">
        <v>1</v>
      </c>
      <c r="H587" s="2" t="s">
        <v>67</v>
      </c>
      <c r="I587" s="2" t="s">
        <v>68</v>
      </c>
      <c r="J587" s="2" t="s">
        <v>80</v>
      </c>
      <c r="K587" s="2" t="s">
        <v>196</v>
      </c>
      <c r="L587" s="2">
        <v>0</v>
      </c>
      <c r="M587" s="2">
        <v>0</v>
      </c>
      <c r="N587" s="2">
        <v>0</v>
      </c>
      <c r="O587" s="2">
        <v>0</v>
      </c>
      <c r="P587" s="2" t="s">
        <v>72</v>
      </c>
      <c r="Q587" s="2">
        <v>0</v>
      </c>
      <c r="R587" s="29" t="e">
        <f>IF(INDEX(#REF!,MATCH('data '!$B587,#REF!,0),MATCH('data '!R$3,#REF!,0))=0,"",INDEX(#REF!,MATCH('data '!$B587,#REF!,0),MATCH('data '!R$3,#REF!,0)))</f>
        <v>#REF!</v>
      </c>
      <c r="S587" s="29" t="e">
        <f>IF(INDEX(#REF!,MATCH('data '!$B587,#REF!,0),MATCH('data '!S$3,#REF!,0))=0,"",INDEX(#REF!,MATCH('data '!$B587,#REF!,0),MATCH('data '!S$3,#REF!,0)))</f>
        <v>#REF!</v>
      </c>
      <c r="T587" s="29" t="e">
        <f>IF(INDEX(#REF!,MATCH('data '!$B587,#REF!,0),MATCH('data '!T$3,#REF!,0))=0,"",INDEX(#REF!,MATCH('data '!$B587,#REF!,0),MATCH('data '!T$3,#REF!,0)))</f>
        <v>#REF!</v>
      </c>
      <c r="V587" s="25" t="s">
        <v>74</v>
      </c>
      <c r="W587" s="25">
        <v>0</v>
      </c>
      <c r="AC587" s="8" t="e">
        <f>VLOOKUP(B587,#REF!,19,0)</f>
        <v>#REF!</v>
      </c>
      <c r="AP587" s="8" t="str">
        <f t="shared" si="26"/>
        <v>Not yet endorsed</v>
      </c>
      <c r="AQ587" s="10" t="b" cm="1">
        <f t="array" aca="1" ref="AQ587" ca="1">IF(AM587&gt;0,(TODAY()-AM587),IF(AL587&gt;0,(TODAY()-AL587),IF(AK587&gt;0,(TODAY()-AK587,IF(AI587&gt;0,(TODAY()-AI587),IF(AG587&gt;0,(TODAY()-AG587),IF(AF587&gt;0,(TODAY()-AF587),IF(X587&gt;0,(TODAY()-X587)," "))))))))</f>
        <v>0</v>
      </c>
      <c r="BD587" s="2" t="str">
        <f t="shared" si="27"/>
        <v>Not yet endorsed</v>
      </c>
      <c r="BE587" s="2" t="s">
        <v>75</v>
      </c>
      <c r="BG587" s="2" t="e">
        <v>#N/A</v>
      </c>
    </row>
    <row r="588" spans="2:59" hidden="1" x14ac:dyDescent="0.25">
      <c r="B588" s="2" t="s">
        <v>2728</v>
      </c>
      <c r="C588" s="2" t="s">
        <v>2729</v>
      </c>
      <c r="D588" s="44" t="s">
        <v>2730</v>
      </c>
      <c r="E588" s="2" t="s">
        <v>11</v>
      </c>
      <c r="F588" s="2">
        <v>0</v>
      </c>
      <c r="G588" s="2" t="s">
        <v>1</v>
      </c>
      <c r="H588" s="2" t="s">
        <v>67</v>
      </c>
      <c r="I588" s="2" t="s">
        <v>68</v>
      </c>
      <c r="J588" s="2" t="s">
        <v>80</v>
      </c>
      <c r="K588" s="2" t="s">
        <v>196</v>
      </c>
      <c r="L588" s="2">
        <v>0</v>
      </c>
      <c r="M588" s="2">
        <v>0</v>
      </c>
      <c r="N588" s="2">
        <v>0</v>
      </c>
      <c r="O588" s="2">
        <v>0</v>
      </c>
      <c r="P588" s="2" t="s">
        <v>133</v>
      </c>
      <c r="Q588" s="2">
        <v>0</v>
      </c>
      <c r="R588" s="29" t="e">
        <f>IF(INDEX(#REF!,MATCH('data '!$B588,#REF!,0),MATCH('data '!R$3,#REF!,0))=0,"",INDEX(#REF!,MATCH('data '!$B588,#REF!,0),MATCH('data '!R$3,#REF!,0)))</f>
        <v>#REF!</v>
      </c>
      <c r="S588" s="29" t="e">
        <f>IF(INDEX(#REF!,MATCH('data '!$B588,#REF!,0),MATCH('data '!S$3,#REF!,0))=0,"",INDEX(#REF!,MATCH('data '!$B588,#REF!,0),MATCH('data '!S$3,#REF!,0)))</f>
        <v>#REF!</v>
      </c>
      <c r="T588" s="29" t="e">
        <f>IF(INDEX(#REF!,MATCH('data '!$B588,#REF!,0),MATCH('data '!T$3,#REF!,0))=0,"",INDEX(#REF!,MATCH('data '!$B588,#REF!,0),MATCH('data '!T$3,#REF!,0)))</f>
        <v>#REF!</v>
      </c>
      <c r="V588" s="25" t="s">
        <v>133</v>
      </c>
      <c r="W588" s="25" t="s">
        <v>134</v>
      </c>
      <c r="AC588" s="8" t="e">
        <f>VLOOKUP(B588,#REF!,19,0)</f>
        <v>#REF!</v>
      </c>
      <c r="AP588" s="8" t="str">
        <f t="shared" si="26"/>
        <v>Not yet endorsed</v>
      </c>
      <c r="AQ588" s="10" t="b" cm="1">
        <f t="array" aca="1" ref="AQ588" ca="1">IF(AM588&gt;0,(TODAY()-AM588),IF(AL588&gt;0,(TODAY()-AL588),IF(AK588&gt;0,(TODAY()-AK588,IF(AI588&gt;0,(TODAY()-AI588),IF(AG588&gt;0,(TODAY()-AG588),IF(AF588&gt;0,(TODAY()-AF588),IF(X588&gt;0,(TODAY()-X588)," "))))))))</f>
        <v>0</v>
      </c>
      <c r="BD588" s="2" t="str">
        <f t="shared" si="27"/>
        <v>Not yet endorsed</v>
      </c>
      <c r="BE588" s="2" t="s">
        <v>75</v>
      </c>
      <c r="BG588" s="2" t="e">
        <v>#N/A</v>
      </c>
    </row>
    <row r="589" spans="2:59" hidden="1" x14ac:dyDescent="0.25">
      <c r="B589" s="2" t="s">
        <v>2731</v>
      </c>
      <c r="C589" s="2" t="s">
        <v>2732</v>
      </c>
      <c r="D589" s="44" t="s">
        <v>2733</v>
      </c>
      <c r="E589" s="2" t="s">
        <v>11</v>
      </c>
      <c r="F589" s="2" t="s">
        <v>79</v>
      </c>
      <c r="G589" s="2" t="s">
        <v>1</v>
      </c>
      <c r="H589" s="2" t="s">
        <v>67</v>
      </c>
      <c r="I589" s="2" t="s">
        <v>68</v>
      </c>
      <c r="J589" s="2" t="s">
        <v>80</v>
      </c>
      <c r="K589" s="2" t="s">
        <v>196</v>
      </c>
      <c r="L589" s="2">
        <v>0</v>
      </c>
      <c r="M589" s="2">
        <v>0</v>
      </c>
      <c r="N589" s="2">
        <v>0</v>
      </c>
      <c r="O589" s="2">
        <v>0</v>
      </c>
      <c r="P589" s="2" t="s">
        <v>72</v>
      </c>
      <c r="Q589" s="2" t="s">
        <v>73</v>
      </c>
      <c r="R589" s="29" t="e">
        <f>IF(INDEX(#REF!,MATCH('data '!$B589,#REF!,0),MATCH('data '!R$3,#REF!,0))=0,"",INDEX(#REF!,MATCH('data '!$B589,#REF!,0),MATCH('data '!R$3,#REF!,0)))</f>
        <v>#REF!</v>
      </c>
      <c r="S589" s="29" t="e">
        <f>IF(INDEX(#REF!,MATCH('data '!$B589,#REF!,0),MATCH('data '!S$3,#REF!,0))=0,"",INDEX(#REF!,MATCH('data '!$B589,#REF!,0),MATCH('data '!S$3,#REF!,0)))</f>
        <v>#REF!</v>
      </c>
      <c r="T589" s="29" t="e">
        <f>IF(INDEX(#REF!,MATCH('data '!$B589,#REF!,0),MATCH('data '!T$3,#REF!,0))=0,"",INDEX(#REF!,MATCH('data '!$B589,#REF!,0),MATCH('data '!T$3,#REF!,0)))</f>
        <v>#REF!</v>
      </c>
      <c r="V589" s="25" t="s">
        <v>74</v>
      </c>
      <c r="W589" s="25">
        <v>0</v>
      </c>
      <c r="AC589" s="8" t="e">
        <f>VLOOKUP(B589,#REF!,19,0)</f>
        <v>#REF!</v>
      </c>
      <c r="AP589" s="8" t="str">
        <f t="shared" si="26"/>
        <v>Not yet endorsed</v>
      </c>
      <c r="AQ589" s="10" t="b" cm="1">
        <f t="array" aca="1" ref="AQ589" ca="1">IF(AM589&gt;0,(TODAY()-AM589),IF(AL589&gt;0,(TODAY()-AL589),IF(AK589&gt;0,(TODAY()-AK589,IF(AI589&gt;0,(TODAY()-AI589),IF(AG589&gt;0,(TODAY()-AG589),IF(AF589&gt;0,(TODAY()-AF589),IF(X589&gt;0,(TODAY()-X589)," "))))))))</f>
        <v>0</v>
      </c>
      <c r="BD589" s="2" t="str">
        <f t="shared" si="27"/>
        <v>Not yet endorsed</v>
      </c>
      <c r="BE589" s="2" t="s">
        <v>75</v>
      </c>
      <c r="BG589" s="2" t="e">
        <v>#N/A</v>
      </c>
    </row>
    <row r="590" spans="2:59" hidden="1" x14ac:dyDescent="0.25">
      <c r="B590" s="2" t="s">
        <v>2734</v>
      </c>
      <c r="C590" s="2" t="s">
        <v>2735</v>
      </c>
      <c r="D590" s="44" t="s">
        <v>2736</v>
      </c>
      <c r="E590" s="2" t="s">
        <v>11</v>
      </c>
      <c r="F590" s="2">
        <v>0</v>
      </c>
      <c r="G590" s="2" t="s">
        <v>1</v>
      </c>
      <c r="H590" s="2" t="s">
        <v>67</v>
      </c>
      <c r="I590" s="2" t="s">
        <v>68</v>
      </c>
      <c r="J590" s="2" t="s">
        <v>80</v>
      </c>
      <c r="K590" s="2" t="s">
        <v>196</v>
      </c>
      <c r="L590" s="2">
        <v>0</v>
      </c>
      <c r="M590" s="2">
        <v>0</v>
      </c>
      <c r="N590" s="2">
        <v>6.2733030000000003</v>
      </c>
      <c r="O590" s="2">
        <v>125.585448</v>
      </c>
      <c r="P590" s="2" t="s">
        <v>87</v>
      </c>
      <c r="Q590" s="2" t="s">
        <v>314</v>
      </c>
      <c r="R590" s="29" t="e">
        <f>IF(INDEX(#REF!,MATCH('data '!$B590,#REF!,0),MATCH('data '!R$3,#REF!,0))=0,"",INDEX(#REF!,MATCH('data '!$B590,#REF!,0),MATCH('data '!R$3,#REF!,0)))</f>
        <v>#REF!</v>
      </c>
      <c r="S590" s="29" t="e">
        <f>IF(INDEX(#REF!,MATCH('data '!$B590,#REF!,0),MATCH('data '!S$3,#REF!,0))=0,"",INDEX(#REF!,MATCH('data '!$B590,#REF!,0),MATCH('data '!S$3,#REF!,0)))</f>
        <v>#REF!</v>
      </c>
      <c r="T590" s="29" t="e">
        <f>IF(INDEX(#REF!,MATCH('data '!$B590,#REF!,0),MATCH('data '!T$3,#REF!,0))=0,"",INDEX(#REF!,MATCH('data '!$B590,#REF!,0),MATCH('data '!T$3,#REF!,0)))</f>
        <v>#REF!</v>
      </c>
      <c r="V590" s="25" t="s">
        <v>351</v>
      </c>
      <c r="W590" s="25" t="s">
        <v>144</v>
      </c>
      <c r="X590" s="43" t="s">
        <v>25</v>
      </c>
      <c r="Y590" s="43">
        <v>45911</v>
      </c>
      <c r="AC590" s="8" t="e">
        <f>VLOOKUP(B590,#REF!,19,0)</f>
        <v>#REF!</v>
      </c>
      <c r="AP590" s="8" t="str">
        <f t="shared" si="26"/>
        <v>BP Secured</v>
      </c>
      <c r="AQ590" s="10" t="b" cm="1">
        <f t="array" aca="1" ref="AQ590" ca="1">IF(AM590&gt;0,(TODAY()-AM590),IF(AL590&gt;0,(TODAY()-AL590),IF(AK590&gt;0,(TODAY()-AK590,IF(AI590&gt;0,(TODAY()-AI590),IF(AG590&gt;0,(TODAY()-AG590),IF(AF590&gt;0,(TODAY()-AF590),IF(X590&gt;0,(TODAY()-X590)," "))))))))</f>
        <v>0</v>
      </c>
      <c r="BD590" s="2" t="str">
        <f t="shared" si="27"/>
        <v>BP Secured</v>
      </c>
      <c r="BE590" s="2" t="e">
        <v>#VALUE!</v>
      </c>
      <c r="BG590" s="2" t="e">
        <v>#N/A</v>
      </c>
    </row>
    <row r="591" spans="2:59" hidden="1" x14ac:dyDescent="0.25">
      <c r="B591" s="2" t="s">
        <v>2737</v>
      </c>
      <c r="C591" s="2" t="s">
        <v>2738</v>
      </c>
      <c r="D591" s="44" t="s">
        <v>2739</v>
      </c>
      <c r="E591" s="2" t="s">
        <v>11</v>
      </c>
      <c r="F591" s="2">
        <v>0</v>
      </c>
      <c r="G591" s="2" t="s">
        <v>1</v>
      </c>
      <c r="H591" s="2" t="s">
        <v>67</v>
      </c>
      <c r="I591" s="2" t="s">
        <v>68</v>
      </c>
      <c r="J591" s="2" t="s">
        <v>80</v>
      </c>
      <c r="K591" s="2" t="s">
        <v>893</v>
      </c>
      <c r="L591" s="2">
        <v>0</v>
      </c>
      <c r="M591" s="2">
        <v>0</v>
      </c>
      <c r="N591" s="2">
        <v>0</v>
      </c>
      <c r="O591" s="2">
        <v>0</v>
      </c>
      <c r="P591" s="2" t="s">
        <v>72</v>
      </c>
      <c r="Q591" s="2">
        <v>0</v>
      </c>
      <c r="R591" s="29" t="e">
        <f>IF(INDEX(#REF!,MATCH('data '!$B591,#REF!,0),MATCH('data '!R$3,#REF!,0))=0,"",INDEX(#REF!,MATCH('data '!$B591,#REF!,0),MATCH('data '!R$3,#REF!,0)))</f>
        <v>#REF!</v>
      </c>
      <c r="S591" s="29" t="e">
        <f>IF(INDEX(#REF!,MATCH('data '!$B591,#REF!,0),MATCH('data '!S$3,#REF!,0))=0,"",INDEX(#REF!,MATCH('data '!$B591,#REF!,0),MATCH('data '!S$3,#REF!,0)))</f>
        <v>#REF!</v>
      </c>
      <c r="T591" s="29" t="e">
        <f>IF(INDEX(#REF!,MATCH('data '!$B591,#REF!,0),MATCH('data '!T$3,#REF!,0))=0,"",INDEX(#REF!,MATCH('data '!$B591,#REF!,0),MATCH('data '!T$3,#REF!,0)))</f>
        <v>#REF!</v>
      </c>
      <c r="V591" s="25" t="s">
        <v>74</v>
      </c>
      <c r="W591" s="25">
        <v>0</v>
      </c>
      <c r="AC591" s="8" t="e">
        <f>VLOOKUP(B591,#REF!,19,0)</f>
        <v>#REF!</v>
      </c>
      <c r="AP591" s="8" t="str">
        <f t="shared" si="26"/>
        <v>Not yet endorsed</v>
      </c>
      <c r="AQ591" s="10" t="b" cm="1">
        <f t="array" aca="1" ref="AQ591" ca="1">IF(AM591&gt;0,(TODAY()-AM591),IF(AL591&gt;0,(TODAY()-AL591),IF(AK591&gt;0,(TODAY()-AK591,IF(AI591&gt;0,(TODAY()-AI591),IF(AG591&gt;0,(TODAY()-AG591),IF(AF591&gt;0,(TODAY()-AF591),IF(X591&gt;0,(TODAY()-X591)," "))))))))</f>
        <v>0</v>
      </c>
      <c r="BD591" s="2" t="str">
        <f t="shared" si="27"/>
        <v>Not yet endorsed</v>
      </c>
      <c r="BE591" s="2" t="s">
        <v>75</v>
      </c>
      <c r="BG591" s="2" t="e">
        <v>#N/A</v>
      </c>
    </row>
    <row r="592" spans="2:59" hidden="1" x14ac:dyDescent="0.25">
      <c r="B592" s="2" t="s">
        <v>2740</v>
      </c>
      <c r="C592" s="2" t="s">
        <v>2741</v>
      </c>
      <c r="D592" s="44" t="s">
        <v>2742</v>
      </c>
      <c r="E592" s="2" t="s">
        <v>11</v>
      </c>
      <c r="F592" s="2">
        <v>0</v>
      </c>
      <c r="G592" s="2" t="s">
        <v>1</v>
      </c>
      <c r="H592" s="2" t="s">
        <v>67</v>
      </c>
      <c r="I592" s="2" t="s">
        <v>68</v>
      </c>
      <c r="J592" s="2" t="s">
        <v>69</v>
      </c>
      <c r="K592" s="2" t="s">
        <v>70</v>
      </c>
      <c r="L592" s="2">
        <v>0</v>
      </c>
      <c r="M592" s="2">
        <v>0</v>
      </c>
      <c r="N592" s="2">
        <v>0</v>
      </c>
      <c r="O592" s="2">
        <v>0</v>
      </c>
      <c r="P592" s="2" t="s">
        <v>125</v>
      </c>
      <c r="Q592" s="2">
        <v>0</v>
      </c>
      <c r="R592" s="29" t="e">
        <f>IF(INDEX(#REF!,MATCH('data '!$B592,#REF!,0),MATCH('data '!R$3,#REF!,0))=0,"",INDEX(#REF!,MATCH('data '!$B592,#REF!,0),MATCH('data '!R$3,#REF!,0)))</f>
        <v>#REF!</v>
      </c>
      <c r="S592" s="29" t="e">
        <f>IF(INDEX(#REF!,MATCH('data '!$B592,#REF!,0),MATCH('data '!S$3,#REF!,0))=0,"",INDEX(#REF!,MATCH('data '!$B592,#REF!,0),MATCH('data '!S$3,#REF!,0)))</f>
        <v>#REF!</v>
      </c>
      <c r="T592" s="29" t="e">
        <f>IF(INDEX(#REF!,MATCH('data '!$B592,#REF!,0),MATCH('data '!T$3,#REF!,0))=0,"",INDEX(#REF!,MATCH('data '!$B592,#REF!,0),MATCH('data '!T$3,#REF!,0)))</f>
        <v>#REF!</v>
      </c>
      <c r="V592" s="25" t="s">
        <v>82</v>
      </c>
      <c r="W592" s="25" t="s">
        <v>83</v>
      </c>
      <c r="AC592" s="8" t="e">
        <f>VLOOKUP(B592,#REF!,19,0)</f>
        <v>#REF!</v>
      </c>
      <c r="AP592" s="8" t="str">
        <f t="shared" si="26"/>
        <v>Not yet endorsed</v>
      </c>
      <c r="AQ592" s="10" t="b" cm="1">
        <f t="array" aca="1" ref="AQ592" ca="1">IF(AM592&gt;0,(TODAY()-AM592),IF(AL592&gt;0,(TODAY()-AL592),IF(AK592&gt;0,(TODAY()-AK592,IF(AI592&gt;0,(TODAY()-AI592),IF(AG592&gt;0,(TODAY()-AG592),IF(AF592&gt;0,(TODAY()-AF592),IF(X592&gt;0,(TODAY()-X592)," "))))))))</f>
        <v>0</v>
      </c>
      <c r="BD592" s="2" t="str">
        <f t="shared" si="27"/>
        <v>Not yet endorsed</v>
      </c>
      <c r="BE592" s="2" t="s">
        <v>75</v>
      </c>
      <c r="BG592" s="2" t="e">
        <v>#N/A</v>
      </c>
    </row>
    <row r="593" spans="2:59" hidden="1" x14ac:dyDescent="0.25">
      <c r="B593" s="2" t="s">
        <v>2743</v>
      </c>
      <c r="C593" s="2" t="s">
        <v>2744</v>
      </c>
      <c r="D593" s="44" t="s">
        <v>2745</v>
      </c>
      <c r="E593" s="2" t="s">
        <v>11</v>
      </c>
      <c r="F593" s="2">
        <v>0</v>
      </c>
      <c r="G593" s="2" t="s">
        <v>1</v>
      </c>
      <c r="H593" s="2" t="s">
        <v>67</v>
      </c>
      <c r="I593" s="2" t="s">
        <v>68</v>
      </c>
      <c r="J593" s="2" t="s">
        <v>80</v>
      </c>
      <c r="K593" s="2" t="s">
        <v>893</v>
      </c>
      <c r="L593" s="2" t="s">
        <v>1921</v>
      </c>
      <c r="M593" s="2" t="s">
        <v>745</v>
      </c>
      <c r="N593" s="2">
        <v>6.8353130000000002</v>
      </c>
      <c r="O593" s="2">
        <v>126.100472</v>
      </c>
      <c r="P593" s="2" t="s">
        <v>87</v>
      </c>
      <c r="Q593" s="2" t="s">
        <v>73</v>
      </c>
      <c r="R593" s="29" t="e">
        <f>IF(INDEX(#REF!,MATCH('data '!$B593,#REF!,0),MATCH('data '!R$3,#REF!,0))=0,"",INDEX(#REF!,MATCH('data '!$B593,#REF!,0),MATCH('data '!R$3,#REF!,0)))</f>
        <v>#REF!</v>
      </c>
      <c r="S593" s="29" t="e">
        <f>IF(INDEX(#REF!,MATCH('data '!$B593,#REF!,0),MATCH('data '!S$3,#REF!,0))=0,"",INDEX(#REF!,MATCH('data '!$B593,#REF!,0),MATCH('data '!S$3,#REF!,0)))</f>
        <v>#REF!</v>
      </c>
      <c r="T593" s="29" t="e">
        <f>IF(INDEX(#REF!,MATCH('data '!$B593,#REF!,0),MATCH('data '!T$3,#REF!,0))=0,"",INDEX(#REF!,MATCH('data '!$B593,#REF!,0),MATCH('data '!T$3,#REF!,0)))</f>
        <v>#REF!</v>
      </c>
      <c r="V593" s="25" t="s">
        <v>351</v>
      </c>
      <c r="W593" s="25" t="s">
        <v>144</v>
      </c>
      <c r="X593" s="43" t="s">
        <v>25</v>
      </c>
      <c r="Y593" s="43">
        <v>45884</v>
      </c>
      <c r="AC593" s="8" t="e">
        <f>VLOOKUP(B593,#REF!,19,0)</f>
        <v>#REF!</v>
      </c>
      <c r="AE593" s="8" t="s">
        <v>895</v>
      </c>
      <c r="AP593" s="8" t="str">
        <f t="shared" si="26"/>
        <v>BP Secured</v>
      </c>
      <c r="AQ593" s="10" t="b" cm="1">
        <f t="array" aca="1" ref="AQ593" ca="1">IF(AM593&gt;0,(TODAY()-AM593),IF(AL593&gt;0,(TODAY()-AL593),IF(AK593&gt;0,(TODAY()-AK593,IF(AI593&gt;0,(TODAY()-AI593),IF(AG593&gt;0,(TODAY()-AG593),IF(AF593&gt;0,(TODAY()-AF593),IF(X593&gt;0,(TODAY()-X593)," "))))))))</f>
        <v>0</v>
      </c>
      <c r="AT593" s="8">
        <v>45927</v>
      </c>
      <c r="AU593" s="8">
        <v>45927</v>
      </c>
      <c r="AV593" s="8">
        <v>45929</v>
      </c>
      <c r="AX593" s="8">
        <v>45932</v>
      </c>
      <c r="BD593" s="2" t="str">
        <f t="shared" si="27"/>
        <v>PO Issued</v>
      </c>
      <c r="BE593" s="2">
        <v>8</v>
      </c>
      <c r="BG593" s="2" t="e">
        <v>#N/A</v>
      </c>
    </row>
    <row r="594" spans="2:59" hidden="1" x14ac:dyDescent="0.25">
      <c r="B594" s="2" t="s">
        <v>2746</v>
      </c>
      <c r="C594" s="2" t="s">
        <v>2747</v>
      </c>
      <c r="D594" s="44" t="s">
        <v>2748</v>
      </c>
      <c r="E594" s="2" t="s">
        <v>11</v>
      </c>
      <c r="F594" s="2">
        <v>0</v>
      </c>
      <c r="G594" s="2" t="s">
        <v>1</v>
      </c>
      <c r="H594" s="2" t="s">
        <v>67</v>
      </c>
      <c r="I594" s="2" t="s">
        <v>68</v>
      </c>
      <c r="J594" s="2" t="s">
        <v>330</v>
      </c>
      <c r="K594" s="2" t="s">
        <v>331</v>
      </c>
      <c r="L594" s="2">
        <v>0</v>
      </c>
      <c r="M594" s="2">
        <v>0</v>
      </c>
      <c r="N594" s="2">
        <v>0</v>
      </c>
      <c r="O594" s="2">
        <v>0</v>
      </c>
      <c r="P594" s="2" t="s">
        <v>116</v>
      </c>
      <c r="Q594" s="2">
        <v>0</v>
      </c>
      <c r="R594" s="29" t="e">
        <f>IF(INDEX(#REF!,MATCH('data '!$B594,#REF!,0),MATCH('data '!R$3,#REF!,0))=0,"",INDEX(#REF!,MATCH('data '!$B594,#REF!,0),MATCH('data '!R$3,#REF!,0)))</f>
        <v>#REF!</v>
      </c>
      <c r="S594" s="29" t="e">
        <f>IF(INDEX(#REF!,MATCH('data '!$B594,#REF!,0),MATCH('data '!S$3,#REF!,0))=0,"",INDEX(#REF!,MATCH('data '!$B594,#REF!,0),MATCH('data '!S$3,#REF!,0)))</f>
        <v>#REF!</v>
      </c>
      <c r="T594" s="29" t="e">
        <f>IF(INDEX(#REF!,MATCH('data '!$B594,#REF!,0),MATCH('data '!T$3,#REF!,0))=0,"",INDEX(#REF!,MATCH('data '!$B594,#REF!,0),MATCH('data '!T$3,#REF!,0)))</f>
        <v>#REF!</v>
      </c>
      <c r="V594" s="25" t="s">
        <v>95</v>
      </c>
      <c r="W594" s="25">
        <v>0</v>
      </c>
      <c r="AC594" s="8" t="e">
        <f>VLOOKUP(B594,#REF!,19,0)</f>
        <v>#REF!</v>
      </c>
      <c r="AP594" s="8" t="str">
        <f t="shared" si="26"/>
        <v>Not yet endorsed</v>
      </c>
      <c r="AQ594" s="10" t="b" cm="1">
        <f t="array" aca="1" ref="AQ594" ca="1">IF(AM594&gt;0,(TODAY()-AM594),IF(AL594&gt;0,(TODAY()-AL594),IF(AK594&gt;0,(TODAY()-AK594,IF(AI594&gt;0,(TODAY()-AI594),IF(AG594&gt;0,(TODAY()-AG594),IF(AF594&gt;0,(TODAY()-AF594),IF(X594&gt;0,(TODAY()-X594)," "))))))))</f>
        <v>0</v>
      </c>
      <c r="BD594" s="2" t="str">
        <f t="shared" si="27"/>
        <v>Not yet endorsed</v>
      </c>
      <c r="BE594" s="2" t="s">
        <v>75</v>
      </c>
      <c r="BG594" s="2" t="e">
        <v>#N/A</v>
      </c>
    </row>
    <row r="595" spans="2:59" hidden="1" x14ac:dyDescent="0.25">
      <c r="B595" s="2" t="s">
        <v>2749</v>
      </c>
      <c r="C595" s="2" t="s">
        <v>2750</v>
      </c>
      <c r="D595" s="44" t="s">
        <v>2751</v>
      </c>
      <c r="E595" s="2" t="s">
        <v>11</v>
      </c>
      <c r="F595" s="2">
        <v>0</v>
      </c>
      <c r="G595" s="2" t="s">
        <v>1</v>
      </c>
      <c r="H595" s="2" t="s">
        <v>67</v>
      </c>
      <c r="I595" s="2" t="s">
        <v>68</v>
      </c>
      <c r="J595" s="2" t="s">
        <v>330</v>
      </c>
      <c r="K595" s="2" t="s">
        <v>331</v>
      </c>
      <c r="L595" s="2" t="s">
        <v>2752</v>
      </c>
      <c r="M595" s="2" t="s">
        <v>333</v>
      </c>
      <c r="N595" s="2">
        <v>7.1132090000000003</v>
      </c>
      <c r="O595" s="2">
        <v>125.15625</v>
      </c>
      <c r="P595" s="2" t="s">
        <v>87</v>
      </c>
      <c r="Q595" s="2" t="s">
        <v>265</v>
      </c>
      <c r="R595" s="29" t="e">
        <f>IF(INDEX(#REF!,MATCH('data '!$B595,#REF!,0),MATCH('data '!R$3,#REF!,0))=0,"",INDEX(#REF!,MATCH('data '!$B595,#REF!,0),MATCH('data '!R$3,#REF!,0)))</f>
        <v>#REF!</v>
      </c>
      <c r="S595" s="29" t="e">
        <f>IF(INDEX(#REF!,MATCH('data '!$B595,#REF!,0),MATCH('data '!S$3,#REF!,0))=0,"",INDEX(#REF!,MATCH('data '!$B595,#REF!,0),MATCH('data '!S$3,#REF!,0)))</f>
        <v>#REF!</v>
      </c>
      <c r="T595" s="29" t="e">
        <f>IF(INDEX(#REF!,MATCH('data '!$B595,#REF!,0),MATCH('data '!T$3,#REF!,0))=0,"",INDEX(#REF!,MATCH('data '!$B595,#REF!,0),MATCH('data '!T$3,#REF!,0)))</f>
        <v>#REF!</v>
      </c>
      <c r="V595" s="25" t="s">
        <v>185</v>
      </c>
      <c r="W595" s="25" t="s">
        <v>144</v>
      </c>
      <c r="X595" s="9" t="s">
        <v>25</v>
      </c>
      <c r="Y595" s="9">
        <v>45848</v>
      </c>
      <c r="AA595" s="8">
        <v>45817</v>
      </c>
      <c r="AC595" s="8" t="e">
        <f>VLOOKUP(B595,#REF!,19,0)</f>
        <v>#REF!</v>
      </c>
      <c r="AP595" s="8" t="str">
        <f t="shared" si="26"/>
        <v>BP Secured</v>
      </c>
      <c r="AQ595" s="10" t="b" cm="1">
        <f t="array" aca="1" ref="AQ595" ca="1">IF(AM595&gt;0,(TODAY()-AM595),IF(AL595&gt;0,(TODAY()-AL595),IF(AK595&gt;0,(TODAY()-AK595,IF(AI595&gt;0,(TODAY()-AI595),IF(AG595&gt;0,(TODAY()-AG595),IF(AF595&gt;0,(TODAY()-AF595),IF(X595&gt;0,(TODAY()-X595)," "))))))))</f>
        <v>0</v>
      </c>
      <c r="BD595" s="2" t="str">
        <f t="shared" si="27"/>
        <v>BP Secured</v>
      </c>
      <c r="BE595" s="2" t="e">
        <v>#VALUE!</v>
      </c>
      <c r="BG595" s="2" t="e">
        <v>#N/A</v>
      </c>
    </row>
    <row r="596" spans="2:59" hidden="1" x14ac:dyDescent="0.25">
      <c r="B596" s="2" t="s">
        <v>2753</v>
      </c>
      <c r="C596" s="2" t="s">
        <v>2754</v>
      </c>
      <c r="D596" s="44" t="s">
        <v>2755</v>
      </c>
      <c r="E596" s="2" t="s">
        <v>11</v>
      </c>
      <c r="F596" s="2">
        <v>0</v>
      </c>
      <c r="G596" s="2" t="s">
        <v>1</v>
      </c>
      <c r="H596" s="2" t="s">
        <v>67</v>
      </c>
      <c r="I596" s="2" t="s">
        <v>68</v>
      </c>
      <c r="J596" s="2" t="s">
        <v>330</v>
      </c>
      <c r="K596" s="2" t="s">
        <v>331</v>
      </c>
      <c r="L596" s="2" t="s">
        <v>2756</v>
      </c>
      <c r="M596" s="2" t="s">
        <v>2757</v>
      </c>
      <c r="N596" s="2">
        <v>7.388852</v>
      </c>
      <c r="O596" s="2">
        <v>124.645889</v>
      </c>
      <c r="P596" s="2" t="s">
        <v>87</v>
      </c>
      <c r="Q596" s="2" t="s">
        <v>184</v>
      </c>
      <c r="R596" s="29" t="e">
        <f>IF(INDEX(#REF!,MATCH('data '!$B596,#REF!,0),MATCH('data '!R$3,#REF!,0))=0,"",INDEX(#REF!,MATCH('data '!$B596,#REF!,0),MATCH('data '!R$3,#REF!,0)))</f>
        <v>#REF!</v>
      </c>
      <c r="S596" s="29" t="e">
        <f>IF(INDEX(#REF!,MATCH('data '!$B596,#REF!,0),MATCH('data '!S$3,#REF!,0))=0,"",INDEX(#REF!,MATCH('data '!$B596,#REF!,0),MATCH('data '!S$3,#REF!,0)))</f>
        <v>#REF!</v>
      </c>
      <c r="T596" s="29" t="e">
        <f>IF(INDEX(#REF!,MATCH('data '!$B596,#REF!,0),MATCH('data '!T$3,#REF!,0))=0,"",INDEX(#REF!,MATCH('data '!$B596,#REF!,0),MATCH('data '!T$3,#REF!,0)))</f>
        <v>#REF!</v>
      </c>
      <c r="U596" s="8" t="s">
        <v>25</v>
      </c>
      <c r="V596" s="25" t="s">
        <v>266</v>
      </c>
      <c r="W596" s="25" t="s">
        <v>144</v>
      </c>
      <c r="X596" s="9" t="s">
        <v>25</v>
      </c>
      <c r="Y596" s="9">
        <v>45730</v>
      </c>
      <c r="AA596" s="8">
        <v>45935</v>
      </c>
      <c r="AC596" s="8" t="e">
        <f>VLOOKUP(B596,#REF!,19,0)</f>
        <v>#REF!</v>
      </c>
      <c r="AE596" s="8" t="s">
        <v>1178</v>
      </c>
      <c r="AP596" s="8" t="str">
        <f t="shared" si="26"/>
        <v>BP Secured</v>
      </c>
      <c r="AQ596" s="10" t="b" cm="1">
        <f t="array" aca="1" ref="AQ596" ca="1">IF(AM596&gt;0,(TODAY()-AM596),IF(AL596&gt;0,(TODAY()-AL596),IF(AK596&gt;0,(TODAY()-AK596,IF(AI596&gt;0,(TODAY()-AI596),IF(AG596&gt;0,(TODAY()-AG596),IF(AF596&gt;0,(TODAY()-AF596),IF(X596&gt;0,(TODAY()-X596)," "))))))))</f>
        <v>0</v>
      </c>
      <c r="AT596" s="8" t="s">
        <v>155</v>
      </c>
      <c r="AU596" s="8">
        <v>45812</v>
      </c>
      <c r="AV596" s="8">
        <v>45812</v>
      </c>
      <c r="AX596" s="8">
        <v>45815</v>
      </c>
      <c r="BD596" s="2" t="str">
        <f t="shared" si="27"/>
        <v>PO Issued</v>
      </c>
      <c r="BE596" s="2">
        <v>125</v>
      </c>
      <c r="BG596" s="2" t="e">
        <v>#N/A</v>
      </c>
    </row>
    <row r="597" spans="2:59" hidden="1" x14ac:dyDescent="0.25">
      <c r="B597" s="2" t="s">
        <v>2758</v>
      </c>
      <c r="C597" s="2" t="s">
        <v>2759</v>
      </c>
      <c r="D597" s="44" t="s">
        <v>2760</v>
      </c>
      <c r="E597" s="2" t="s">
        <v>11</v>
      </c>
      <c r="F597" s="2">
        <v>0</v>
      </c>
      <c r="G597" s="2" t="s">
        <v>1</v>
      </c>
      <c r="H597" s="2" t="s">
        <v>67</v>
      </c>
      <c r="I597" s="2" t="s">
        <v>68</v>
      </c>
      <c r="J597" s="2" t="s">
        <v>330</v>
      </c>
      <c r="K597" s="2" t="s">
        <v>331</v>
      </c>
      <c r="L597" s="2">
        <v>0</v>
      </c>
      <c r="M597" s="2">
        <v>0</v>
      </c>
      <c r="N597" s="2">
        <v>0</v>
      </c>
      <c r="O597" s="2">
        <v>0</v>
      </c>
      <c r="P597" s="2" t="s">
        <v>87</v>
      </c>
      <c r="Q597" s="2">
        <v>0</v>
      </c>
      <c r="R597" s="29" t="e">
        <f>IF(INDEX(#REF!,MATCH('data '!$B597,#REF!,0),MATCH('data '!R$3,#REF!,0))=0,"",INDEX(#REF!,MATCH('data '!$B597,#REF!,0),MATCH('data '!R$3,#REF!,0)))</f>
        <v>#REF!</v>
      </c>
      <c r="S597" s="29" t="e">
        <f>IF(INDEX(#REF!,MATCH('data '!$B597,#REF!,0),MATCH('data '!S$3,#REF!,0))=0,"",INDEX(#REF!,MATCH('data '!$B597,#REF!,0),MATCH('data '!S$3,#REF!,0)))</f>
        <v>#REF!</v>
      </c>
      <c r="T597" s="29" t="e">
        <f>IF(INDEX(#REF!,MATCH('data '!$B597,#REF!,0),MATCH('data '!T$3,#REF!,0))=0,"",INDEX(#REF!,MATCH('data '!$B597,#REF!,0),MATCH('data '!T$3,#REF!,0)))</f>
        <v>#REF!</v>
      </c>
      <c r="V597" s="25" t="s">
        <v>160</v>
      </c>
      <c r="W597" s="25" t="s">
        <v>144</v>
      </c>
      <c r="X597" s="43" t="s">
        <v>25</v>
      </c>
      <c r="Y597" s="43">
        <v>45934</v>
      </c>
      <c r="AC597" s="8" t="e">
        <f>VLOOKUP(B597,#REF!,19,0)</f>
        <v>#REF!</v>
      </c>
      <c r="AP597" s="8" t="str">
        <f t="shared" si="26"/>
        <v>BP Secured</v>
      </c>
      <c r="AQ597" s="10" t="b" cm="1">
        <f t="array" aca="1" ref="AQ597" ca="1">IF(AM597&gt;0,(TODAY()-AM597),IF(AL597&gt;0,(TODAY()-AL597),IF(AK597&gt;0,(TODAY()-AK597,IF(AI597&gt;0,(TODAY()-AI597),IF(AG597&gt;0,(TODAY()-AG597),IF(AF597&gt;0,(TODAY()-AF597),IF(X597&gt;0,(TODAY()-X597)," "))))))))</f>
        <v>0</v>
      </c>
      <c r="BD597" s="2" t="str">
        <f t="shared" si="27"/>
        <v>BP Secured</v>
      </c>
      <c r="BE597" s="2" t="e">
        <v>#VALUE!</v>
      </c>
      <c r="BG597" s="2" t="e">
        <v>#N/A</v>
      </c>
    </row>
    <row r="598" spans="2:59" hidden="1" x14ac:dyDescent="0.25">
      <c r="B598" s="2" t="s">
        <v>2761</v>
      </c>
      <c r="C598" s="2" t="s">
        <v>2762</v>
      </c>
      <c r="D598" s="44" t="s">
        <v>2763</v>
      </c>
      <c r="E598" s="2" t="s">
        <v>11</v>
      </c>
      <c r="F598" s="2">
        <v>0</v>
      </c>
      <c r="G598" s="2" t="s">
        <v>1</v>
      </c>
      <c r="H598" s="2" t="s">
        <v>67</v>
      </c>
      <c r="I598" s="2" t="s">
        <v>68</v>
      </c>
      <c r="J598" s="2" t="s">
        <v>330</v>
      </c>
      <c r="K598" s="2" t="s">
        <v>331</v>
      </c>
      <c r="L598" s="2" t="s">
        <v>2764</v>
      </c>
      <c r="M598" s="2">
        <v>0</v>
      </c>
      <c r="N598" s="2">
        <v>7.1219251000000003</v>
      </c>
      <c r="O598" s="2">
        <v>124.9249329</v>
      </c>
      <c r="P598" s="2" t="s">
        <v>87</v>
      </c>
      <c r="Q598" s="2" t="s">
        <v>198</v>
      </c>
      <c r="R598" s="29" t="e">
        <f>IF(INDEX(#REF!,MATCH('data '!$B598,#REF!,0),MATCH('data '!R$3,#REF!,0))=0,"",INDEX(#REF!,MATCH('data '!$B598,#REF!,0),MATCH('data '!R$3,#REF!,0)))</f>
        <v>#REF!</v>
      </c>
      <c r="S598" s="29" t="e">
        <f>IF(INDEX(#REF!,MATCH('data '!$B598,#REF!,0),MATCH('data '!S$3,#REF!,0))=0,"",INDEX(#REF!,MATCH('data '!$B598,#REF!,0),MATCH('data '!S$3,#REF!,0)))</f>
        <v>#REF!</v>
      </c>
      <c r="T598" s="29" t="e">
        <f>IF(INDEX(#REF!,MATCH('data '!$B598,#REF!,0),MATCH('data '!T$3,#REF!,0))=0,"",INDEX(#REF!,MATCH('data '!$B598,#REF!,0),MATCH('data '!T$3,#REF!,0)))</f>
        <v>#REF!</v>
      </c>
      <c r="V598" s="25" t="s">
        <v>185</v>
      </c>
      <c r="W598" s="25" t="s">
        <v>144</v>
      </c>
      <c r="X598" s="43" t="s">
        <v>25</v>
      </c>
      <c r="Y598" s="43">
        <v>45863</v>
      </c>
      <c r="Z598" s="8">
        <v>45969</v>
      </c>
      <c r="AC598" s="8" t="e">
        <f>VLOOKUP(B598,#REF!,19,0)</f>
        <v>#REF!</v>
      </c>
      <c r="AP598" s="8" t="str">
        <f t="shared" si="26"/>
        <v>BP Secured</v>
      </c>
      <c r="AQ598" s="10" t="b" cm="1">
        <f t="array" aca="1" ref="AQ598" ca="1">IF(AM598&gt;0,(TODAY()-AM598),IF(AL598&gt;0,(TODAY()-AL598),IF(AK598&gt;0,(TODAY()-AK598,IF(AI598&gt;0,(TODAY()-AI598),IF(AG598&gt;0,(TODAY()-AG598),IF(AF598&gt;0,(TODAY()-AF598),IF(X598&gt;0,(TODAY()-X598)," "))))))))</f>
        <v>0</v>
      </c>
      <c r="BD598" s="2" t="str">
        <f t="shared" si="27"/>
        <v>BP Secured</v>
      </c>
      <c r="BE598" s="2" t="e">
        <v>#VALUE!</v>
      </c>
      <c r="BG598" s="2" t="e">
        <v>#N/A</v>
      </c>
    </row>
    <row r="599" spans="2:59" hidden="1" x14ac:dyDescent="0.25">
      <c r="B599" s="2" t="s">
        <v>2765</v>
      </c>
      <c r="C599" s="2" t="s">
        <v>2766</v>
      </c>
      <c r="D599" s="44" t="s">
        <v>2767</v>
      </c>
      <c r="E599" s="2" t="s">
        <v>11</v>
      </c>
      <c r="F599" s="2">
        <v>0</v>
      </c>
      <c r="G599" s="2" t="s">
        <v>1</v>
      </c>
      <c r="H599" s="2" t="s">
        <v>67</v>
      </c>
      <c r="I599" s="2" t="s">
        <v>68</v>
      </c>
      <c r="J599" s="2" t="s">
        <v>330</v>
      </c>
      <c r="K599" s="2" t="s">
        <v>331</v>
      </c>
      <c r="L599" s="2" t="s">
        <v>2764</v>
      </c>
      <c r="M599" s="2" t="s">
        <v>2768</v>
      </c>
      <c r="N599" s="2">
        <v>7.0415539999999996</v>
      </c>
      <c r="O599" s="2">
        <v>124.897576</v>
      </c>
      <c r="P599" s="2" t="s">
        <v>87</v>
      </c>
      <c r="Q599" s="2" t="s">
        <v>265</v>
      </c>
      <c r="R599" s="29" t="e">
        <f>IF(INDEX(#REF!,MATCH('data '!$B599,#REF!,0),MATCH('data '!R$3,#REF!,0))=0,"",INDEX(#REF!,MATCH('data '!$B599,#REF!,0),MATCH('data '!R$3,#REF!,0)))</f>
        <v>#REF!</v>
      </c>
      <c r="S599" s="29" t="e">
        <f>IF(INDEX(#REF!,MATCH('data '!$B599,#REF!,0),MATCH('data '!S$3,#REF!,0))=0,"",INDEX(#REF!,MATCH('data '!$B599,#REF!,0),MATCH('data '!S$3,#REF!,0)))</f>
        <v>#REF!</v>
      </c>
      <c r="T599" s="29" t="e">
        <f>IF(INDEX(#REF!,MATCH('data '!$B599,#REF!,0),MATCH('data '!T$3,#REF!,0))=0,"",INDEX(#REF!,MATCH('data '!$B599,#REF!,0),MATCH('data '!T$3,#REF!,0)))</f>
        <v>#REF!</v>
      </c>
      <c r="V599" s="25" t="s">
        <v>266</v>
      </c>
      <c r="W599" s="25" t="s">
        <v>144</v>
      </c>
      <c r="X599" s="43" t="s">
        <v>25</v>
      </c>
      <c r="Y599" s="43">
        <v>45835</v>
      </c>
      <c r="AA599" s="8" t="s">
        <v>2549</v>
      </c>
      <c r="AC599" s="8" t="e">
        <f>VLOOKUP(B599,#REF!,19,0)</f>
        <v>#REF!</v>
      </c>
      <c r="AP599" s="8" t="str">
        <f t="shared" si="26"/>
        <v>BP Secured</v>
      </c>
      <c r="AQ599" s="10" t="b" cm="1">
        <f t="array" aca="1" ref="AQ599" ca="1">IF(AM599&gt;0,(TODAY()-AM599),IF(AL599&gt;0,(TODAY()-AL599),IF(AK599&gt;0,(TODAY()-AK599,IF(AI599&gt;0,(TODAY()-AI599),IF(AG599&gt;0,(TODAY()-AG599),IF(AF599&gt;0,(TODAY()-AF599),IF(X599&gt;0,(TODAY()-X599)," "))))))))</f>
        <v>0</v>
      </c>
      <c r="BD599" s="2" t="str">
        <f t="shared" si="27"/>
        <v>BP Secured</v>
      </c>
      <c r="BE599" s="2" t="e">
        <v>#VALUE!</v>
      </c>
      <c r="BG599" s="2" t="e">
        <v>#N/A</v>
      </c>
    </row>
    <row r="600" spans="2:59" hidden="1" x14ac:dyDescent="0.25">
      <c r="B600" s="2" t="s">
        <v>2769</v>
      </c>
      <c r="C600" s="2" t="s">
        <v>2770</v>
      </c>
      <c r="D600" s="44" t="s">
        <v>2771</v>
      </c>
      <c r="E600" s="2" t="s">
        <v>11</v>
      </c>
      <c r="F600" s="2">
        <v>0</v>
      </c>
      <c r="G600" s="2" t="s">
        <v>1</v>
      </c>
      <c r="H600" s="2" t="s">
        <v>67</v>
      </c>
      <c r="I600" s="2" t="s">
        <v>68</v>
      </c>
      <c r="J600" s="2" t="s">
        <v>330</v>
      </c>
      <c r="K600" s="2" t="s">
        <v>331</v>
      </c>
      <c r="L600" s="2" t="s">
        <v>2772</v>
      </c>
      <c r="M600" s="2">
        <v>0</v>
      </c>
      <c r="N600" s="2">
        <v>6.9553450000000003</v>
      </c>
      <c r="O600" s="2">
        <v>125.06017</v>
      </c>
      <c r="P600" s="2" t="s">
        <v>87</v>
      </c>
      <c r="Q600" s="2" t="s">
        <v>198</v>
      </c>
      <c r="R600" s="29" t="e">
        <f>IF(INDEX(#REF!,MATCH('data '!$B600,#REF!,0),MATCH('data '!R$3,#REF!,0))=0,"",INDEX(#REF!,MATCH('data '!$B600,#REF!,0),MATCH('data '!R$3,#REF!,0)))</f>
        <v>#REF!</v>
      </c>
      <c r="S600" s="29" t="e">
        <f>IF(INDEX(#REF!,MATCH('data '!$B600,#REF!,0),MATCH('data '!S$3,#REF!,0))=0,"",INDEX(#REF!,MATCH('data '!$B600,#REF!,0),MATCH('data '!S$3,#REF!,0)))</f>
        <v>#REF!</v>
      </c>
      <c r="T600" s="29" t="e">
        <f>IF(INDEX(#REF!,MATCH('data '!$B600,#REF!,0),MATCH('data '!T$3,#REF!,0))=0,"",INDEX(#REF!,MATCH('data '!$B600,#REF!,0),MATCH('data '!T$3,#REF!,0)))</f>
        <v>#REF!</v>
      </c>
      <c r="U600" s="8" t="s">
        <v>25</v>
      </c>
      <c r="V600" s="25" t="s">
        <v>185</v>
      </c>
      <c r="W600" s="25" t="s">
        <v>144</v>
      </c>
      <c r="X600" s="43" t="s">
        <v>25</v>
      </c>
      <c r="Y600" s="43">
        <v>45813</v>
      </c>
      <c r="Z600" s="8">
        <v>45907</v>
      </c>
      <c r="AC600" s="8" t="e">
        <f>VLOOKUP(B600,#REF!,19,0)</f>
        <v>#REF!</v>
      </c>
      <c r="AE600" s="8" t="s">
        <v>307</v>
      </c>
      <c r="AP600" s="8" t="str">
        <f t="shared" si="26"/>
        <v>BP Secured</v>
      </c>
      <c r="AQ600" s="10" t="b" cm="1">
        <f t="array" aca="1" ref="AQ600" ca="1">IF(AM600&gt;0,(TODAY()-AM600),IF(AL600&gt;0,(TODAY()-AL600),IF(AK600&gt;0,(TODAY()-AK600,IF(AI600&gt;0,(TODAY()-AI600),IF(AG600&gt;0,(TODAY()-AG600),IF(AF600&gt;0,(TODAY()-AF600),IF(X600&gt;0,(TODAY()-X600)," "))))))))</f>
        <v>0</v>
      </c>
      <c r="AT600" s="8" t="s">
        <v>155</v>
      </c>
      <c r="AU600" s="8">
        <v>45868</v>
      </c>
      <c r="AV600" s="8">
        <v>45867</v>
      </c>
      <c r="AX600" s="8">
        <v>45870</v>
      </c>
      <c r="BD600" s="2" t="str">
        <f t="shared" si="27"/>
        <v>PO Issued</v>
      </c>
      <c r="BE600" s="2">
        <v>70</v>
      </c>
      <c r="BG600" s="2" t="e">
        <v>#N/A</v>
      </c>
    </row>
    <row r="601" spans="2:59" hidden="1" x14ac:dyDescent="0.25">
      <c r="B601" s="2" t="s">
        <v>2773</v>
      </c>
      <c r="C601" s="2" t="s">
        <v>2774</v>
      </c>
      <c r="D601" s="44" t="s">
        <v>2775</v>
      </c>
      <c r="E601" s="2" t="s">
        <v>11</v>
      </c>
      <c r="F601" s="2" t="s">
        <v>597</v>
      </c>
      <c r="G601" s="2" t="s">
        <v>1</v>
      </c>
      <c r="H601" s="2" t="s">
        <v>165</v>
      </c>
      <c r="I601" s="2" t="s">
        <v>68</v>
      </c>
      <c r="J601" s="2" t="s">
        <v>239</v>
      </c>
      <c r="K601" s="2" t="s">
        <v>598</v>
      </c>
      <c r="L601" s="2" t="s">
        <v>2548</v>
      </c>
      <c r="M601" s="2">
        <v>0</v>
      </c>
      <c r="N601" s="2">
        <v>9.0587999999999997</v>
      </c>
      <c r="O601" s="2">
        <v>125.533</v>
      </c>
      <c r="P601" s="2" t="s">
        <v>87</v>
      </c>
      <c r="Q601" s="2" t="s">
        <v>184</v>
      </c>
      <c r="R601" s="29" t="e">
        <f>IF(INDEX(#REF!,MATCH('data '!$B601,#REF!,0),MATCH('data '!R$3,#REF!,0))=0,"",INDEX(#REF!,MATCH('data '!$B601,#REF!,0),MATCH('data '!R$3,#REF!,0)))</f>
        <v>#REF!</v>
      </c>
      <c r="S601" s="29" t="e">
        <f>IF(INDEX(#REF!,MATCH('data '!$B601,#REF!,0),MATCH('data '!S$3,#REF!,0))=0,"",INDEX(#REF!,MATCH('data '!$B601,#REF!,0),MATCH('data '!S$3,#REF!,0)))</f>
        <v>#REF!</v>
      </c>
      <c r="T601" s="29" t="e">
        <f>IF(INDEX(#REF!,MATCH('data '!$B601,#REF!,0),MATCH('data '!T$3,#REF!,0))=0,"",INDEX(#REF!,MATCH('data '!$B601,#REF!,0),MATCH('data '!T$3,#REF!,0)))</f>
        <v>#REF!</v>
      </c>
      <c r="U601" s="8" t="s">
        <v>25</v>
      </c>
      <c r="V601" s="25" t="s">
        <v>266</v>
      </c>
      <c r="W601" s="25" t="s">
        <v>144</v>
      </c>
      <c r="X601" s="43" t="s">
        <v>25</v>
      </c>
      <c r="Y601" s="43">
        <v>45754</v>
      </c>
      <c r="Z601" s="8">
        <v>45873</v>
      </c>
      <c r="AA601" s="8" t="s">
        <v>2776</v>
      </c>
      <c r="AC601" s="8" t="e">
        <f>VLOOKUP(B601,#REF!,19,0)</f>
        <v>#REF!</v>
      </c>
      <c r="AE601" s="8" t="s">
        <v>1178</v>
      </c>
      <c r="AP601" s="8" t="str">
        <f t="shared" si="26"/>
        <v>BP Secured</v>
      </c>
      <c r="AQ601" s="10" t="b" cm="1">
        <f t="array" aca="1" ref="AQ601" ca="1">IF(AM601&gt;0,(TODAY()-AM601),IF(AL601&gt;0,(TODAY()-AL601),IF(AK601&gt;0,(TODAY()-AK601,IF(AI601&gt;0,(TODAY()-AI601),IF(AG601&gt;0,(TODAY()-AG601),IF(AF601&gt;0,(TODAY()-AF601),IF(X601&gt;0,(TODAY()-X601)," "))))))))</f>
        <v>0</v>
      </c>
      <c r="AT601" s="8" t="s">
        <v>155</v>
      </c>
      <c r="AU601" s="8">
        <v>45802</v>
      </c>
      <c r="AV601" s="8">
        <v>45800</v>
      </c>
      <c r="AX601" s="8">
        <v>45803</v>
      </c>
      <c r="BD601" s="2" t="str">
        <f t="shared" si="27"/>
        <v>PO Issued</v>
      </c>
      <c r="BE601" s="2">
        <v>137</v>
      </c>
      <c r="BG601" s="2" t="e">
        <v>#N/A</v>
      </c>
    </row>
    <row r="602" spans="2:59" hidden="1" x14ac:dyDescent="0.25">
      <c r="B602" s="2" t="s">
        <v>2777</v>
      </c>
      <c r="C602" s="2" t="s">
        <v>2778</v>
      </c>
      <c r="D602" s="44" t="s">
        <v>2779</v>
      </c>
      <c r="E602" s="2" t="s">
        <v>11</v>
      </c>
      <c r="F602" s="2" t="s">
        <v>597</v>
      </c>
      <c r="G602" s="2" t="s">
        <v>1</v>
      </c>
      <c r="H602" s="2" t="s">
        <v>165</v>
      </c>
      <c r="I602" s="2" t="s">
        <v>68</v>
      </c>
      <c r="J602" s="2" t="s">
        <v>239</v>
      </c>
      <c r="K602" s="2" t="s">
        <v>598</v>
      </c>
      <c r="L602" s="2" t="s">
        <v>2780</v>
      </c>
      <c r="M602" s="2">
        <v>0</v>
      </c>
      <c r="N602" s="2">
        <v>9.0657945899999994</v>
      </c>
      <c r="O602" s="2">
        <v>125.579459</v>
      </c>
      <c r="P602" s="2" t="s">
        <v>87</v>
      </c>
      <c r="Q602" s="2" t="s">
        <v>184</v>
      </c>
      <c r="R602" s="29" t="e">
        <f>IF(INDEX(#REF!,MATCH('data '!$B602,#REF!,0),MATCH('data '!R$3,#REF!,0))=0,"",INDEX(#REF!,MATCH('data '!$B602,#REF!,0),MATCH('data '!R$3,#REF!,0)))</f>
        <v>#REF!</v>
      </c>
      <c r="S602" s="29" t="e">
        <f>IF(INDEX(#REF!,MATCH('data '!$B602,#REF!,0),MATCH('data '!S$3,#REF!,0))=0,"",INDEX(#REF!,MATCH('data '!$B602,#REF!,0),MATCH('data '!S$3,#REF!,0)))</f>
        <v>#REF!</v>
      </c>
      <c r="T602" s="29" t="e">
        <f>IF(INDEX(#REF!,MATCH('data '!$B602,#REF!,0),MATCH('data '!T$3,#REF!,0))=0,"",INDEX(#REF!,MATCH('data '!$B602,#REF!,0),MATCH('data '!T$3,#REF!,0)))</f>
        <v>#REF!</v>
      </c>
      <c r="U602" s="8" t="s">
        <v>25</v>
      </c>
      <c r="V602" s="25" t="s">
        <v>266</v>
      </c>
      <c r="W602" s="25" t="s">
        <v>144</v>
      </c>
      <c r="X602" s="43" t="s">
        <v>25</v>
      </c>
      <c r="Y602" s="43">
        <v>45803</v>
      </c>
      <c r="AA602" s="8" t="s">
        <v>2402</v>
      </c>
      <c r="AC602" s="8" t="e">
        <f>VLOOKUP(B602,#REF!,19,0)</f>
        <v>#REF!</v>
      </c>
      <c r="AE602" s="8" t="s">
        <v>497</v>
      </c>
      <c r="AP602" s="8" t="str">
        <f t="shared" si="26"/>
        <v>BP Secured</v>
      </c>
      <c r="AQ602" s="10" t="b" cm="1">
        <f t="array" aca="1" ref="AQ602" ca="1">IF(AM602&gt;0,(TODAY()-AM602),IF(AL602&gt;0,(TODAY()-AL602),IF(AK602&gt;0,(TODAY()-AK602,IF(AI602&gt;0,(TODAY()-AI602),IF(AG602&gt;0,(TODAY()-AG602),IF(AF602&gt;0,(TODAY()-AF602),IF(X602&gt;0,(TODAY()-X602)," "))))))))</f>
        <v>0</v>
      </c>
      <c r="AT602" s="8" t="s">
        <v>155</v>
      </c>
      <c r="AU602" s="8">
        <v>45852</v>
      </c>
      <c r="AV602" s="8">
        <v>45852</v>
      </c>
      <c r="AX602" s="8">
        <v>45855</v>
      </c>
      <c r="BD602" s="2" t="str">
        <f t="shared" si="27"/>
        <v>PO Issued</v>
      </c>
      <c r="BE602" s="2">
        <v>85</v>
      </c>
      <c r="BG602" s="2" t="e">
        <v>#N/A</v>
      </c>
    </row>
    <row r="603" spans="2:59" hidden="1" x14ac:dyDescent="0.25">
      <c r="B603" s="2" t="s">
        <v>2781</v>
      </c>
      <c r="C603" s="2" t="s">
        <v>2782</v>
      </c>
      <c r="D603" s="44" t="s">
        <v>2783</v>
      </c>
      <c r="E603" s="2" t="s">
        <v>11</v>
      </c>
      <c r="F603" s="2" t="s">
        <v>597</v>
      </c>
      <c r="G603" s="2" t="s">
        <v>1</v>
      </c>
      <c r="H603" s="2" t="s">
        <v>165</v>
      </c>
      <c r="I603" s="2" t="s">
        <v>68</v>
      </c>
      <c r="J603" s="2" t="s">
        <v>239</v>
      </c>
      <c r="K603" s="2" t="s">
        <v>598</v>
      </c>
      <c r="L603" s="2" t="s">
        <v>2784</v>
      </c>
      <c r="M603" s="2">
        <v>0</v>
      </c>
      <c r="N603" s="2">
        <v>9.1341999999999999</v>
      </c>
      <c r="O603" s="2">
        <v>125.5569</v>
      </c>
      <c r="P603" s="2" t="s">
        <v>87</v>
      </c>
      <c r="Q603" s="2" t="s">
        <v>265</v>
      </c>
      <c r="R603" s="29" t="e">
        <f>IF(INDEX(#REF!,MATCH('data '!$B603,#REF!,0),MATCH('data '!R$3,#REF!,0))=0,"",INDEX(#REF!,MATCH('data '!$B603,#REF!,0),MATCH('data '!R$3,#REF!,0)))</f>
        <v>#REF!</v>
      </c>
      <c r="S603" s="29" t="e">
        <f>IF(INDEX(#REF!,MATCH('data '!$B603,#REF!,0),MATCH('data '!S$3,#REF!,0))=0,"",INDEX(#REF!,MATCH('data '!$B603,#REF!,0),MATCH('data '!S$3,#REF!,0)))</f>
        <v>#REF!</v>
      </c>
      <c r="T603" s="29" t="e">
        <f>IF(INDEX(#REF!,MATCH('data '!$B603,#REF!,0),MATCH('data '!T$3,#REF!,0))=0,"",INDEX(#REF!,MATCH('data '!$B603,#REF!,0),MATCH('data '!T$3,#REF!,0)))</f>
        <v>#REF!</v>
      </c>
      <c r="U603" s="8" t="s">
        <v>25</v>
      </c>
      <c r="V603" s="25" t="s">
        <v>160</v>
      </c>
      <c r="W603" s="25" t="s">
        <v>144</v>
      </c>
      <c r="X603" s="43" t="s">
        <v>25</v>
      </c>
      <c r="Y603" s="43">
        <v>45878</v>
      </c>
      <c r="AA603" s="8" t="s">
        <v>1466</v>
      </c>
      <c r="AC603" s="8" t="e">
        <f>VLOOKUP(B603,#REF!,19,0)</f>
        <v>#REF!</v>
      </c>
      <c r="AP603" s="8" t="str">
        <f t="shared" si="26"/>
        <v>BP Secured</v>
      </c>
      <c r="AQ603" s="10" t="b" cm="1">
        <f t="array" aca="1" ref="AQ603" ca="1">IF(AM603&gt;0,(TODAY()-AM603),IF(AL603&gt;0,(TODAY()-AL603),IF(AK603&gt;0,(TODAY()-AK603,IF(AI603&gt;0,(TODAY()-AI603),IF(AG603&gt;0,(TODAY()-AG603),IF(AF603&gt;0,(TODAY()-AF603),IF(X603&gt;0,(TODAY()-X603)," "))))))))</f>
        <v>0</v>
      </c>
      <c r="BD603" s="2" t="str">
        <f t="shared" si="27"/>
        <v>BP Secured</v>
      </c>
      <c r="BE603" s="2" t="e">
        <v>#VALUE!</v>
      </c>
      <c r="BG603" s="2" t="e">
        <v>#N/A</v>
      </c>
    </row>
    <row r="604" spans="2:59" hidden="1" x14ac:dyDescent="0.25">
      <c r="B604" s="2" t="s">
        <v>2785</v>
      </c>
      <c r="C604" s="2" t="s">
        <v>2786</v>
      </c>
      <c r="D604" s="44" t="s">
        <v>2787</v>
      </c>
      <c r="E604" s="2" t="s">
        <v>11</v>
      </c>
      <c r="F604" s="2" t="s">
        <v>597</v>
      </c>
      <c r="G604" s="2" t="s">
        <v>1</v>
      </c>
      <c r="H604" s="2" t="s">
        <v>165</v>
      </c>
      <c r="I604" s="2" t="s">
        <v>68</v>
      </c>
      <c r="J604" s="2" t="s">
        <v>239</v>
      </c>
      <c r="K604" s="2" t="s">
        <v>598</v>
      </c>
      <c r="L604" s="2" t="s">
        <v>2784</v>
      </c>
      <c r="M604" s="2">
        <v>0</v>
      </c>
      <c r="N604" s="2">
        <v>9.11</v>
      </c>
      <c r="O604" s="2">
        <v>125.5296</v>
      </c>
      <c r="P604" s="2" t="s">
        <v>87</v>
      </c>
      <c r="Q604" s="2" t="s">
        <v>314</v>
      </c>
      <c r="R604" s="29" t="e">
        <f>IF(INDEX(#REF!,MATCH('data '!$B604,#REF!,0),MATCH('data '!R$3,#REF!,0))=0,"",INDEX(#REF!,MATCH('data '!$B604,#REF!,0),MATCH('data '!R$3,#REF!,0)))</f>
        <v>#REF!</v>
      </c>
      <c r="S604" s="29" t="e">
        <f>IF(INDEX(#REF!,MATCH('data '!$B604,#REF!,0),MATCH('data '!S$3,#REF!,0))=0,"",INDEX(#REF!,MATCH('data '!$B604,#REF!,0),MATCH('data '!S$3,#REF!,0)))</f>
        <v>#REF!</v>
      </c>
      <c r="T604" s="29" t="e">
        <f>IF(INDEX(#REF!,MATCH('data '!$B604,#REF!,0),MATCH('data '!T$3,#REF!,0))=0,"",INDEX(#REF!,MATCH('data '!$B604,#REF!,0),MATCH('data '!T$3,#REF!,0)))</f>
        <v>#REF!</v>
      </c>
      <c r="U604" s="8" t="s">
        <v>25</v>
      </c>
      <c r="V604" s="25" t="s">
        <v>160</v>
      </c>
      <c r="W604" s="25" t="s">
        <v>144</v>
      </c>
      <c r="X604" s="43" t="s">
        <v>25</v>
      </c>
      <c r="Y604" s="43">
        <v>45859</v>
      </c>
      <c r="AC604" s="8" t="e">
        <f>VLOOKUP(B604,#REF!,19,0)</f>
        <v>#REF!</v>
      </c>
      <c r="AP604" s="8" t="str">
        <f t="shared" si="26"/>
        <v>BP Secured</v>
      </c>
      <c r="AQ604" s="10" t="b" cm="1">
        <f t="array" aca="1" ref="AQ604" ca="1">IF(AM604&gt;0,(TODAY()-AM604),IF(AL604&gt;0,(TODAY()-AL604),IF(AK604&gt;0,(TODAY()-AK604,IF(AI604&gt;0,(TODAY()-AI604),IF(AG604&gt;0,(TODAY()-AG604),IF(AF604&gt;0,(TODAY()-AF604),IF(X604&gt;0,(TODAY()-X604)," "))))))))</f>
        <v>0</v>
      </c>
      <c r="BD604" s="2" t="str">
        <f t="shared" si="27"/>
        <v>BP Secured</v>
      </c>
      <c r="BE604" s="2" t="e">
        <v>#VALUE!</v>
      </c>
      <c r="BG604" s="2" t="e">
        <v>#N/A</v>
      </c>
    </row>
    <row r="605" spans="2:59" hidden="1" x14ac:dyDescent="0.25">
      <c r="B605" s="2" t="s">
        <v>2788</v>
      </c>
      <c r="C605" s="2" t="s">
        <v>2789</v>
      </c>
      <c r="D605" s="44" t="s">
        <v>2790</v>
      </c>
      <c r="E605" s="2" t="s">
        <v>11</v>
      </c>
      <c r="F605" s="2" t="s">
        <v>597</v>
      </c>
      <c r="G605" s="2" t="s">
        <v>1</v>
      </c>
      <c r="H605" s="2" t="s">
        <v>165</v>
      </c>
      <c r="I605" s="2" t="s">
        <v>68</v>
      </c>
      <c r="J605" s="2" t="s">
        <v>239</v>
      </c>
      <c r="K605" s="2" t="s">
        <v>598</v>
      </c>
      <c r="L605" s="2" t="s">
        <v>599</v>
      </c>
      <c r="M605" s="2" t="s">
        <v>2791</v>
      </c>
      <c r="N605" s="2">
        <v>8.9178899999999999</v>
      </c>
      <c r="O605" s="2">
        <v>125.521207</v>
      </c>
      <c r="P605" s="2" t="s">
        <v>87</v>
      </c>
      <c r="Q605" s="2" t="s">
        <v>314</v>
      </c>
      <c r="R605" s="29" t="e">
        <f>IF(INDEX(#REF!,MATCH('data '!$B605,#REF!,0),MATCH('data '!R$3,#REF!,0))=0,"",INDEX(#REF!,MATCH('data '!$B605,#REF!,0),MATCH('data '!R$3,#REF!,0)))</f>
        <v>#REF!</v>
      </c>
      <c r="S605" s="29" t="e">
        <f>IF(INDEX(#REF!,MATCH('data '!$B605,#REF!,0),MATCH('data '!S$3,#REF!,0))=0,"",INDEX(#REF!,MATCH('data '!$B605,#REF!,0),MATCH('data '!S$3,#REF!,0)))</f>
        <v>#REF!</v>
      </c>
      <c r="T605" s="29" t="e">
        <f>IF(INDEX(#REF!,MATCH('data '!$B605,#REF!,0),MATCH('data '!T$3,#REF!,0))=0,"",INDEX(#REF!,MATCH('data '!$B605,#REF!,0),MATCH('data '!T$3,#REF!,0)))</f>
        <v>#REF!</v>
      </c>
      <c r="U605" s="8" t="s">
        <v>25</v>
      </c>
      <c r="V605" s="25" t="s">
        <v>560</v>
      </c>
      <c r="W605" s="25" t="s">
        <v>103</v>
      </c>
      <c r="X605" s="43" t="s">
        <v>25</v>
      </c>
      <c r="Y605" s="43">
        <v>45923</v>
      </c>
      <c r="AC605" s="8" t="e">
        <f>VLOOKUP(B605,#REF!,19,0)</f>
        <v>#REF!</v>
      </c>
      <c r="AP605" s="8" t="str">
        <f t="shared" si="26"/>
        <v>BP Secured</v>
      </c>
      <c r="AQ605" s="10" t="b" cm="1">
        <f t="array" aca="1" ref="AQ605" ca="1">IF(AM605&gt;0,(TODAY()-AM605),IF(AL605&gt;0,(TODAY()-AL605),IF(AK605&gt;0,(TODAY()-AK605,IF(AI605&gt;0,(TODAY()-AI605),IF(AG605&gt;0,(TODAY()-AG605),IF(AF605&gt;0,(TODAY()-AF605),IF(X605&gt;0,(TODAY()-X605)," "))))))))</f>
        <v>0</v>
      </c>
      <c r="BD605" s="2" t="str">
        <f t="shared" si="27"/>
        <v>BP Secured</v>
      </c>
      <c r="BE605" s="2" t="e">
        <v>#VALUE!</v>
      </c>
      <c r="BG605" s="2" t="e">
        <v>#N/A</v>
      </c>
    </row>
    <row r="606" spans="2:59" hidden="1" x14ac:dyDescent="0.25">
      <c r="B606" s="2" t="s">
        <v>2792</v>
      </c>
      <c r="C606" s="2" t="s">
        <v>2793</v>
      </c>
      <c r="D606" s="44" t="s">
        <v>2794</v>
      </c>
      <c r="E606" s="2" t="s">
        <v>11</v>
      </c>
      <c r="F606" s="2" t="s">
        <v>450</v>
      </c>
      <c r="G606" s="2" t="s">
        <v>1</v>
      </c>
      <c r="H606" s="2" t="s">
        <v>165</v>
      </c>
      <c r="I606" s="2" t="s">
        <v>68</v>
      </c>
      <c r="J606" s="2" t="s">
        <v>239</v>
      </c>
      <c r="K606" s="2" t="s">
        <v>451</v>
      </c>
      <c r="L606" s="2" t="s">
        <v>2795</v>
      </c>
      <c r="M606" s="2">
        <v>0</v>
      </c>
      <c r="N606" s="2">
        <v>0</v>
      </c>
      <c r="O606" s="2">
        <v>0</v>
      </c>
      <c r="P606" s="2" t="s">
        <v>82</v>
      </c>
      <c r="Q606" s="2" t="s">
        <v>73</v>
      </c>
      <c r="R606" s="29" t="e">
        <f>IF(INDEX(#REF!,MATCH('data '!$B606,#REF!,0),MATCH('data '!R$3,#REF!,0))=0,"",INDEX(#REF!,MATCH('data '!$B606,#REF!,0),MATCH('data '!R$3,#REF!,0)))</f>
        <v>#REF!</v>
      </c>
      <c r="S606" s="29" t="e">
        <f>IF(INDEX(#REF!,MATCH('data '!$B606,#REF!,0),MATCH('data '!S$3,#REF!,0))=0,"",INDEX(#REF!,MATCH('data '!$B606,#REF!,0),MATCH('data '!S$3,#REF!,0)))</f>
        <v>#REF!</v>
      </c>
      <c r="T606" s="29" t="e">
        <f>IF(INDEX(#REF!,MATCH('data '!$B606,#REF!,0),MATCH('data '!T$3,#REF!,0))=0,"",INDEX(#REF!,MATCH('data '!$B606,#REF!,0),MATCH('data '!T$3,#REF!,0)))</f>
        <v>#REF!</v>
      </c>
      <c r="V606" s="25" t="s">
        <v>82</v>
      </c>
      <c r="W606" s="25" t="s">
        <v>83</v>
      </c>
      <c r="AC606" s="8" t="e">
        <f>VLOOKUP(B606,#REF!,19,0)</f>
        <v>#REF!</v>
      </c>
      <c r="AP606" s="8" t="str">
        <f t="shared" si="26"/>
        <v>Not yet endorsed</v>
      </c>
      <c r="AQ606" s="10" t="b" cm="1">
        <f t="array" aca="1" ref="AQ606" ca="1">IF(AM606&gt;0,(TODAY()-AM606),IF(AL606&gt;0,(TODAY()-AL606),IF(AK606&gt;0,(TODAY()-AK606,IF(AI606&gt;0,(TODAY()-AI606),IF(AG606&gt;0,(TODAY()-AG606),IF(AF606&gt;0,(TODAY()-AF606),IF(X606&gt;0,(TODAY()-X606)," "))))))))</f>
        <v>0</v>
      </c>
      <c r="BD606" s="2" t="str">
        <f t="shared" si="27"/>
        <v>Not yet endorsed</v>
      </c>
      <c r="BE606" s="2" t="s">
        <v>75</v>
      </c>
      <c r="BG606" s="2" t="e">
        <v>#N/A</v>
      </c>
    </row>
    <row r="607" spans="2:59" hidden="1" x14ac:dyDescent="0.25">
      <c r="B607" s="2" t="s">
        <v>2796</v>
      </c>
      <c r="C607" s="2" t="s">
        <v>2797</v>
      </c>
      <c r="D607" s="44" t="s">
        <v>2798</v>
      </c>
      <c r="E607" s="2" t="s">
        <v>11</v>
      </c>
      <c r="F607" s="2" t="s">
        <v>450</v>
      </c>
      <c r="G607" s="2" t="s">
        <v>1</v>
      </c>
      <c r="H607" s="2" t="s">
        <v>165</v>
      </c>
      <c r="I607" s="2" t="s">
        <v>68</v>
      </c>
      <c r="J607" s="2" t="s">
        <v>239</v>
      </c>
      <c r="K607" s="2" t="s">
        <v>451</v>
      </c>
      <c r="L607" s="2" t="s">
        <v>2799</v>
      </c>
      <c r="M607" s="2">
        <v>0</v>
      </c>
      <c r="N607" s="2">
        <v>8.5821450000000006</v>
      </c>
      <c r="O607" s="2">
        <v>125.708387</v>
      </c>
      <c r="P607" s="2" t="s">
        <v>87</v>
      </c>
      <c r="Q607" s="2" t="s">
        <v>198</v>
      </c>
      <c r="R607" s="29" t="e">
        <f>IF(INDEX(#REF!,MATCH('data '!$B607,#REF!,0),MATCH('data '!R$3,#REF!,0))=0,"",INDEX(#REF!,MATCH('data '!$B607,#REF!,0),MATCH('data '!R$3,#REF!,0)))</f>
        <v>#REF!</v>
      </c>
      <c r="S607" s="29" t="e">
        <f>IF(INDEX(#REF!,MATCH('data '!$B607,#REF!,0),MATCH('data '!S$3,#REF!,0))=0,"",INDEX(#REF!,MATCH('data '!$B607,#REF!,0),MATCH('data '!S$3,#REF!,0)))</f>
        <v>#REF!</v>
      </c>
      <c r="T607" s="29" t="e">
        <f>IF(INDEX(#REF!,MATCH('data '!$B607,#REF!,0),MATCH('data '!T$3,#REF!,0))=0,"",INDEX(#REF!,MATCH('data '!$B607,#REF!,0),MATCH('data '!T$3,#REF!,0)))</f>
        <v>#REF!</v>
      </c>
      <c r="U607" s="8" t="s">
        <v>25</v>
      </c>
      <c r="V607" s="25" t="s">
        <v>185</v>
      </c>
      <c r="W607" s="25" t="s">
        <v>144</v>
      </c>
      <c r="X607" s="43" t="s">
        <v>25</v>
      </c>
      <c r="Y607" s="43">
        <v>45819</v>
      </c>
      <c r="Z607" s="8">
        <v>45845</v>
      </c>
      <c r="AC607" s="8" t="e">
        <f>VLOOKUP(B607,#REF!,19,0)</f>
        <v>#REF!</v>
      </c>
      <c r="AE607" s="8" t="s">
        <v>460</v>
      </c>
      <c r="AP607" s="8" t="str">
        <f t="shared" si="26"/>
        <v>BP Secured</v>
      </c>
      <c r="AQ607" s="10" t="b" cm="1">
        <f t="array" aca="1" ref="AQ607" ca="1">IF(AM607&gt;0,(TODAY()-AM607),IF(AL607&gt;0,(TODAY()-AL607),IF(AK607&gt;0,(TODAY()-AK607,IF(AI607&gt;0,(TODAY()-AI607),IF(AG607&gt;0,(TODAY()-AG607),IF(AF607&gt;0,(TODAY()-AF607),IF(X607&gt;0,(TODAY()-X607)," "))))))))</f>
        <v>0</v>
      </c>
      <c r="AT607" s="8" t="s">
        <v>155</v>
      </c>
      <c r="AU607" s="8">
        <v>45903</v>
      </c>
      <c r="AV607" s="8">
        <v>45901</v>
      </c>
      <c r="AX607" s="8">
        <v>45904</v>
      </c>
      <c r="BD607" s="2" t="str">
        <f t="shared" si="27"/>
        <v>PO Issued</v>
      </c>
      <c r="BE607" s="2">
        <v>36</v>
      </c>
      <c r="BG607" s="2" t="e">
        <v>#N/A</v>
      </c>
    </row>
    <row r="608" spans="2:59" hidden="1" x14ac:dyDescent="0.25">
      <c r="B608" s="2" t="s">
        <v>2800</v>
      </c>
      <c r="C608" s="2" t="s">
        <v>2801</v>
      </c>
      <c r="D608" s="44" t="s">
        <v>2802</v>
      </c>
      <c r="E608" s="2" t="s">
        <v>11</v>
      </c>
      <c r="F608" s="2" t="s">
        <v>302</v>
      </c>
      <c r="G608" s="2" t="s">
        <v>1</v>
      </c>
      <c r="H608" s="2" t="s">
        <v>165</v>
      </c>
      <c r="I608" s="2" t="s">
        <v>68</v>
      </c>
      <c r="J608" s="2" t="s">
        <v>173</v>
      </c>
      <c r="K608" s="2" t="s">
        <v>303</v>
      </c>
      <c r="L608" s="2" t="s">
        <v>1002</v>
      </c>
      <c r="M608" s="2" t="s">
        <v>2803</v>
      </c>
      <c r="N608" s="2">
        <v>8.4326030000000003</v>
      </c>
      <c r="O608" s="2">
        <v>124.864617</v>
      </c>
      <c r="P608" s="2" t="s">
        <v>87</v>
      </c>
      <c r="Q608" s="2" t="s">
        <v>184</v>
      </c>
      <c r="R608" s="29" t="e">
        <f>IF(INDEX(#REF!,MATCH('data '!$B608,#REF!,0),MATCH('data '!R$3,#REF!,0))=0,"",INDEX(#REF!,MATCH('data '!$B608,#REF!,0),MATCH('data '!R$3,#REF!,0)))</f>
        <v>#REF!</v>
      </c>
      <c r="S608" s="29" t="e">
        <f>IF(INDEX(#REF!,MATCH('data '!$B608,#REF!,0),MATCH('data '!S$3,#REF!,0))=0,"",INDEX(#REF!,MATCH('data '!$B608,#REF!,0),MATCH('data '!S$3,#REF!,0)))</f>
        <v>#REF!</v>
      </c>
      <c r="T608" s="29" t="e">
        <f>IF(INDEX(#REF!,MATCH('data '!$B608,#REF!,0),MATCH('data '!T$3,#REF!,0))=0,"",INDEX(#REF!,MATCH('data '!$B608,#REF!,0),MATCH('data '!T$3,#REF!,0)))</f>
        <v>#REF!</v>
      </c>
      <c r="U608" s="8" t="s">
        <v>25</v>
      </c>
      <c r="V608" s="25" t="s">
        <v>185</v>
      </c>
      <c r="W608" s="25" t="s">
        <v>144</v>
      </c>
      <c r="X608" s="9" t="s">
        <v>25</v>
      </c>
      <c r="Y608" s="9">
        <v>45804</v>
      </c>
      <c r="Z608" s="8">
        <v>45967</v>
      </c>
      <c r="AA608" s="8" t="s">
        <v>2804</v>
      </c>
      <c r="AC608" s="8" t="e">
        <f>VLOOKUP(B608,#REF!,19,0)</f>
        <v>#REF!</v>
      </c>
      <c r="AE608" s="8" t="s">
        <v>307</v>
      </c>
      <c r="AP608" s="8" t="str">
        <f t="shared" si="26"/>
        <v>BP Secured</v>
      </c>
      <c r="AQ608" s="10" t="b" cm="1">
        <f t="array" aca="1" ref="AQ608" ca="1">IF(AM608&gt;0,(TODAY()-AM608),IF(AL608&gt;0,(TODAY()-AL608),IF(AK608&gt;0,(TODAY()-AK608,IF(AI608&gt;0,(TODAY()-AI608),IF(AG608&gt;0,(TODAY()-AG608),IF(AF608&gt;0,(TODAY()-AF608),IF(X608&gt;0,(TODAY()-X608)," "))))))))</f>
        <v>0</v>
      </c>
      <c r="AT608" s="8" t="s">
        <v>155</v>
      </c>
      <c r="AU608" s="8">
        <v>45889</v>
      </c>
      <c r="AV608" s="8">
        <v>45892</v>
      </c>
      <c r="AX608" s="8">
        <v>45895</v>
      </c>
      <c r="BD608" s="2" t="str">
        <f t="shared" si="27"/>
        <v>PO Issued</v>
      </c>
      <c r="BE608" s="2">
        <v>45</v>
      </c>
      <c r="BG608" s="2" t="e">
        <v>#N/A</v>
      </c>
    </row>
    <row r="609" spans="2:59" hidden="1" x14ac:dyDescent="0.25">
      <c r="B609" s="2" t="s">
        <v>2805</v>
      </c>
      <c r="C609" s="2" t="s">
        <v>2806</v>
      </c>
      <c r="D609" s="44" t="s">
        <v>2807</v>
      </c>
      <c r="E609" s="2" t="s">
        <v>11</v>
      </c>
      <c r="F609" s="2" t="s">
        <v>302</v>
      </c>
      <c r="G609" s="2" t="s">
        <v>1</v>
      </c>
      <c r="H609" s="2" t="s">
        <v>165</v>
      </c>
      <c r="I609" s="2" t="s">
        <v>68</v>
      </c>
      <c r="J609" s="2" t="s">
        <v>173</v>
      </c>
      <c r="K609" s="2" t="s">
        <v>303</v>
      </c>
      <c r="L609" s="2" t="s">
        <v>304</v>
      </c>
      <c r="M609" s="2" t="s">
        <v>1166</v>
      </c>
      <c r="N609" s="2">
        <v>8.0137999999999998</v>
      </c>
      <c r="O609" s="2">
        <v>125.1574</v>
      </c>
      <c r="P609" s="2" t="s">
        <v>87</v>
      </c>
      <c r="Q609" s="2" t="s">
        <v>184</v>
      </c>
      <c r="R609" s="29" t="e">
        <f>IF(INDEX(#REF!,MATCH('data '!$B609,#REF!,0),MATCH('data '!R$3,#REF!,0))=0,"",INDEX(#REF!,MATCH('data '!$B609,#REF!,0),MATCH('data '!R$3,#REF!,0)))</f>
        <v>#REF!</v>
      </c>
      <c r="S609" s="29" t="e">
        <f>IF(INDEX(#REF!,MATCH('data '!$B609,#REF!,0),MATCH('data '!S$3,#REF!,0))=0,"",INDEX(#REF!,MATCH('data '!$B609,#REF!,0),MATCH('data '!S$3,#REF!,0)))</f>
        <v>#REF!</v>
      </c>
      <c r="T609" s="29" t="e">
        <f>IF(INDEX(#REF!,MATCH('data '!$B609,#REF!,0),MATCH('data '!T$3,#REF!,0))=0,"",INDEX(#REF!,MATCH('data '!$B609,#REF!,0),MATCH('data '!T$3,#REF!,0)))</f>
        <v>#REF!</v>
      </c>
      <c r="U609" s="8" t="s">
        <v>25</v>
      </c>
      <c r="V609" s="25" t="s">
        <v>185</v>
      </c>
      <c r="W609" s="25" t="s">
        <v>144</v>
      </c>
      <c r="X609" s="43" t="s">
        <v>25</v>
      </c>
      <c r="Y609" s="43">
        <v>45757</v>
      </c>
      <c r="AA609" s="8" t="s">
        <v>2441</v>
      </c>
      <c r="AC609" s="8" t="e">
        <f>VLOOKUP(B609,#REF!,19,0)</f>
        <v>#REF!</v>
      </c>
      <c r="AE609" s="8" t="s">
        <v>307</v>
      </c>
      <c r="AP609" s="8" t="str">
        <f t="shared" si="26"/>
        <v>BP Secured</v>
      </c>
      <c r="AQ609" s="10" t="b" cm="1">
        <f t="array" aca="1" ref="AQ609" ca="1">IF(AM609&gt;0,(TODAY()-AM609),IF(AL609&gt;0,(TODAY()-AL609),IF(AK609&gt;0,(TODAY()-AK609,IF(AI609&gt;0,(TODAY()-AI609),IF(AG609&gt;0,(TODAY()-AG609),IF(AF609&gt;0,(TODAY()-AF609),IF(X609&gt;0,(TODAY()-X609)," "))))))))</f>
        <v>0</v>
      </c>
      <c r="AT609" s="8" t="s">
        <v>155</v>
      </c>
      <c r="AU609" s="8">
        <v>45790</v>
      </c>
      <c r="AV609" s="8">
        <v>45789</v>
      </c>
      <c r="AX609" s="8">
        <v>45792</v>
      </c>
      <c r="BD609" s="2" t="str">
        <f t="shared" si="27"/>
        <v>PO Issued</v>
      </c>
      <c r="BE609" s="2">
        <v>148</v>
      </c>
      <c r="BG609" s="2" t="e">
        <v>#N/A</v>
      </c>
    </row>
    <row r="610" spans="2:59" hidden="1" x14ac:dyDescent="0.25">
      <c r="B610" s="2" t="s">
        <v>2808</v>
      </c>
      <c r="C610" s="2" t="s">
        <v>2809</v>
      </c>
      <c r="D610" s="44" t="s">
        <v>2810</v>
      </c>
      <c r="E610" s="2" t="s">
        <v>11</v>
      </c>
      <c r="F610" s="2" t="s">
        <v>302</v>
      </c>
      <c r="G610" s="2" t="s">
        <v>1</v>
      </c>
      <c r="H610" s="2" t="s">
        <v>165</v>
      </c>
      <c r="I610" s="2" t="s">
        <v>68</v>
      </c>
      <c r="J610" s="2" t="s">
        <v>173</v>
      </c>
      <c r="K610" s="2" t="s">
        <v>303</v>
      </c>
      <c r="L610" s="2" t="s">
        <v>2811</v>
      </c>
      <c r="M610" s="2" t="s">
        <v>2812</v>
      </c>
      <c r="N610" s="2">
        <v>8.3376999999999999</v>
      </c>
      <c r="O610" s="2">
        <v>124.7025</v>
      </c>
      <c r="P610" s="2" t="s">
        <v>87</v>
      </c>
      <c r="Q610" s="2" t="s">
        <v>184</v>
      </c>
      <c r="R610" s="29" t="e">
        <f>IF(INDEX(#REF!,MATCH('data '!$B610,#REF!,0),MATCH('data '!R$3,#REF!,0))=0,"",INDEX(#REF!,MATCH('data '!$B610,#REF!,0),MATCH('data '!R$3,#REF!,0)))</f>
        <v>#REF!</v>
      </c>
      <c r="S610" s="29" t="e">
        <f>IF(INDEX(#REF!,MATCH('data '!$B610,#REF!,0),MATCH('data '!S$3,#REF!,0))=0,"",INDEX(#REF!,MATCH('data '!$B610,#REF!,0),MATCH('data '!S$3,#REF!,0)))</f>
        <v>#REF!</v>
      </c>
      <c r="T610" s="29" t="e">
        <f>IF(INDEX(#REF!,MATCH('data '!$B610,#REF!,0),MATCH('data '!T$3,#REF!,0))=0,"",INDEX(#REF!,MATCH('data '!$B610,#REF!,0),MATCH('data '!T$3,#REF!,0)))</f>
        <v>#REF!</v>
      </c>
      <c r="U610" s="8" t="s">
        <v>25</v>
      </c>
      <c r="V610" s="25" t="s">
        <v>266</v>
      </c>
      <c r="W610" s="25" t="s">
        <v>144</v>
      </c>
      <c r="X610" s="9" t="s">
        <v>25</v>
      </c>
      <c r="Y610" s="9">
        <v>45744</v>
      </c>
      <c r="Z610" s="8">
        <v>45873</v>
      </c>
      <c r="AA610" s="8" t="s">
        <v>2813</v>
      </c>
      <c r="AB610" s="8">
        <v>45817</v>
      </c>
      <c r="AC610" s="8" t="e">
        <f>VLOOKUP(B610,#REF!,19,0)</f>
        <v>#REF!</v>
      </c>
      <c r="AE610" s="8" t="s">
        <v>307</v>
      </c>
      <c r="AP610" s="8" t="str">
        <f t="shared" si="26"/>
        <v>BP Secured</v>
      </c>
      <c r="AQ610" s="10" t="b" cm="1">
        <f t="array" aca="1" ref="AQ610" ca="1">IF(AM610&gt;0,(TODAY()-AM610),IF(AL610&gt;0,(TODAY()-AL610),IF(AK610&gt;0,(TODAY()-AK610,IF(AI610&gt;0,(TODAY()-AI610),IF(AG610&gt;0,(TODAY()-AG610),IF(AF610&gt;0,(TODAY()-AF610),IF(X610&gt;0,(TODAY()-X610)," "))))))))</f>
        <v>0</v>
      </c>
      <c r="AT610" s="8" t="s">
        <v>155</v>
      </c>
      <c r="AU610" s="8">
        <v>45777</v>
      </c>
      <c r="AV610" s="8">
        <v>45780</v>
      </c>
      <c r="AX610" s="8">
        <v>45783</v>
      </c>
      <c r="BD610" s="2" t="str">
        <f t="shared" si="27"/>
        <v>PO Issued</v>
      </c>
      <c r="BE610" s="2">
        <v>157</v>
      </c>
      <c r="BG610" s="2" t="e">
        <v>#N/A</v>
      </c>
    </row>
    <row r="611" spans="2:59" hidden="1" x14ac:dyDescent="0.25">
      <c r="B611" s="2" t="s">
        <v>2814</v>
      </c>
      <c r="C611" s="2" t="s">
        <v>2815</v>
      </c>
      <c r="D611" s="44" t="s">
        <v>2816</v>
      </c>
      <c r="E611" s="2" t="s">
        <v>11</v>
      </c>
      <c r="F611" s="2" t="s">
        <v>302</v>
      </c>
      <c r="G611" s="2" t="s">
        <v>1</v>
      </c>
      <c r="H611" s="2" t="s">
        <v>165</v>
      </c>
      <c r="I611" s="2" t="s">
        <v>68</v>
      </c>
      <c r="J611" s="2" t="s">
        <v>173</v>
      </c>
      <c r="K611" s="2" t="s">
        <v>303</v>
      </c>
      <c r="L611" s="2" t="s">
        <v>1002</v>
      </c>
      <c r="M611" s="2" t="s">
        <v>2803</v>
      </c>
      <c r="N611" s="2">
        <v>8.4004440000000002</v>
      </c>
      <c r="O611" s="2">
        <v>124.88775800000001</v>
      </c>
      <c r="P611" s="2" t="s">
        <v>87</v>
      </c>
      <c r="Q611" s="2" t="s">
        <v>184</v>
      </c>
      <c r="R611" s="29" t="e">
        <f>IF(INDEX(#REF!,MATCH('data '!$B611,#REF!,0),MATCH('data '!R$3,#REF!,0))=0,"",INDEX(#REF!,MATCH('data '!$B611,#REF!,0),MATCH('data '!R$3,#REF!,0)))</f>
        <v>#REF!</v>
      </c>
      <c r="S611" s="29" t="e">
        <f>IF(INDEX(#REF!,MATCH('data '!$B611,#REF!,0),MATCH('data '!S$3,#REF!,0))=0,"",INDEX(#REF!,MATCH('data '!$B611,#REF!,0),MATCH('data '!S$3,#REF!,0)))</f>
        <v>#REF!</v>
      </c>
      <c r="T611" s="29" t="e">
        <f>IF(INDEX(#REF!,MATCH('data '!$B611,#REF!,0),MATCH('data '!T$3,#REF!,0))=0,"",INDEX(#REF!,MATCH('data '!$B611,#REF!,0),MATCH('data '!T$3,#REF!,0)))</f>
        <v>#REF!</v>
      </c>
      <c r="U611" s="8" t="s">
        <v>25</v>
      </c>
      <c r="V611" s="25" t="s">
        <v>266</v>
      </c>
      <c r="W611" s="25" t="s">
        <v>144</v>
      </c>
      <c r="X611" s="43" t="s">
        <v>25</v>
      </c>
      <c r="Y611" s="43">
        <v>45784</v>
      </c>
      <c r="Z611" s="8">
        <v>45846</v>
      </c>
      <c r="AA611" s="8" t="s">
        <v>1414</v>
      </c>
      <c r="AC611" s="8" t="e">
        <f>VLOOKUP(B611,#REF!,19,0)</f>
        <v>#REF!</v>
      </c>
      <c r="AE611" s="8" t="s">
        <v>497</v>
      </c>
      <c r="AP611" s="8" t="str">
        <f t="shared" si="26"/>
        <v>BP Secured</v>
      </c>
      <c r="AQ611" s="10" t="b" cm="1">
        <f t="array" aca="1" ref="AQ611" ca="1">IF(AM611&gt;0,(TODAY()-AM611),IF(AL611&gt;0,(TODAY()-AL611),IF(AK611&gt;0,(TODAY()-AK611,IF(AI611&gt;0,(TODAY()-AI611),IF(AG611&gt;0,(TODAY()-AG611),IF(AF611&gt;0,(TODAY()-AF611),IF(X611&gt;0,(TODAY()-X611)," "))))))))</f>
        <v>0</v>
      </c>
      <c r="AT611" s="8" t="s">
        <v>155</v>
      </c>
      <c r="AU611" s="8">
        <v>45845</v>
      </c>
      <c r="AV611" s="8">
        <v>45844</v>
      </c>
      <c r="AX611" s="8">
        <v>45847</v>
      </c>
      <c r="BD611" s="2" t="str">
        <f t="shared" si="27"/>
        <v>PO Issued</v>
      </c>
      <c r="BE611" s="2">
        <v>93</v>
      </c>
      <c r="BG611" s="2" t="e">
        <v>#N/A</v>
      </c>
    </row>
    <row r="612" spans="2:59" hidden="1" x14ac:dyDescent="0.25">
      <c r="B612" s="2" t="s">
        <v>2817</v>
      </c>
      <c r="C612" s="2" t="s">
        <v>2818</v>
      </c>
      <c r="D612" s="44" t="s">
        <v>2819</v>
      </c>
      <c r="E612" s="2" t="s">
        <v>11</v>
      </c>
      <c r="F612" s="2" t="s">
        <v>302</v>
      </c>
      <c r="G612" s="2" t="s">
        <v>1</v>
      </c>
      <c r="H612" s="2" t="s">
        <v>165</v>
      </c>
      <c r="I612" s="2" t="s">
        <v>68</v>
      </c>
      <c r="J612" s="2" t="s">
        <v>173</v>
      </c>
      <c r="K612" s="2" t="s">
        <v>303</v>
      </c>
      <c r="L612" s="2" t="s">
        <v>470</v>
      </c>
      <c r="M612" s="2">
        <v>0</v>
      </c>
      <c r="N612" s="2">
        <v>8.0126059999999999</v>
      </c>
      <c r="O612" s="2">
        <v>125.002172</v>
      </c>
      <c r="P612" s="2" t="s">
        <v>87</v>
      </c>
      <c r="Q612" s="2" t="s">
        <v>184</v>
      </c>
      <c r="R612" s="29" t="e">
        <f>IF(INDEX(#REF!,MATCH('data '!$B612,#REF!,0),MATCH('data '!R$3,#REF!,0))=0,"",INDEX(#REF!,MATCH('data '!$B612,#REF!,0),MATCH('data '!R$3,#REF!,0)))</f>
        <v>#REF!</v>
      </c>
      <c r="S612" s="29" t="e">
        <f>IF(INDEX(#REF!,MATCH('data '!$B612,#REF!,0),MATCH('data '!S$3,#REF!,0))=0,"",INDEX(#REF!,MATCH('data '!$B612,#REF!,0),MATCH('data '!S$3,#REF!,0)))</f>
        <v>#REF!</v>
      </c>
      <c r="T612" s="29" t="e">
        <f>IF(INDEX(#REF!,MATCH('data '!$B612,#REF!,0),MATCH('data '!T$3,#REF!,0))=0,"",INDEX(#REF!,MATCH('data '!$B612,#REF!,0),MATCH('data '!T$3,#REF!,0)))</f>
        <v>#REF!</v>
      </c>
      <c r="U612" s="8" t="s">
        <v>25</v>
      </c>
      <c r="V612" s="25" t="s">
        <v>266</v>
      </c>
      <c r="W612" s="25" t="s">
        <v>144</v>
      </c>
      <c r="X612" s="9" t="s">
        <v>25</v>
      </c>
      <c r="Y612" s="9">
        <v>45743</v>
      </c>
      <c r="Z612" s="8">
        <v>45873</v>
      </c>
      <c r="AA612" s="8" t="s">
        <v>2820</v>
      </c>
      <c r="AB612" s="8">
        <v>45926</v>
      </c>
      <c r="AC612" s="8" t="e">
        <f>VLOOKUP(B612,#REF!,19,0)</f>
        <v>#REF!</v>
      </c>
      <c r="AE612" s="8" t="s">
        <v>1178</v>
      </c>
      <c r="AK612" s="8">
        <v>45777</v>
      </c>
      <c r="AP612" s="8" t="str">
        <f t="shared" si="26"/>
        <v>COOP Surveyed</v>
      </c>
      <c r="AQ612" s="10" t="e" cm="1">
        <f t="array" aca="1" ref="AQ612" ca="1">IF(AM612&gt;0,(TODAY()-AM612),IF(AL612&gt;0,(TODAY()-AL612),IF(AK612&gt;0,(TODAY()-AK612,IF(AI612&gt;0,(TODAY()-AI612),IF(AG612&gt;0,(TODAY()-AG612),IF(AF612&gt;0,(TODAY()-AF612),IF(X612&gt;0,(TODAY()-X612)," "))))))))</f>
        <v>#VALUE!</v>
      </c>
      <c r="AT612" s="8" t="s">
        <v>155</v>
      </c>
      <c r="AU612" s="8">
        <v>45802</v>
      </c>
      <c r="AV612" s="8">
        <v>45800</v>
      </c>
      <c r="AX612" s="8">
        <v>45803</v>
      </c>
      <c r="BD612" s="2" t="str">
        <f t="shared" si="27"/>
        <v>PO Issued</v>
      </c>
      <c r="BE612" s="2">
        <v>137</v>
      </c>
      <c r="BG612" s="2" t="e">
        <v>#N/A</v>
      </c>
    </row>
    <row r="613" spans="2:59" hidden="1" x14ac:dyDescent="0.25">
      <c r="B613" s="2" t="s">
        <v>2821</v>
      </c>
      <c r="C613" s="2" t="s">
        <v>2822</v>
      </c>
      <c r="D613" s="44" t="s">
        <v>2823</v>
      </c>
      <c r="E613" s="2" t="s">
        <v>11</v>
      </c>
      <c r="F613" s="2" t="s">
        <v>253</v>
      </c>
      <c r="G613" s="2" t="s">
        <v>1</v>
      </c>
      <c r="H613" s="2" t="s">
        <v>165</v>
      </c>
      <c r="I613" s="2" t="s">
        <v>68</v>
      </c>
      <c r="J613" s="2" t="s">
        <v>239</v>
      </c>
      <c r="K613" s="2" t="s">
        <v>254</v>
      </c>
      <c r="L613" s="2" t="s">
        <v>2824</v>
      </c>
      <c r="M613" s="2" t="s">
        <v>2825</v>
      </c>
      <c r="N613" s="2">
        <v>10.358574000000001</v>
      </c>
      <c r="O613" s="2">
        <v>125.57937</v>
      </c>
      <c r="P613" s="2" t="s">
        <v>87</v>
      </c>
      <c r="Q613" s="2" t="s">
        <v>227</v>
      </c>
      <c r="R613" s="29" t="e">
        <f>IF(INDEX(#REF!,MATCH('data '!$B613,#REF!,0),MATCH('data '!R$3,#REF!,0))=0,"",INDEX(#REF!,MATCH('data '!$B613,#REF!,0),MATCH('data '!R$3,#REF!,0)))</f>
        <v>#REF!</v>
      </c>
      <c r="S613" s="29" t="e">
        <f>IF(INDEX(#REF!,MATCH('data '!$B613,#REF!,0),MATCH('data '!S$3,#REF!,0))=0,"",INDEX(#REF!,MATCH('data '!$B613,#REF!,0),MATCH('data '!S$3,#REF!,0)))</f>
        <v>#REF!</v>
      </c>
      <c r="T613" s="29" t="e">
        <f>IF(INDEX(#REF!,MATCH('data '!$B613,#REF!,0),MATCH('data '!T$3,#REF!,0))=0,"",INDEX(#REF!,MATCH('data '!$B613,#REF!,0),MATCH('data '!T$3,#REF!,0)))</f>
        <v>#REF!</v>
      </c>
      <c r="U613" s="8" t="s">
        <v>25</v>
      </c>
      <c r="V613" s="25" t="s">
        <v>351</v>
      </c>
      <c r="W613" s="25" t="s">
        <v>144</v>
      </c>
      <c r="X613" s="43" t="s">
        <v>25</v>
      </c>
      <c r="Y613" s="43">
        <v>45803</v>
      </c>
      <c r="AC613" s="8" t="e">
        <f>VLOOKUP(B613,#REF!,19,0)</f>
        <v>#REF!</v>
      </c>
      <c r="AP613" s="8" t="str">
        <f t="shared" si="26"/>
        <v>BP Secured</v>
      </c>
      <c r="AQ613" s="10" t="b" cm="1">
        <f t="array" aca="1" ref="AQ613" ca="1">IF(AM613&gt;0,(TODAY()-AM613),IF(AL613&gt;0,(TODAY()-AL613),IF(AK613&gt;0,(TODAY()-AK613,IF(AI613&gt;0,(TODAY()-AI613),IF(AG613&gt;0,(TODAY()-AG613),IF(AF613&gt;0,(TODAY()-AF613),IF(X613&gt;0,(TODAY()-X613)," "))))))))</f>
        <v>0</v>
      </c>
      <c r="BD613" s="2" t="str">
        <f t="shared" si="27"/>
        <v>BP Secured</v>
      </c>
      <c r="BE613" s="2" t="e">
        <v>#VALUE!</v>
      </c>
      <c r="BG613" s="2" t="e">
        <v>#N/A</v>
      </c>
    </row>
    <row r="614" spans="2:59" hidden="1" x14ac:dyDescent="0.25">
      <c r="B614" s="2" t="s">
        <v>2826</v>
      </c>
      <c r="C614" s="2" t="s">
        <v>2827</v>
      </c>
      <c r="D614" s="44" t="s">
        <v>2828</v>
      </c>
      <c r="E614" s="2" t="s">
        <v>11</v>
      </c>
      <c r="F614" s="2" t="s">
        <v>869</v>
      </c>
      <c r="G614" s="2" t="s">
        <v>1</v>
      </c>
      <c r="H614" s="2" t="s">
        <v>165</v>
      </c>
      <c r="I614" s="2" t="s">
        <v>68</v>
      </c>
      <c r="J614" s="2" t="s">
        <v>181</v>
      </c>
      <c r="K614" s="2" t="s">
        <v>870</v>
      </c>
      <c r="L614" s="2" t="s">
        <v>2829</v>
      </c>
      <c r="M614" s="2">
        <v>0</v>
      </c>
      <c r="N614" s="2">
        <v>7.8675705499999999</v>
      </c>
      <c r="O614" s="2">
        <v>122.55349750000001</v>
      </c>
      <c r="P614" s="2" t="s">
        <v>87</v>
      </c>
      <c r="Q614" s="2" t="s">
        <v>184</v>
      </c>
      <c r="R614" s="29" t="e">
        <f>IF(INDEX(#REF!,MATCH('data '!$B614,#REF!,0),MATCH('data '!R$3,#REF!,0))=0,"",INDEX(#REF!,MATCH('data '!$B614,#REF!,0),MATCH('data '!R$3,#REF!,0)))</f>
        <v>#REF!</v>
      </c>
      <c r="S614" s="29" t="e">
        <f>IF(INDEX(#REF!,MATCH('data '!$B614,#REF!,0),MATCH('data '!S$3,#REF!,0))=0,"",INDEX(#REF!,MATCH('data '!$B614,#REF!,0),MATCH('data '!S$3,#REF!,0)))</f>
        <v>#REF!</v>
      </c>
      <c r="T614" s="29" t="e">
        <f>IF(INDEX(#REF!,MATCH('data '!$B614,#REF!,0),MATCH('data '!T$3,#REF!,0))=0,"",INDEX(#REF!,MATCH('data '!$B614,#REF!,0),MATCH('data '!T$3,#REF!,0)))</f>
        <v>#REF!</v>
      </c>
      <c r="U614" s="8" t="s">
        <v>25</v>
      </c>
      <c r="V614" s="25" t="s">
        <v>266</v>
      </c>
      <c r="W614" s="25" t="s">
        <v>144</v>
      </c>
      <c r="X614" s="43" t="s">
        <v>25</v>
      </c>
      <c r="Y614" s="43">
        <v>45808</v>
      </c>
      <c r="AA614" s="8" t="s">
        <v>2830</v>
      </c>
      <c r="AC614" s="8" t="e">
        <f>VLOOKUP(B614,#REF!,19,0)</f>
        <v>#REF!</v>
      </c>
      <c r="AE614" s="8" t="s">
        <v>497</v>
      </c>
      <c r="AP614" s="8" t="str">
        <f t="shared" si="26"/>
        <v>BP Secured</v>
      </c>
      <c r="AQ614" s="10" t="b" cm="1">
        <f t="array" aca="1" ref="AQ614" ca="1">IF(AM614&gt;0,(TODAY()-AM614),IF(AL614&gt;0,(TODAY()-AL614),IF(AK614&gt;0,(TODAY()-AK614,IF(AI614&gt;0,(TODAY()-AI614),IF(AG614&gt;0,(TODAY()-AG614),IF(AF614&gt;0,(TODAY()-AF614),IF(X614&gt;0,(TODAY()-X614)," "))))))))</f>
        <v>0</v>
      </c>
      <c r="AT614" s="8" t="s">
        <v>155</v>
      </c>
      <c r="AU614" s="8">
        <v>45910</v>
      </c>
      <c r="AV614" s="8">
        <v>45908</v>
      </c>
      <c r="AX614" s="8">
        <v>45911</v>
      </c>
      <c r="BD614" s="2" t="str">
        <f t="shared" si="27"/>
        <v>PO Issued</v>
      </c>
      <c r="BE614" s="2">
        <v>29</v>
      </c>
      <c r="BG614" s="2" t="e">
        <v>#N/A</v>
      </c>
    </row>
    <row r="615" spans="2:59" hidden="1" x14ac:dyDescent="0.25">
      <c r="B615" s="2" t="s">
        <v>2831</v>
      </c>
      <c r="C615" s="2" t="s">
        <v>2832</v>
      </c>
      <c r="D615" s="44" t="s">
        <v>2833</v>
      </c>
      <c r="E615" s="2" t="s">
        <v>11</v>
      </c>
      <c r="F615" s="2" t="s">
        <v>869</v>
      </c>
      <c r="G615" s="2" t="s">
        <v>1</v>
      </c>
      <c r="H615" s="2" t="s">
        <v>165</v>
      </c>
      <c r="I615" s="2" t="s">
        <v>68</v>
      </c>
      <c r="J615" s="2" t="s">
        <v>181</v>
      </c>
      <c r="K615" s="2" t="s">
        <v>870</v>
      </c>
      <c r="L615" s="2" t="s">
        <v>2834</v>
      </c>
      <c r="M615" s="2">
        <v>0</v>
      </c>
      <c r="N615" s="2">
        <v>0</v>
      </c>
      <c r="O615" s="2">
        <v>0</v>
      </c>
      <c r="P615" s="2" t="s">
        <v>824</v>
      </c>
      <c r="Q615" s="2" t="s">
        <v>73</v>
      </c>
      <c r="R615" s="29" t="e">
        <f>IF(INDEX(#REF!,MATCH('data '!$B615,#REF!,0),MATCH('data '!R$3,#REF!,0))=0,"",INDEX(#REF!,MATCH('data '!$B615,#REF!,0),MATCH('data '!R$3,#REF!,0)))</f>
        <v>#REF!</v>
      </c>
      <c r="S615" s="29" t="e">
        <f>IF(INDEX(#REF!,MATCH('data '!$B615,#REF!,0),MATCH('data '!S$3,#REF!,0))=0,"",INDEX(#REF!,MATCH('data '!$B615,#REF!,0),MATCH('data '!S$3,#REF!,0)))</f>
        <v>#REF!</v>
      </c>
      <c r="T615" s="29" t="e">
        <f>IF(INDEX(#REF!,MATCH('data '!$B615,#REF!,0),MATCH('data '!T$3,#REF!,0))=0,"",INDEX(#REF!,MATCH('data '!$B615,#REF!,0),MATCH('data '!T$3,#REF!,0)))</f>
        <v>#REF!</v>
      </c>
      <c r="U615" s="8" t="s">
        <v>25</v>
      </c>
      <c r="V615" s="25" t="s">
        <v>125</v>
      </c>
      <c r="W615" s="25">
        <v>0</v>
      </c>
      <c r="AC615" s="8" t="e">
        <f>VLOOKUP(B615,#REF!,19,0)</f>
        <v>#REF!</v>
      </c>
      <c r="AP615" s="8" t="str">
        <f t="shared" si="26"/>
        <v>Not yet endorsed</v>
      </c>
      <c r="AQ615" s="10" t="b" cm="1">
        <f t="array" aca="1" ref="AQ615" ca="1">IF(AM615&gt;0,(TODAY()-AM615),IF(AL615&gt;0,(TODAY()-AL615),IF(AK615&gt;0,(TODAY()-AK615,IF(AI615&gt;0,(TODAY()-AI615),IF(AG615&gt;0,(TODAY()-AG615),IF(AF615&gt;0,(TODAY()-AF615),IF(X615&gt;0,(TODAY()-X615)," "))))))))</f>
        <v>0</v>
      </c>
      <c r="BD615" s="2" t="str">
        <f t="shared" si="27"/>
        <v>TSSR Approved</v>
      </c>
      <c r="BE615" s="2" t="e">
        <v>#VALUE!</v>
      </c>
      <c r="BG615" s="2" t="e">
        <v>#N/A</v>
      </c>
    </row>
    <row r="616" spans="2:59" hidden="1" x14ac:dyDescent="0.25">
      <c r="B616" s="2" t="s">
        <v>2835</v>
      </c>
      <c r="C616" s="2" t="s">
        <v>2836</v>
      </c>
      <c r="D616" s="44" t="s">
        <v>2837</v>
      </c>
      <c r="E616" s="2" t="s">
        <v>11</v>
      </c>
      <c r="F616" s="2" t="s">
        <v>869</v>
      </c>
      <c r="G616" s="2" t="s">
        <v>1</v>
      </c>
      <c r="H616" s="2" t="s">
        <v>165</v>
      </c>
      <c r="I616" s="2" t="s">
        <v>68</v>
      </c>
      <c r="J616" s="2" t="s">
        <v>181</v>
      </c>
      <c r="K616" s="2" t="s">
        <v>697</v>
      </c>
      <c r="L616" s="2" t="s">
        <v>2838</v>
      </c>
      <c r="M616" s="2" t="s">
        <v>2839</v>
      </c>
      <c r="N616" s="2">
        <v>7.2158888890000004</v>
      </c>
      <c r="O616" s="2">
        <v>121.94963250000001</v>
      </c>
      <c r="P616" s="2" t="s">
        <v>490</v>
      </c>
      <c r="Q616" s="2" t="s">
        <v>73</v>
      </c>
      <c r="R616" s="29" t="e">
        <f>IF(INDEX(#REF!,MATCH('data '!$B616,#REF!,0),MATCH('data '!R$3,#REF!,0))=0,"",INDEX(#REF!,MATCH('data '!$B616,#REF!,0),MATCH('data '!R$3,#REF!,0)))</f>
        <v>#REF!</v>
      </c>
      <c r="S616" s="29" t="e">
        <f>IF(INDEX(#REF!,MATCH('data '!$B616,#REF!,0),MATCH('data '!S$3,#REF!,0))=0,"",INDEX(#REF!,MATCH('data '!$B616,#REF!,0),MATCH('data '!S$3,#REF!,0)))</f>
        <v>#REF!</v>
      </c>
      <c r="T616" s="29" t="e">
        <f>IF(INDEX(#REF!,MATCH('data '!$B616,#REF!,0),MATCH('data '!T$3,#REF!,0))=0,"",INDEX(#REF!,MATCH('data '!$B616,#REF!,0),MATCH('data '!T$3,#REF!,0)))</f>
        <v>#REF!</v>
      </c>
      <c r="U616" s="8" t="s">
        <v>25</v>
      </c>
      <c r="V616" s="25" t="s">
        <v>82</v>
      </c>
      <c r="W616" s="25" t="s">
        <v>83</v>
      </c>
      <c r="AC616" s="8" t="e">
        <f>VLOOKUP(B616,#REF!,19,0)</f>
        <v>#REF!</v>
      </c>
      <c r="AP616" s="8" t="str">
        <f t="shared" si="26"/>
        <v>Not yet endorsed</v>
      </c>
      <c r="AQ616" s="10" t="b" cm="1">
        <f t="array" aca="1" ref="AQ616" ca="1">IF(AM616&gt;0,(TODAY()-AM616),IF(AL616&gt;0,(TODAY()-AL616),IF(AK616&gt;0,(TODAY()-AK616,IF(AI616&gt;0,(TODAY()-AI616),IF(AG616&gt;0,(TODAY()-AG616),IF(AF616&gt;0,(TODAY()-AF616),IF(X616&gt;0,(TODAY()-X616)," "))))))))</f>
        <v>0</v>
      </c>
      <c r="BD616" s="2" t="str">
        <f t="shared" si="27"/>
        <v>TSSR Approved</v>
      </c>
      <c r="BE616" s="2" t="e">
        <v>#VALUE!</v>
      </c>
      <c r="BG616" s="2" t="e">
        <v>#N/A</v>
      </c>
    </row>
    <row r="617" spans="2:59" hidden="1" x14ac:dyDescent="0.25">
      <c r="B617" s="2" t="s">
        <v>2840</v>
      </c>
      <c r="C617" s="2" t="s">
        <v>2841</v>
      </c>
      <c r="D617" s="44" t="s">
        <v>2842</v>
      </c>
      <c r="E617" s="2" t="s">
        <v>11</v>
      </c>
      <c r="F617" s="2" t="s">
        <v>696</v>
      </c>
      <c r="G617" s="2" t="s">
        <v>1</v>
      </c>
      <c r="H617" s="2" t="s">
        <v>165</v>
      </c>
      <c r="I617" s="2" t="s">
        <v>68</v>
      </c>
      <c r="J617" s="2" t="s">
        <v>181</v>
      </c>
      <c r="K617" s="2" t="s">
        <v>697</v>
      </c>
      <c r="L617" s="2" t="s">
        <v>698</v>
      </c>
      <c r="M617" s="2">
        <v>0</v>
      </c>
      <c r="N617" s="2">
        <v>0</v>
      </c>
      <c r="O617" s="2">
        <v>0</v>
      </c>
      <c r="P617" s="2" t="s">
        <v>824</v>
      </c>
      <c r="Q617" s="2" t="s">
        <v>73</v>
      </c>
      <c r="R617" s="29" t="e">
        <f>IF(INDEX(#REF!,MATCH('data '!$B617,#REF!,0),MATCH('data '!R$3,#REF!,0))=0,"",INDEX(#REF!,MATCH('data '!$B617,#REF!,0),MATCH('data '!R$3,#REF!,0)))</f>
        <v>#REF!</v>
      </c>
      <c r="S617" s="29" t="e">
        <f>IF(INDEX(#REF!,MATCH('data '!$B617,#REF!,0),MATCH('data '!S$3,#REF!,0))=0,"",INDEX(#REF!,MATCH('data '!$B617,#REF!,0),MATCH('data '!S$3,#REF!,0)))</f>
        <v>#REF!</v>
      </c>
      <c r="T617" s="29" t="e">
        <f>IF(INDEX(#REF!,MATCH('data '!$B617,#REF!,0),MATCH('data '!T$3,#REF!,0))=0,"",INDEX(#REF!,MATCH('data '!$B617,#REF!,0),MATCH('data '!T$3,#REF!,0)))</f>
        <v>#REF!</v>
      </c>
      <c r="U617" s="8" t="s">
        <v>25</v>
      </c>
      <c r="V617" s="25" t="s">
        <v>74</v>
      </c>
      <c r="W617" s="25">
        <v>0</v>
      </c>
      <c r="AC617" s="8" t="e">
        <f>VLOOKUP(B617,#REF!,19,0)</f>
        <v>#REF!</v>
      </c>
      <c r="AP617" s="8" t="str">
        <f t="shared" si="26"/>
        <v>Not yet endorsed</v>
      </c>
      <c r="AQ617" s="10" t="b" cm="1">
        <f t="array" aca="1" ref="AQ617" ca="1">IF(AM617&gt;0,(TODAY()-AM617),IF(AL617&gt;0,(TODAY()-AL617),IF(AK617&gt;0,(TODAY()-AK617,IF(AI617&gt;0,(TODAY()-AI617),IF(AG617&gt;0,(TODAY()-AG617),IF(AF617&gt;0,(TODAY()-AF617),IF(X617&gt;0,(TODAY()-X617)," "))))))))</f>
        <v>0</v>
      </c>
      <c r="BD617" s="2" t="str">
        <f t="shared" si="27"/>
        <v>TSSR Approved</v>
      </c>
      <c r="BE617" s="2" t="e">
        <v>#VALUE!</v>
      </c>
      <c r="BG617" s="2" t="e">
        <v>#N/A</v>
      </c>
    </row>
    <row r="618" spans="2:59" hidden="1" x14ac:dyDescent="0.25">
      <c r="B618" s="2" t="s">
        <v>2843</v>
      </c>
      <c r="C618" s="2" t="s">
        <v>2844</v>
      </c>
      <c r="D618" s="44" t="s">
        <v>2845</v>
      </c>
      <c r="E618" s="2" t="s">
        <v>11</v>
      </c>
      <c r="F618" s="2" t="s">
        <v>696</v>
      </c>
      <c r="G618" s="2" t="s">
        <v>1</v>
      </c>
      <c r="H618" s="2" t="s">
        <v>165</v>
      </c>
      <c r="I618" s="2" t="s">
        <v>68</v>
      </c>
      <c r="J618" s="2" t="s">
        <v>181</v>
      </c>
      <c r="K618" s="2" t="s">
        <v>697</v>
      </c>
      <c r="L618" s="2" t="s">
        <v>2846</v>
      </c>
      <c r="M618" s="2" t="s">
        <v>2847</v>
      </c>
      <c r="N618" s="2">
        <v>8.0603332999999999</v>
      </c>
      <c r="O618" s="2">
        <v>122.51061919999999</v>
      </c>
      <c r="P618" s="2" t="s">
        <v>87</v>
      </c>
      <c r="Q618" s="2" t="s">
        <v>227</v>
      </c>
      <c r="R618" s="29" t="e">
        <f>IF(INDEX(#REF!,MATCH('data '!$B618,#REF!,0),MATCH('data '!R$3,#REF!,0))=0,"",INDEX(#REF!,MATCH('data '!$B618,#REF!,0),MATCH('data '!R$3,#REF!,0)))</f>
        <v>#REF!</v>
      </c>
      <c r="S618" s="29" t="e">
        <f>IF(INDEX(#REF!,MATCH('data '!$B618,#REF!,0),MATCH('data '!S$3,#REF!,0))=0,"",INDEX(#REF!,MATCH('data '!$B618,#REF!,0),MATCH('data '!S$3,#REF!,0)))</f>
        <v>#REF!</v>
      </c>
      <c r="T618" s="29" t="e">
        <f>IF(INDEX(#REF!,MATCH('data '!$B618,#REF!,0),MATCH('data '!T$3,#REF!,0))=0,"",INDEX(#REF!,MATCH('data '!$B618,#REF!,0),MATCH('data '!T$3,#REF!,0)))</f>
        <v>#REF!</v>
      </c>
      <c r="U618" s="8" t="s">
        <v>25</v>
      </c>
      <c r="V618" s="25" t="s">
        <v>87</v>
      </c>
      <c r="W618" s="25" t="s">
        <v>144</v>
      </c>
      <c r="X618" s="43" t="s">
        <v>25</v>
      </c>
      <c r="Y618" s="43">
        <v>45884</v>
      </c>
      <c r="AC618" s="8" t="e">
        <f>VLOOKUP(B618,#REF!,19,0)</f>
        <v>#REF!</v>
      </c>
      <c r="AP618" s="8" t="str">
        <f t="shared" si="26"/>
        <v>BP Secured</v>
      </c>
      <c r="AQ618" s="10" t="b" cm="1">
        <f t="array" aca="1" ref="AQ618" ca="1">IF(AM618&gt;0,(TODAY()-AM618),IF(AL618&gt;0,(TODAY()-AL618),IF(AK618&gt;0,(TODAY()-AK618,IF(AI618&gt;0,(TODAY()-AI618),IF(AG618&gt;0,(TODAY()-AG618),IF(AF618&gt;0,(TODAY()-AF618),IF(X618&gt;0,(TODAY()-X618)," "))))))))</f>
        <v>0</v>
      </c>
      <c r="BD618" s="2" t="str">
        <f t="shared" si="27"/>
        <v>BP Secured</v>
      </c>
      <c r="BE618" s="2" t="e">
        <v>#VALUE!</v>
      </c>
      <c r="BG618" s="2" t="e">
        <v>#N/A</v>
      </c>
    </row>
    <row r="619" spans="2:59" hidden="1" x14ac:dyDescent="0.25">
      <c r="B619" s="2" t="s">
        <v>2848</v>
      </c>
      <c r="C619" s="2" t="s">
        <v>2849</v>
      </c>
      <c r="D619" s="44" t="s">
        <v>2850</v>
      </c>
      <c r="E619" s="2" t="s">
        <v>11</v>
      </c>
      <c r="F619" s="2" t="s">
        <v>696</v>
      </c>
      <c r="G619" s="2" t="s">
        <v>1</v>
      </c>
      <c r="H619" s="2" t="s">
        <v>165</v>
      </c>
      <c r="I619" s="2" t="s">
        <v>68</v>
      </c>
      <c r="J619" s="2" t="s">
        <v>181</v>
      </c>
      <c r="K619" s="2" t="s">
        <v>697</v>
      </c>
      <c r="L619" s="2" t="s">
        <v>2851</v>
      </c>
      <c r="M619" s="2">
        <v>0</v>
      </c>
      <c r="N619" s="2">
        <v>8.2563499999999994</v>
      </c>
      <c r="O619" s="2">
        <v>122.98565499999999</v>
      </c>
      <c r="P619" s="2" t="s">
        <v>87</v>
      </c>
      <c r="Q619" s="2" t="s">
        <v>219</v>
      </c>
      <c r="R619" s="29" t="e">
        <f>IF(INDEX(#REF!,MATCH('data '!$B619,#REF!,0),MATCH('data '!R$3,#REF!,0))=0,"",INDEX(#REF!,MATCH('data '!$B619,#REF!,0),MATCH('data '!R$3,#REF!,0)))</f>
        <v>#REF!</v>
      </c>
      <c r="S619" s="29" t="e">
        <f>IF(INDEX(#REF!,MATCH('data '!$B619,#REF!,0),MATCH('data '!S$3,#REF!,0))=0,"",INDEX(#REF!,MATCH('data '!$B619,#REF!,0),MATCH('data '!S$3,#REF!,0)))</f>
        <v>#REF!</v>
      </c>
      <c r="T619" s="29" t="e">
        <f>IF(INDEX(#REF!,MATCH('data '!$B619,#REF!,0),MATCH('data '!T$3,#REF!,0))=0,"",INDEX(#REF!,MATCH('data '!$B619,#REF!,0),MATCH('data '!T$3,#REF!,0)))</f>
        <v>#REF!</v>
      </c>
      <c r="U619" s="8" t="s">
        <v>25</v>
      </c>
      <c r="V619" s="25" t="s">
        <v>351</v>
      </c>
      <c r="W619" s="25" t="s">
        <v>144</v>
      </c>
      <c r="X619" s="43" t="s">
        <v>25</v>
      </c>
      <c r="Y619" s="43">
        <v>45891</v>
      </c>
      <c r="Z619" s="8">
        <v>45817</v>
      </c>
      <c r="AC619" s="8" t="e">
        <f>VLOOKUP(B619,#REF!,19,0)</f>
        <v>#REF!</v>
      </c>
      <c r="AP619" s="8" t="str">
        <f t="shared" si="26"/>
        <v>BP Secured</v>
      </c>
      <c r="AQ619" s="10" t="b" cm="1">
        <f t="array" aca="1" ref="AQ619" ca="1">IF(AM619&gt;0,(TODAY()-AM619),IF(AL619&gt;0,(TODAY()-AL619),IF(AK619&gt;0,(TODAY()-AK619,IF(AI619&gt;0,(TODAY()-AI619),IF(AG619&gt;0,(TODAY()-AG619),IF(AF619&gt;0,(TODAY()-AF619),IF(X619&gt;0,(TODAY()-X619)," "))))))))</f>
        <v>0</v>
      </c>
      <c r="BD619" s="2" t="str">
        <f t="shared" si="27"/>
        <v>BP Secured</v>
      </c>
      <c r="BE619" s="2" t="e">
        <v>#VALUE!</v>
      </c>
      <c r="BG619" s="2" t="e">
        <v>#N/A</v>
      </c>
    </row>
    <row r="620" spans="2:59" hidden="1" x14ac:dyDescent="0.25">
      <c r="B620" s="2" t="s">
        <v>2852</v>
      </c>
      <c r="C620" s="2" t="s">
        <v>2853</v>
      </c>
      <c r="D620" s="44" t="s">
        <v>2854</v>
      </c>
      <c r="E620" s="2" t="s">
        <v>11</v>
      </c>
      <c r="F620" s="2" t="s">
        <v>696</v>
      </c>
      <c r="G620" s="2" t="s">
        <v>1</v>
      </c>
      <c r="H620" s="2" t="s">
        <v>165</v>
      </c>
      <c r="I620" s="2" t="s">
        <v>68</v>
      </c>
      <c r="J620" s="2" t="s">
        <v>181</v>
      </c>
      <c r="K620" s="2" t="s">
        <v>697</v>
      </c>
      <c r="L620" s="2" t="s">
        <v>2851</v>
      </c>
      <c r="M620" s="2">
        <v>0</v>
      </c>
      <c r="N620" s="2">
        <v>8.2277690000000003</v>
      </c>
      <c r="O620" s="2">
        <v>123.002859</v>
      </c>
      <c r="P620" s="2" t="s">
        <v>87</v>
      </c>
      <c r="Q620" s="2" t="s">
        <v>184</v>
      </c>
      <c r="R620" s="29" t="e">
        <f>IF(INDEX(#REF!,MATCH('data '!$B620,#REF!,0),MATCH('data '!R$3,#REF!,0))=0,"",INDEX(#REF!,MATCH('data '!$B620,#REF!,0),MATCH('data '!R$3,#REF!,0)))</f>
        <v>#REF!</v>
      </c>
      <c r="S620" s="29" t="e">
        <f>IF(INDEX(#REF!,MATCH('data '!$B620,#REF!,0),MATCH('data '!S$3,#REF!,0))=0,"",INDEX(#REF!,MATCH('data '!$B620,#REF!,0),MATCH('data '!S$3,#REF!,0)))</f>
        <v>#REF!</v>
      </c>
      <c r="T620" s="29" t="e">
        <f>IF(INDEX(#REF!,MATCH('data '!$B620,#REF!,0),MATCH('data '!T$3,#REF!,0))=0,"",INDEX(#REF!,MATCH('data '!$B620,#REF!,0),MATCH('data '!T$3,#REF!,0)))</f>
        <v>#REF!</v>
      </c>
      <c r="U620" s="8" t="s">
        <v>25</v>
      </c>
      <c r="V620" s="25" t="s">
        <v>185</v>
      </c>
      <c r="W620" s="25" t="s">
        <v>144</v>
      </c>
      <c r="X620" s="43" t="s">
        <v>25</v>
      </c>
      <c r="Y620" s="43">
        <v>45854</v>
      </c>
      <c r="AA620" s="8">
        <v>45666</v>
      </c>
      <c r="AC620" s="8" t="e">
        <f>VLOOKUP(B620,#REF!,19,0)</f>
        <v>#REF!</v>
      </c>
      <c r="AE620" s="8" t="s">
        <v>497</v>
      </c>
      <c r="AP620" s="8" t="str">
        <f t="shared" si="26"/>
        <v>BP Secured</v>
      </c>
      <c r="AQ620" s="10" t="b" cm="1">
        <f t="array" aca="1" ref="AQ620" ca="1">IF(AM620&gt;0,(TODAY()-AM620),IF(AL620&gt;0,(TODAY()-AL620),IF(AK620&gt;0,(TODAY()-AK620,IF(AI620&gt;0,(TODAY()-AI620),IF(AG620&gt;0,(TODAY()-AG620),IF(AF620&gt;0,(TODAY()-AF620),IF(X620&gt;0,(TODAY()-X620)," "))))))))</f>
        <v>0</v>
      </c>
      <c r="AT620" s="8" t="s">
        <v>155</v>
      </c>
      <c r="AU620" s="8">
        <v>45915</v>
      </c>
      <c r="AV620" s="8">
        <v>45914</v>
      </c>
      <c r="AX620" s="8">
        <v>45917</v>
      </c>
      <c r="BD620" s="2" t="str">
        <f t="shared" si="27"/>
        <v>PO Issued</v>
      </c>
      <c r="BE620" s="2">
        <v>23</v>
      </c>
      <c r="BG620" s="2" t="e">
        <v>#N/A</v>
      </c>
    </row>
    <row r="621" spans="2:59" hidden="1" x14ac:dyDescent="0.25">
      <c r="B621" s="2" t="s">
        <v>2855</v>
      </c>
      <c r="C621" s="2" t="s">
        <v>2856</v>
      </c>
      <c r="D621" s="44" t="s">
        <v>2857</v>
      </c>
      <c r="E621" s="2" t="s">
        <v>11</v>
      </c>
      <c r="F621" s="2" t="s">
        <v>869</v>
      </c>
      <c r="G621" s="2" t="s">
        <v>1</v>
      </c>
      <c r="H621" s="2" t="s">
        <v>165</v>
      </c>
      <c r="I621" s="2" t="s">
        <v>68</v>
      </c>
      <c r="J621" s="2" t="s">
        <v>181</v>
      </c>
      <c r="K621" s="2" t="s">
        <v>870</v>
      </c>
      <c r="L621" s="2" t="s">
        <v>2858</v>
      </c>
      <c r="M621" s="2">
        <v>0</v>
      </c>
      <c r="N621" s="2">
        <v>7.6235999999999997</v>
      </c>
      <c r="O621" s="2">
        <v>122.44759999999999</v>
      </c>
      <c r="P621" s="2" t="s">
        <v>87</v>
      </c>
      <c r="Q621" s="2" t="s">
        <v>73</v>
      </c>
      <c r="R621" s="29" t="e">
        <f>IF(INDEX(#REF!,MATCH('data '!$B621,#REF!,0),MATCH('data '!R$3,#REF!,0))=0,"",INDEX(#REF!,MATCH('data '!$B621,#REF!,0),MATCH('data '!R$3,#REF!,0)))</f>
        <v>#REF!</v>
      </c>
      <c r="S621" s="29" t="e">
        <f>IF(INDEX(#REF!,MATCH('data '!$B621,#REF!,0),MATCH('data '!S$3,#REF!,0))=0,"",INDEX(#REF!,MATCH('data '!$B621,#REF!,0),MATCH('data '!S$3,#REF!,0)))</f>
        <v>#REF!</v>
      </c>
      <c r="T621" s="29" t="e">
        <f>IF(INDEX(#REF!,MATCH('data '!$B621,#REF!,0),MATCH('data '!T$3,#REF!,0))=0,"",INDEX(#REF!,MATCH('data '!$B621,#REF!,0),MATCH('data '!T$3,#REF!,0)))</f>
        <v>#REF!</v>
      </c>
      <c r="U621" s="8" t="s">
        <v>25</v>
      </c>
      <c r="V621" s="25" t="s">
        <v>87</v>
      </c>
      <c r="W621" s="25" t="s">
        <v>144</v>
      </c>
      <c r="X621" s="43" t="s">
        <v>25</v>
      </c>
      <c r="Y621" s="43">
        <v>45905</v>
      </c>
      <c r="AC621" s="8" t="e">
        <f>VLOOKUP(B621,#REF!,19,0)</f>
        <v>#REF!</v>
      </c>
      <c r="AP621" s="8" t="str">
        <f t="shared" si="26"/>
        <v>BP Secured</v>
      </c>
      <c r="AQ621" s="10" t="b" cm="1">
        <f t="array" aca="1" ref="AQ621" ca="1">IF(AM621&gt;0,(TODAY()-AM621),IF(AL621&gt;0,(TODAY()-AL621),IF(AK621&gt;0,(TODAY()-AK621,IF(AI621&gt;0,(TODAY()-AI621),IF(AG621&gt;0,(TODAY()-AG621),IF(AF621&gt;0,(TODAY()-AF621),IF(X621&gt;0,(TODAY()-X621)," "))))))))</f>
        <v>0</v>
      </c>
      <c r="BD621" s="2" t="str">
        <f t="shared" si="27"/>
        <v>BP Secured</v>
      </c>
      <c r="BE621" s="2" t="e">
        <v>#VALUE!</v>
      </c>
      <c r="BG621" s="2" t="e">
        <v>#N/A</v>
      </c>
    </row>
    <row r="622" spans="2:59" hidden="1" x14ac:dyDescent="0.25">
      <c r="B622" s="2" t="s">
        <v>2859</v>
      </c>
      <c r="C622" s="2" t="s">
        <v>2860</v>
      </c>
      <c r="D622" s="44" t="s">
        <v>2861</v>
      </c>
      <c r="E622" s="2" t="s">
        <v>11</v>
      </c>
      <c r="F622" s="2" t="s">
        <v>869</v>
      </c>
      <c r="G622" s="2" t="s">
        <v>1</v>
      </c>
      <c r="H622" s="2" t="s">
        <v>165</v>
      </c>
      <c r="I622" s="2" t="s">
        <v>68</v>
      </c>
      <c r="J622" s="2" t="s">
        <v>181</v>
      </c>
      <c r="K622" s="2" t="s">
        <v>870</v>
      </c>
      <c r="L622" s="2" t="s">
        <v>2858</v>
      </c>
      <c r="M622" s="2" t="s">
        <v>2862</v>
      </c>
      <c r="N622" s="2">
        <v>7.5762999999999998</v>
      </c>
      <c r="O622" s="2">
        <v>122.4222</v>
      </c>
      <c r="P622" s="2" t="s">
        <v>87</v>
      </c>
      <c r="Q622" s="2" t="s">
        <v>198</v>
      </c>
      <c r="R622" s="29" t="e">
        <f>IF(INDEX(#REF!,MATCH('data '!$B622,#REF!,0),MATCH('data '!R$3,#REF!,0))=0,"",INDEX(#REF!,MATCH('data '!$B622,#REF!,0),MATCH('data '!R$3,#REF!,0)))</f>
        <v>#REF!</v>
      </c>
      <c r="S622" s="29" t="e">
        <f>IF(INDEX(#REF!,MATCH('data '!$B622,#REF!,0),MATCH('data '!S$3,#REF!,0))=0,"",INDEX(#REF!,MATCH('data '!$B622,#REF!,0),MATCH('data '!S$3,#REF!,0)))</f>
        <v>#REF!</v>
      </c>
      <c r="T622" s="29" t="e">
        <f>IF(INDEX(#REF!,MATCH('data '!$B622,#REF!,0),MATCH('data '!T$3,#REF!,0))=0,"",INDEX(#REF!,MATCH('data '!$B622,#REF!,0),MATCH('data '!T$3,#REF!,0)))</f>
        <v>#REF!</v>
      </c>
      <c r="U622" s="8" t="s">
        <v>25</v>
      </c>
      <c r="V622" s="25" t="s">
        <v>185</v>
      </c>
      <c r="W622" s="25" t="s">
        <v>144</v>
      </c>
      <c r="X622" s="43" t="s">
        <v>25</v>
      </c>
      <c r="Y622" s="43">
        <v>45845</v>
      </c>
      <c r="AC622" s="8" t="e">
        <f>VLOOKUP(B622,#REF!,19,0)</f>
        <v>#REF!</v>
      </c>
      <c r="AP622" s="8" t="str">
        <f t="shared" si="26"/>
        <v>BP Secured</v>
      </c>
      <c r="AQ622" s="10" t="b" cm="1">
        <f t="array" aca="1" ref="AQ622" ca="1">IF(AM622&gt;0,(TODAY()-AM622),IF(AL622&gt;0,(TODAY()-AL622),IF(AK622&gt;0,(TODAY()-AK622,IF(AI622&gt;0,(TODAY()-AI622),IF(AG622&gt;0,(TODAY()-AG622),IF(AF622&gt;0,(TODAY()-AF622),IF(X622&gt;0,(TODAY()-X622)," "))))))))</f>
        <v>0</v>
      </c>
      <c r="BD622" s="2" t="str">
        <f t="shared" si="27"/>
        <v>BP Secured</v>
      </c>
      <c r="BE622" s="2" t="e">
        <v>#VALUE!</v>
      </c>
      <c r="BG622" s="2" t="e">
        <v>#N/A</v>
      </c>
    </row>
    <row r="623" spans="2:59" hidden="1" x14ac:dyDescent="0.25">
      <c r="B623" s="2" t="s">
        <v>2863</v>
      </c>
      <c r="C623" s="2" t="s">
        <v>2864</v>
      </c>
      <c r="D623" s="44" t="s">
        <v>2865</v>
      </c>
      <c r="E623" s="2" t="s">
        <v>11</v>
      </c>
      <c r="F623" s="2" t="s">
        <v>869</v>
      </c>
      <c r="G623" s="2" t="s">
        <v>1</v>
      </c>
      <c r="H623" s="2" t="s">
        <v>165</v>
      </c>
      <c r="I623" s="2" t="s">
        <v>68</v>
      </c>
      <c r="J623" s="2" t="s">
        <v>181</v>
      </c>
      <c r="K623" s="2" t="s">
        <v>870</v>
      </c>
      <c r="L623" s="2" t="s">
        <v>871</v>
      </c>
      <c r="M623" s="2" t="s">
        <v>2866</v>
      </c>
      <c r="N623" s="2">
        <v>7.743214</v>
      </c>
      <c r="O623" s="2">
        <v>122.542011</v>
      </c>
      <c r="P623" s="2" t="s">
        <v>87</v>
      </c>
      <c r="Q623" s="2" t="s">
        <v>198</v>
      </c>
      <c r="R623" s="29" t="e">
        <f>IF(INDEX(#REF!,MATCH('data '!$B623,#REF!,0),MATCH('data '!R$3,#REF!,0))=0,"",INDEX(#REF!,MATCH('data '!$B623,#REF!,0),MATCH('data '!R$3,#REF!,0)))</f>
        <v>#REF!</v>
      </c>
      <c r="S623" s="29" t="e">
        <f>IF(INDEX(#REF!,MATCH('data '!$B623,#REF!,0),MATCH('data '!S$3,#REF!,0))=0,"",INDEX(#REF!,MATCH('data '!$B623,#REF!,0),MATCH('data '!S$3,#REF!,0)))</f>
        <v>#REF!</v>
      </c>
      <c r="T623" s="29" t="e">
        <f>IF(INDEX(#REF!,MATCH('data '!$B623,#REF!,0),MATCH('data '!T$3,#REF!,0))=0,"",INDEX(#REF!,MATCH('data '!$B623,#REF!,0),MATCH('data '!T$3,#REF!,0)))</f>
        <v>#REF!</v>
      </c>
      <c r="U623" s="8" t="s">
        <v>25</v>
      </c>
      <c r="V623" s="25" t="s">
        <v>185</v>
      </c>
      <c r="W623" s="25" t="s">
        <v>144</v>
      </c>
      <c r="X623" s="43" t="s">
        <v>25</v>
      </c>
      <c r="Y623" s="43">
        <v>45841</v>
      </c>
      <c r="AC623" s="8" t="e">
        <f>VLOOKUP(B623,#REF!,19,0)</f>
        <v>#REF!</v>
      </c>
      <c r="AP623" s="8" t="str">
        <f t="shared" si="26"/>
        <v>BP Secured</v>
      </c>
      <c r="AQ623" s="10" t="b" cm="1">
        <f t="array" aca="1" ref="AQ623" ca="1">IF(AM623&gt;0,(TODAY()-AM623),IF(AL623&gt;0,(TODAY()-AL623),IF(AK623&gt;0,(TODAY()-AK623,IF(AI623&gt;0,(TODAY()-AI623),IF(AG623&gt;0,(TODAY()-AG623),IF(AF623&gt;0,(TODAY()-AF623),IF(X623&gt;0,(TODAY()-X623)," "))))))))</f>
        <v>0</v>
      </c>
      <c r="BD623" s="2" t="str">
        <f t="shared" si="27"/>
        <v>BP Secured</v>
      </c>
      <c r="BE623" s="2" t="e">
        <v>#VALUE!</v>
      </c>
      <c r="BG623" s="2" t="e">
        <v>#N/A</v>
      </c>
    </row>
    <row r="624" spans="2:59" hidden="1" x14ac:dyDescent="0.25">
      <c r="B624" s="2" t="s">
        <v>2867</v>
      </c>
      <c r="C624" s="2" t="s">
        <v>2868</v>
      </c>
      <c r="D624" s="44" t="s">
        <v>2869</v>
      </c>
      <c r="E624" s="2" t="s">
        <v>11</v>
      </c>
      <c r="F624" s="2" t="s">
        <v>869</v>
      </c>
      <c r="G624" s="2" t="s">
        <v>1</v>
      </c>
      <c r="H624" s="2" t="s">
        <v>165</v>
      </c>
      <c r="I624" s="2" t="s">
        <v>68</v>
      </c>
      <c r="J624" s="2" t="s">
        <v>181</v>
      </c>
      <c r="K624" s="2" t="s">
        <v>870</v>
      </c>
      <c r="L624" s="2" t="s">
        <v>2870</v>
      </c>
      <c r="M624" s="2" t="s">
        <v>2871</v>
      </c>
      <c r="N624" s="2">
        <v>7.6950000000000003</v>
      </c>
      <c r="O624" s="2">
        <v>122.8904</v>
      </c>
      <c r="P624" s="2" t="s">
        <v>87</v>
      </c>
      <c r="Q624" s="2" t="s">
        <v>219</v>
      </c>
      <c r="R624" s="29" t="e">
        <f>IF(INDEX(#REF!,MATCH('data '!$B624,#REF!,0),MATCH('data '!R$3,#REF!,0))=0,"",INDEX(#REF!,MATCH('data '!$B624,#REF!,0),MATCH('data '!R$3,#REF!,0)))</f>
        <v>#REF!</v>
      </c>
      <c r="S624" s="29" t="e">
        <f>IF(INDEX(#REF!,MATCH('data '!$B624,#REF!,0),MATCH('data '!S$3,#REF!,0))=0,"",INDEX(#REF!,MATCH('data '!$B624,#REF!,0),MATCH('data '!S$3,#REF!,0)))</f>
        <v>#REF!</v>
      </c>
      <c r="T624" s="29" t="e">
        <f>IF(INDEX(#REF!,MATCH('data '!$B624,#REF!,0),MATCH('data '!T$3,#REF!,0))=0,"",INDEX(#REF!,MATCH('data '!$B624,#REF!,0),MATCH('data '!T$3,#REF!,0)))</f>
        <v>#REF!</v>
      </c>
      <c r="U624" s="8" t="s">
        <v>25</v>
      </c>
      <c r="V624" s="25" t="s">
        <v>266</v>
      </c>
      <c r="W624" s="25" t="s">
        <v>144</v>
      </c>
      <c r="X624" s="43" t="s">
        <v>25</v>
      </c>
      <c r="Y624" s="43">
        <v>45863</v>
      </c>
      <c r="Z624" s="8">
        <v>45665</v>
      </c>
      <c r="AC624" s="8" t="e">
        <f>VLOOKUP(B624,#REF!,19,0)</f>
        <v>#REF!</v>
      </c>
      <c r="AP624" s="8" t="str">
        <f t="shared" si="26"/>
        <v>BP Secured</v>
      </c>
      <c r="AQ624" s="10" t="b" cm="1">
        <f t="array" aca="1" ref="AQ624" ca="1">IF(AM624&gt;0,(TODAY()-AM624),IF(AL624&gt;0,(TODAY()-AL624),IF(AK624&gt;0,(TODAY()-AK624,IF(AI624&gt;0,(TODAY()-AI624),IF(AG624&gt;0,(TODAY()-AG624),IF(AF624&gt;0,(TODAY()-AF624),IF(X624&gt;0,(TODAY()-X624)," "))))))))</f>
        <v>0</v>
      </c>
      <c r="BD624" s="2" t="str">
        <f t="shared" si="27"/>
        <v>BP Secured</v>
      </c>
      <c r="BE624" s="2" t="e">
        <v>#VALUE!</v>
      </c>
      <c r="BG624" s="2" t="e">
        <v>#N/A</v>
      </c>
    </row>
    <row r="625" spans="2:59" hidden="1" x14ac:dyDescent="0.25">
      <c r="B625" s="2" t="s">
        <v>2872</v>
      </c>
      <c r="C625" s="2" t="s">
        <v>2873</v>
      </c>
      <c r="D625" s="44" t="s">
        <v>2874</v>
      </c>
      <c r="E625" s="2" t="s">
        <v>11</v>
      </c>
      <c r="F625" s="2" t="s">
        <v>869</v>
      </c>
      <c r="G625" s="2" t="s">
        <v>1</v>
      </c>
      <c r="H625" s="2" t="s">
        <v>165</v>
      </c>
      <c r="I625" s="2" t="s">
        <v>68</v>
      </c>
      <c r="J625" s="2" t="s">
        <v>181</v>
      </c>
      <c r="K625" s="2" t="s">
        <v>870</v>
      </c>
      <c r="L625" s="2" t="s">
        <v>2875</v>
      </c>
      <c r="M625" s="2">
        <v>0</v>
      </c>
      <c r="N625" s="2">
        <v>7.7253999999999996</v>
      </c>
      <c r="O625" s="2">
        <v>123.03570000000001</v>
      </c>
      <c r="P625" s="2" t="s">
        <v>87</v>
      </c>
      <c r="Q625" s="2" t="s">
        <v>198</v>
      </c>
      <c r="R625" s="29" t="e">
        <f>IF(INDEX(#REF!,MATCH('data '!$B625,#REF!,0),MATCH('data '!R$3,#REF!,0))=0,"",INDEX(#REF!,MATCH('data '!$B625,#REF!,0),MATCH('data '!R$3,#REF!,0)))</f>
        <v>#REF!</v>
      </c>
      <c r="S625" s="29" t="e">
        <f>IF(INDEX(#REF!,MATCH('data '!$B625,#REF!,0),MATCH('data '!S$3,#REF!,0))=0,"",INDEX(#REF!,MATCH('data '!$B625,#REF!,0),MATCH('data '!S$3,#REF!,0)))</f>
        <v>#REF!</v>
      </c>
      <c r="T625" s="29" t="e">
        <f>IF(INDEX(#REF!,MATCH('data '!$B625,#REF!,0),MATCH('data '!T$3,#REF!,0))=0,"",INDEX(#REF!,MATCH('data '!$B625,#REF!,0),MATCH('data '!T$3,#REF!,0)))</f>
        <v>#REF!</v>
      </c>
      <c r="U625" s="8" t="s">
        <v>25</v>
      </c>
      <c r="V625" s="25" t="s">
        <v>266</v>
      </c>
      <c r="W625" s="25" t="s">
        <v>144</v>
      </c>
      <c r="X625" s="9" t="s">
        <v>25</v>
      </c>
      <c r="Y625" s="9">
        <v>45848</v>
      </c>
      <c r="AC625" s="8" t="e">
        <f>VLOOKUP(B625,#REF!,19,0)</f>
        <v>#REF!</v>
      </c>
      <c r="AE625" s="8" t="s">
        <v>307</v>
      </c>
      <c r="AP625" s="8" t="str">
        <f t="shared" si="26"/>
        <v>BP Secured</v>
      </c>
      <c r="AQ625" s="10" t="b" cm="1">
        <f t="array" aca="1" ref="AQ625" ca="1">IF(AM625&gt;0,(TODAY()-AM625),IF(AL625&gt;0,(TODAY()-AL625),IF(AK625&gt;0,(TODAY()-AK625,IF(AI625&gt;0,(TODAY()-AI625),IF(AG625&gt;0,(TODAY()-AG625),IF(AF625&gt;0,(TODAY()-AF625),IF(X625&gt;0,(TODAY()-X625)," "))))))))</f>
        <v>0</v>
      </c>
      <c r="AT625" s="8" t="s">
        <v>155</v>
      </c>
      <c r="AU625" s="8">
        <v>45897</v>
      </c>
      <c r="AV625" s="8">
        <v>45899</v>
      </c>
      <c r="AX625" s="8">
        <v>45902</v>
      </c>
      <c r="BD625" s="2" t="str">
        <f t="shared" si="27"/>
        <v>PO Issued</v>
      </c>
      <c r="BE625" s="2">
        <v>38</v>
      </c>
      <c r="BG625" s="2" t="e">
        <v>#N/A</v>
      </c>
    </row>
    <row r="626" spans="2:59" hidden="1" x14ac:dyDescent="0.25">
      <c r="B626" s="2" t="s">
        <v>2876</v>
      </c>
      <c r="C626" s="2" t="s">
        <v>2877</v>
      </c>
      <c r="D626" s="44" t="s">
        <v>2878</v>
      </c>
      <c r="E626" s="2" t="s">
        <v>11</v>
      </c>
      <c r="F626" s="2" t="s">
        <v>869</v>
      </c>
      <c r="G626" s="2" t="s">
        <v>1</v>
      </c>
      <c r="H626" s="2" t="s">
        <v>165</v>
      </c>
      <c r="I626" s="2" t="s">
        <v>68</v>
      </c>
      <c r="J626" s="2" t="s">
        <v>181</v>
      </c>
      <c r="K626" s="2" t="s">
        <v>870</v>
      </c>
      <c r="L626" s="2" t="s">
        <v>2875</v>
      </c>
      <c r="M626" s="2">
        <v>0</v>
      </c>
      <c r="N626" s="2">
        <v>7.6866000000000003</v>
      </c>
      <c r="O626" s="2">
        <v>123.0788</v>
      </c>
      <c r="P626" s="2" t="s">
        <v>87</v>
      </c>
      <c r="Q626" s="2" t="s">
        <v>198</v>
      </c>
      <c r="R626" s="29" t="e">
        <f>IF(INDEX(#REF!,MATCH('data '!$B626,#REF!,0),MATCH('data '!R$3,#REF!,0))=0,"",INDEX(#REF!,MATCH('data '!$B626,#REF!,0),MATCH('data '!R$3,#REF!,0)))</f>
        <v>#REF!</v>
      </c>
      <c r="S626" s="29" t="e">
        <f>IF(INDEX(#REF!,MATCH('data '!$B626,#REF!,0),MATCH('data '!S$3,#REF!,0))=0,"",INDEX(#REF!,MATCH('data '!$B626,#REF!,0),MATCH('data '!S$3,#REF!,0)))</f>
        <v>#REF!</v>
      </c>
      <c r="T626" s="29" t="e">
        <f>IF(INDEX(#REF!,MATCH('data '!$B626,#REF!,0),MATCH('data '!T$3,#REF!,0))=0,"",INDEX(#REF!,MATCH('data '!$B626,#REF!,0),MATCH('data '!T$3,#REF!,0)))</f>
        <v>#REF!</v>
      </c>
      <c r="U626" s="8" t="s">
        <v>25</v>
      </c>
      <c r="V626" s="25" t="s">
        <v>266</v>
      </c>
      <c r="W626" s="25" t="s">
        <v>144</v>
      </c>
      <c r="X626" s="43" t="s">
        <v>25</v>
      </c>
      <c r="Y626" s="43">
        <v>45819</v>
      </c>
      <c r="Z626" s="8">
        <v>45968</v>
      </c>
      <c r="AC626" s="8" t="e">
        <f>VLOOKUP(B626,#REF!,19,0)</f>
        <v>#REF!</v>
      </c>
      <c r="AP626" s="8" t="str">
        <f t="shared" si="26"/>
        <v>BP Secured</v>
      </c>
      <c r="AQ626" s="10" t="b" cm="1">
        <f t="array" aca="1" ref="AQ626" ca="1">IF(AM626&gt;0,(TODAY()-AM626),IF(AL626&gt;0,(TODAY()-AL626),IF(AK626&gt;0,(TODAY()-AK626,IF(AI626&gt;0,(TODAY()-AI626),IF(AG626&gt;0,(TODAY()-AG626),IF(AF626&gt;0,(TODAY()-AF626),IF(X626&gt;0,(TODAY()-X626)," "))))))))</f>
        <v>0</v>
      </c>
      <c r="BD626" s="2" t="str">
        <f t="shared" si="27"/>
        <v>BP Secured</v>
      </c>
      <c r="BE626" s="2" t="e">
        <v>#VALUE!</v>
      </c>
      <c r="BG626" s="2" t="e">
        <v>#N/A</v>
      </c>
    </row>
    <row r="627" spans="2:59" hidden="1" x14ac:dyDescent="0.25">
      <c r="B627" s="2" t="s">
        <v>2879</v>
      </c>
      <c r="C627" s="2" t="s">
        <v>2880</v>
      </c>
      <c r="D627" s="44" t="s">
        <v>2881</v>
      </c>
      <c r="E627" s="2" t="s">
        <v>11</v>
      </c>
      <c r="F627" s="2" t="s">
        <v>869</v>
      </c>
      <c r="G627" s="2" t="s">
        <v>1</v>
      </c>
      <c r="H627" s="2" t="s">
        <v>165</v>
      </c>
      <c r="I627" s="2" t="s">
        <v>68</v>
      </c>
      <c r="J627" s="2" t="s">
        <v>181</v>
      </c>
      <c r="K627" s="2" t="s">
        <v>870</v>
      </c>
      <c r="L627" s="2" t="s">
        <v>2882</v>
      </c>
      <c r="M627" s="2">
        <v>0</v>
      </c>
      <c r="N627" s="2">
        <v>7.7263999999999999</v>
      </c>
      <c r="O627" s="2">
        <v>122.96850000000001</v>
      </c>
      <c r="P627" s="2" t="s">
        <v>87</v>
      </c>
      <c r="Q627" s="2" t="s">
        <v>198</v>
      </c>
      <c r="R627" s="29" t="e">
        <f>IF(INDEX(#REF!,MATCH('data '!$B627,#REF!,0),MATCH('data '!R$3,#REF!,0))=0,"",INDEX(#REF!,MATCH('data '!$B627,#REF!,0),MATCH('data '!R$3,#REF!,0)))</f>
        <v>#REF!</v>
      </c>
      <c r="S627" s="29" t="e">
        <f>IF(INDEX(#REF!,MATCH('data '!$B627,#REF!,0),MATCH('data '!S$3,#REF!,0))=0,"",INDEX(#REF!,MATCH('data '!$B627,#REF!,0),MATCH('data '!S$3,#REF!,0)))</f>
        <v>#REF!</v>
      </c>
      <c r="T627" s="29" t="e">
        <f>IF(INDEX(#REF!,MATCH('data '!$B627,#REF!,0),MATCH('data '!T$3,#REF!,0))=0,"",INDEX(#REF!,MATCH('data '!$B627,#REF!,0),MATCH('data '!T$3,#REF!,0)))</f>
        <v>#REF!</v>
      </c>
      <c r="U627" s="8" t="s">
        <v>25</v>
      </c>
      <c r="V627" s="25" t="s">
        <v>266</v>
      </c>
      <c r="W627" s="25" t="s">
        <v>144</v>
      </c>
      <c r="X627" s="43" t="s">
        <v>25</v>
      </c>
      <c r="Y627" s="43">
        <v>45869</v>
      </c>
      <c r="Z627" s="8">
        <v>45846</v>
      </c>
      <c r="AC627" s="8" t="e">
        <f>VLOOKUP(B627,#REF!,19,0)</f>
        <v>#REF!</v>
      </c>
      <c r="AP627" s="8" t="str">
        <f t="shared" si="26"/>
        <v>BP Secured</v>
      </c>
      <c r="AQ627" s="10" t="b" cm="1">
        <f t="array" aca="1" ref="AQ627" ca="1">IF(AM627&gt;0,(TODAY()-AM627),IF(AL627&gt;0,(TODAY()-AL627),IF(AK627&gt;0,(TODAY()-AK627,IF(AI627&gt;0,(TODAY()-AI627),IF(AG627&gt;0,(TODAY()-AG627),IF(AF627&gt;0,(TODAY()-AF627),IF(X627&gt;0,(TODAY()-X627)," "))))))))</f>
        <v>0</v>
      </c>
      <c r="BD627" s="2" t="str">
        <f t="shared" si="27"/>
        <v>BP Secured</v>
      </c>
      <c r="BE627" s="2" t="e">
        <v>#VALUE!</v>
      </c>
      <c r="BG627" s="2" t="e">
        <v>#N/A</v>
      </c>
    </row>
    <row r="628" spans="2:59" hidden="1" x14ac:dyDescent="0.25">
      <c r="B628" s="2" t="s">
        <v>2883</v>
      </c>
      <c r="C628" s="2" t="s">
        <v>2884</v>
      </c>
      <c r="D628" s="44" t="s">
        <v>2885</v>
      </c>
      <c r="E628" s="2" t="s">
        <v>11</v>
      </c>
      <c r="F628" s="2" t="s">
        <v>869</v>
      </c>
      <c r="G628" s="2" t="s">
        <v>1</v>
      </c>
      <c r="H628" s="2" t="s">
        <v>165</v>
      </c>
      <c r="I628" s="2" t="s">
        <v>68</v>
      </c>
      <c r="J628" s="2" t="s">
        <v>181</v>
      </c>
      <c r="K628" s="2" t="s">
        <v>870</v>
      </c>
      <c r="L628" s="2" t="s">
        <v>2882</v>
      </c>
      <c r="M628" s="2">
        <v>0</v>
      </c>
      <c r="N628" s="2">
        <v>0</v>
      </c>
      <c r="O628" s="2">
        <v>0</v>
      </c>
      <c r="P628" s="2" t="s">
        <v>82</v>
      </c>
      <c r="Q628" s="2" t="s">
        <v>73</v>
      </c>
      <c r="R628" s="29" t="e">
        <f>IF(INDEX(#REF!,MATCH('data '!$B628,#REF!,0),MATCH('data '!R$3,#REF!,0))=0,"",INDEX(#REF!,MATCH('data '!$B628,#REF!,0),MATCH('data '!R$3,#REF!,0)))</f>
        <v>#REF!</v>
      </c>
      <c r="S628" s="29" t="e">
        <f>IF(INDEX(#REF!,MATCH('data '!$B628,#REF!,0),MATCH('data '!S$3,#REF!,0))=0,"",INDEX(#REF!,MATCH('data '!$B628,#REF!,0),MATCH('data '!S$3,#REF!,0)))</f>
        <v>#REF!</v>
      </c>
      <c r="T628" s="29" t="e">
        <f>IF(INDEX(#REF!,MATCH('data '!$B628,#REF!,0),MATCH('data '!T$3,#REF!,0))=0,"",INDEX(#REF!,MATCH('data '!$B628,#REF!,0),MATCH('data '!T$3,#REF!,0)))</f>
        <v>#REF!</v>
      </c>
      <c r="V628" s="25" t="s">
        <v>168</v>
      </c>
      <c r="W628" s="25" t="s">
        <v>176</v>
      </c>
      <c r="AC628" s="8" t="e">
        <f>VLOOKUP(B628,#REF!,19,0)</f>
        <v>#REF!</v>
      </c>
      <c r="AP628" s="8" t="str">
        <f t="shared" si="26"/>
        <v>Not yet endorsed</v>
      </c>
      <c r="AQ628" s="10" t="b" cm="1">
        <f t="array" aca="1" ref="AQ628" ca="1">IF(AM628&gt;0,(TODAY()-AM628),IF(AL628&gt;0,(TODAY()-AL628),IF(AK628&gt;0,(TODAY()-AK628,IF(AI628&gt;0,(TODAY()-AI628),IF(AG628&gt;0,(TODAY()-AG628),IF(AF628&gt;0,(TODAY()-AF628),IF(X628&gt;0,(TODAY()-X628)," "))))))))</f>
        <v>0</v>
      </c>
      <c r="BD628" s="2" t="str">
        <f t="shared" si="27"/>
        <v>Not yet endorsed</v>
      </c>
      <c r="BE628" s="2" t="s">
        <v>75</v>
      </c>
      <c r="BG628" s="2" t="e">
        <v>#N/A</v>
      </c>
    </row>
    <row r="629" spans="2:59" hidden="1" x14ac:dyDescent="0.25">
      <c r="B629" s="2" t="s">
        <v>2886</v>
      </c>
      <c r="C629" s="2" t="s">
        <v>2887</v>
      </c>
      <c r="D629" s="44" t="s">
        <v>2888</v>
      </c>
      <c r="E629" s="2" t="s">
        <v>11</v>
      </c>
      <c r="F629" s="2" t="s">
        <v>869</v>
      </c>
      <c r="G629" s="2" t="s">
        <v>1</v>
      </c>
      <c r="H629" s="2" t="s">
        <v>165</v>
      </c>
      <c r="I629" s="2" t="s">
        <v>68</v>
      </c>
      <c r="J629" s="2" t="s">
        <v>181</v>
      </c>
      <c r="K629" s="2" t="s">
        <v>870</v>
      </c>
      <c r="L629" s="2" t="s">
        <v>2889</v>
      </c>
      <c r="M629" s="2" t="s">
        <v>1166</v>
      </c>
      <c r="N629" s="2">
        <v>7.5867279999999999</v>
      </c>
      <c r="O629" s="2">
        <v>122.869111</v>
      </c>
      <c r="P629" s="2" t="s">
        <v>87</v>
      </c>
      <c r="Q629" s="2" t="s">
        <v>219</v>
      </c>
      <c r="R629" s="29" t="e">
        <f>IF(INDEX(#REF!,MATCH('data '!$B629,#REF!,0),MATCH('data '!R$3,#REF!,0))=0,"",INDEX(#REF!,MATCH('data '!$B629,#REF!,0),MATCH('data '!R$3,#REF!,0)))</f>
        <v>#REF!</v>
      </c>
      <c r="S629" s="29" t="e">
        <f>IF(INDEX(#REF!,MATCH('data '!$B629,#REF!,0),MATCH('data '!S$3,#REF!,0))=0,"",INDEX(#REF!,MATCH('data '!$B629,#REF!,0),MATCH('data '!S$3,#REF!,0)))</f>
        <v>#REF!</v>
      </c>
      <c r="T629" s="29" t="e">
        <f>IF(INDEX(#REF!,MATCH('data '!$B629,#REF!,0),MATCH('data '!T$3,#REF!,0))=0,"",INDEX(#REF!,MATCH('data '!$B629,#REF!,0),MATCH('data '!T$3,#REF!,0)))</f>
        <v>#REF!</v>
      </c>
      <c r="U629" s="8" t="s">
        <v>25</v>
      </c>
      <c r="V629" s="25" t="s">
        <v>266</v>
      </c>
      <c r="W629" s="25" t="s">
        <v>144</v>
      </c>
      <c r="X629" s="43" t="s">
        <v>25</v>
      </c>
      <c r="Y629" s="43">
        <v>45859</v>
      </c>
      <c r="Z629" s="8">
        <v>45846</v>
      </c>
      <c r="AC629" s="8" t="e">
        <f>VLOOKUP(B629,#REF!,19,0)</f>
        <v>#REF!</v>
      </c>
      <c r="AP629" s="8" t="str">
        <f t="shared" si="26"/>
        <v>BP Secured</v>
      </c>
      <c r="AQ629" s="10" t="b" cm="1">
        <f t="array" aca="1" ref="AQ629" ca="1">IF(AM629&gt;0,(TODAY()-AM629),IF(AL629&gt;0,(TODAY()-AL629),IF(AK629&gt;0,(TODAY()-AK629,IF(AI629&gt;0,(TODAY()-AI629),IF(AG629&gt;0,(TODAY()-AG629),IF(AF629&gt;0,(TODAY()-AF629),IF(X629&gt;0,(TODAY()-X629)," "))))))))</f>
        <v>0</v>
      </c>
      <c r="BD629" s="2" t="str">
        <f t="shared" si="27"/>
        <v>BP Secured</v>
      </c>
      <c r="BE629" s="2" t="e">
        <v>#VALUE!</v>
      </c>
      <c r="BG629" s="2" t="e">
        <v>#N/A</v>
      </c>
    </row>
    <row r="630" spans="2:59" hidden="1" x14ac:dyDescent="0.25">
      <c r="B630" s="2" t="s">
        <v>2890</v>
      </c>
      <c r="C630" s="2" t="s">
        <v>2891</v>
      </c>
      <c r="D630" s="44" t="s">
        <v>2892</v>
      </c>
      <c r="E630" s="2" t="s">
        <v>11</v>
      </c>
      <c r="F630" s="2" t="s">
        <v>1232</v>
      </c>
      <c r="G630" s="2" t="s">
        <v>1</v>
      </c>
      <c r="H630" s="2" t="s">
        <v>165</v>
      </c>
      <c r="I630" s="2" t="s">
        <v>68</v>
      </c>
      <c r="J630" s="2" t="s">
        <v>173</v>
      </c>
      <c r="K630" s="2" t="s">
        <v>1233</v>
      </c>
      <c r="L630" s="2" t="s">
        <v>2893</v>
      </c>
      <c r="M630" s="2">
        <v>0</v>
      </c>
      <c r="N630" s="2">
        <v>7.9394</v>
      </c>
      <c r="O630" s="2">
        <v>123.7745</v>
      </c>
      <c r="P630" s="2" t="s">
        <v>87</v>
      </c>
      <c r="Q630" s="2" t="s">
        <v>314</v>
      </c>
      <c r="R630" s="29" t="e">
        <f>IF(INDEX(#REF!,MATCH('data '!$B630,#REF!,0),MATCH('data '!R$3,#REF!,0))=0,"",INDEX(#REF!,MATCH('data '!$B630,#REF!,0),MATCH('data '!R$3,#REF!,0)))</f>
        <v>#REF!</v>
      </c>
      <c r="S630" s="29" t="e">
        <f>IF(INDEX(#REF!,MATCH('data '!$B630,#REF!,0),MATCH('data '!S$3,#REF!,0))=0,"",INDEX(#REF!,MATCH('data '!$B630,#REF!,0),MATCH('data '!S$3,#REF!,0)))</f>
        <v>#REF!</v>
      </c>
      <c r="T630" s="29" t="e">
        <f>IF(INDEX(#REF!,MATCH('data '!$B630,#REF!,0),MATCH('data '!T$3,#REF!,0))=0,"",INDEX(#REF!,MATCH('data '!$B630,#REF!,0),MATCH('data '!T$3,#REF!,0)))</f>
        <v>#REF!</v>
      </c>
      <c r="U630" s="8" t="s">
        <v>25</v>
      </c>
      <c r="V630" s="25" t="s">
        <v>87</v>
      </c>
      <c r="W630" s="25" t="s">
        <v>144</v>
      </c>
      <c r="X630" s="43" t="s">
        <v>25</v>
      </c>
      <c r="Y630" s="43">
        <v>45905</v>
      </c>
      <c r="AC630" s="8" t="e">
        <f>VLOOKUP(B630,#REF!,19,0)</f>
        <v>#REF!</v>
      </c>
      <c r="AP630" s="8" t="str">
        <f t="shared" si="26"/>
        <v>BP Secured</v>
      </c>
      <c r="AQ630" s="10" t="b" cm="1">
        <f t="array" aca="1" ref="AQ630" ca="1">IF(AM630&gt;0,(TODAY()-AM630),IF(AL630&gt;0,(TODAY()-AL630),IF(AK630&gt;0,(TODAY()-AK630,IF(AI630&gt;0,(TODAY()-AI630),IF(AG630&gt;0,(TODAY()-AG630),IF(AF630&gt;0,(TODAY()-AF630),IF(X630&gt;0,(TODAY()-X630)," "))))))))</f>
        <v>0</v>
      </c>
      <c r="BD630" s="2" t="str">
        <f t="shared" si="27"/>
        <v>BP Secured</v>
      </c>
      <c r="BE630" s="2" t="e">
        <v>#VALUE!</v>
      </c>
      <c r="BG630" s="2" t="e">
        <v>#N/A</v>
      </c>
    </row>
    <row r="631" spans="2:59" hidden="1" x14ac:dyDescent="0.25">
      <c r="B631" s="2" t="s">
        <v>2894</v>
      </c>
      <c r="C631" s="2" t="s">
        <v>2895</v>
      </c>
      <c r="D631" s="44" t="s">
        <v>2896</v>
      </c>
      <c r="E631" s="2" t="s">
        <v>11</v>
      </c>
      <c r="F631" s="2" t="s">
        <v>1232</v>
      </c>
      <c r="G631" s="2" t="s">
        <v>1</v>
      </c>
      <c r="H631" s="2" t="s">
        <v>165</v>
      </c>
      <c r="I631" s="2" t="s">
        <v>68</v>
      </c>
      <c r="J631" s="2" t="s">
        <v>173</v>
      </c>
      <c r="K631" s="2" t="s">
        <v>1233</v>
      </c>
      <c r="L631" s="2" t="s">
        <v>2897</v>
      </c>
      <c r="M631" s="2">
        <v>0</v>
      </c>
      <c r="N631" s="2">
        <v>0</v>
      </c>
      <c r="O631" s="2">
        <v>0</v>
      </c>
      <c r="P631" s="2" t="s">
        <v>482</v>
      </c>
      <c r="Q631" s="2" t="s">
        <v>73</v>
      </c>
      <c r="R631" s="29" t="e">
        <f>IF(INDEX(#REF!,MATCH('data '!$B631,#REF!,0),MATCH('data '!R$3,#REF!,0))=0,"",INDEX(#REF!,MATCH('data '!$B631,#REF!,0),MATCH('data '!R$3,#REF!,0)))</f>
        <v>#REF!</v>
      </c>
      <c r="S631" s="29" t="e">
        <f>IF(INDEX(#REF!,MATCH('data '!$B631,#REF!,0),MATCH('data '!S$3,#REF!,0))=0,"",INDEX(#REF!,MATCH('data '!$B631,#REF!,0),MATCH('data '!S$3,#REF!,0)))</f>
        <v>#REF!</v>
      </c>
      <c r="T631" s="29" t="e">
        <f>IF(INDEX(#REF!,MATCH('data '!$B631,#REF!,0),MATCH('data '!T$3,#REF!,0))=0,"",INDEX(#REF!,MATCH('data '!$B631,#REF!,0),MATCH('data '!T$3,#REF!,0)))</f>
        <v>#REF!</v>
      </c>
      <c r="V631" s="25" t="s">
        <v>74</v>
      </c>
      <c r="W631" s="25">
        <v>0</v>
      </c>
      <c r="AC631" s="8" t="e">
        <f>VLOOKUP(B631,#REF!,19,0)</f>
        <v>#REF!</v>
      </c>
      <c r="AP631" s="8" t="str">
        <f t="shared" si="26"/>
        <v>Not yet endorsed</v>
      </c>
      <c r="AQ631" s="10" t="b" cm="1">
        <f t="array" aca="1" ref="AQ631" ca="1">IF(AM631&gt;0,(TODAY()-AM631),IF(AL631&gt;0,(TODAY()-AL631),IF(AK631&gt;0,(TODAY()-AK631,IF(AI631&gt;0,(TODAY()-AI631),IF(AG631&gt;0,(TODAY()-AG631),IF(AF631&gt;0,(TODAY()-AF631),IF(X631&gt;0,(TODAY()-X631)," "))))))))</f>
        <v>0</v>
      </c>
      <c r="BD631" s="2" t="str">
        <f t="shared" si="27"/>
        <v>Not yet endorsed</v>
      </c>
      <c r="BE631" s="2" t="s">
        <v>75</v>
      </c>
      <c r="BG631" s="2" t="e">
        <v>#N/A</v>
      </c>
    </row>
    <row r="632" spans="2:59" hidden="1" x14ac:dyDescent="0.25">
      <c r="B632" s="2" t="s">
        <v>2898</v>
      </c>
      <c r="C632" s="2" t="s">
        <v>2899</v>
      </c>
      <c r="D632" s="44" t="s">
        <v>2900</v>
      </c>
      <c r="E632" s="2" t="s">
        <v>11</v>
      </c>
      <c r="F632" s="2" t="s">
        <v>1232</v>
      </c>
      <c r="G632" s="2" t="s">
        <v>1</v>
      </c>
      <c r="H632" s="2" t="s">
        <v>165</v>
      </c>
      <c r="I632" s="2" t="s">
        <v>68</v>
      </c>
      <c r="J632" s="2" t="s">
        <v>173</v>
      </c>
      <c r="K632" s="2" t="s">
        <v>1233</v>
      </c>
      <c r="L632" s="2" t="s">
        <v>2901</v>
      </c>
      <c r="M632" s="2">
        <v>0</v>
      </c>
      <c r="N632" s="2">
        <v>0</v>
      </c>
      <c r="O632" s="2">
        <v>0</v>
      </c>
      <c r="P632" s="2" t="s">
        <v>116</v>
      </c>
      <c r="Q632" s="2" t="s">
        <v>73</v>
      </c>
      <c r="R632" s="29" t="e">
        <f>IF(INDEX(#REF!,MATCH('data '!$B632,#REF!,0),MATCH('data '!R$3,#REF!,0))=0,"",INDEX(#REF!,MATCH('data '!$B632,#REF!,0),MATCH('data '!R$3,#REF!,0)))</f>
        <v>#REF!</v>
      </c>
      <c r="S632" s="29" t="e">
        <f>IF(INDEX(#REF!,MATCH('data '!$B632,#REF!,0),MATCH('data '!S$3,#REF!,0))=0,"",INDEX(#REF!,MATCH('data '!$B632,#REF!,0),MATCH('data '!S$3,#REF!,0)))</f>
        <v>#REF!</v>
      </c>
      <c r="T632" s="29" t="e">
        <f>IF(INDEX(#REF!,MATCH('data '!$B632,#REF!,0),MATCH('data '!T$3,#REF!,0))=0,"",INDEX(#REF!,MATCH('data '!$B632,#REF!,0),MATCH('data '!T$3,#REF!,0)))</f>
        <v>#REF!</v>
      </c>
      <c r="V632" s="25" t="s">
        <v>74</v>
      </c>
      <c r="W632" s="25">
        <v>0</v>
      </c>
      <c r="AC632" s="8" t="e">
        <f>VLOOKUP(B632,#REF!,19,0)</f>
        <v>#REF!</v>
      </c>
      <c r="AP632" s="8" t="str">
        <f t="shared" si="26"/>
        <v>Not yet endorsed</v>
      </c>
      <c r="AQ632" s="10" t="b" cm="1">
        <f t="array" aca="1" ref="AQ632" ca="1">IF(AM632&gt;0,(TODAY()-AM632),IF(AL632&gt;0,(TODAY()-AL632),IF(AK632&gt;0,(TODAY()-AK632,IF(AI632&gt;0,(TODAY()-AI632),IF(AG632&gt;0,(TODAY()-AG632),IF(AF632&gt;0,(TODAY()-AF632),IF(X632&gt;0,(TODAY()-X632)," "))))))))</f>
        <v>0</v>
      </c>
      <c r="BD632" s="2" t="str">
        <f t="shared" si="27"/>
        <v>Not yet endorsed</v>
      </c>
      <c r="BE632" s="2" t="s">
        <v>75</v>
      </c>
      <c r="BG632" s="2" t="e">
        <v>#N/A</v>
      </c>
    </row>
    <row r="633" spans="2:59" hidden="1" x14ac:dyDescent="0.25">
      <c r="B633" s="2" t="s">
        <v>2902</v>
      </c>
      <c r="C633" s="2" t="s">
        <v>2903</v>
      </c>
      <c r="D633" s="44" t="s">
        <v>2904</v>
      </c>
      <c r="E633" s="2" t="s">
        <v>11</v>
      </c>
      <c r="F633" s="2" t="s">
        <v>1232</v>
      </c>
      <c r="G633" s="2" t="s">
        <v>1</v>
      </c>
      <c r="H633" s="2" t="s">
        <v>165</v>
      </c>
      <c r="I633" s="2" t="s">
        <v>68</v>
      </c>
      <c r="J633" s="2" t="s">
        <v>173</v>
      </c>
      <c r="K633" s="2" t="s">
        <v>1233</v>
      </c>
      <c r="L633" s="2" t="s">
        <v>2905</v>
      </c>
      <c r="M633" s="2">
        <v>0</v>
      </c>
      <c r="N633" s="2">
        <v>0</v>
      </c>
      <c r="O633" s="2">
        <v>0</v>
      </c>
      <c r="P633" s="2" t="s">
        <v>490</v>
      </c>
      <c r="Q633" s="2" t="s">
        <v>73</v>
      </c>
      <c r="R633" s="29" t="e">
        <f>IF(INDEX(#REF!,MATCH('data '!$B633,#REF!,0),MATCH('data '!R$3,#REF!,0))=0,"",INDEX(#REF!,MATCH('data '!$B633,#REF!,0),MATCH('data '!R$3,#REF!,0)))</f>
        <v>#REF!</v>
      </c>
      <c r="S633" s="29" t="e">
        <f>IF(INDEX(#REF!,MATCH('data '!$B633,#REF!,0),MATCH('data '!S$3,#REF!,0))=0,"",INDEX(#REF!,MATCH('data '!$B633,#REF!,0),MATCH('data '!S$3,#REF!,0)))</f>
        <v>#REF!</v>
      </c>
      <c r="T633" s="29" t="e">
        <f>IF(INDEX(#REF!,MATCH('data '!$B633,#REF!,0),MATCH('data '!T$3,#REF!,0))=0,"",INDEX(#REF!,MATCH('data '!$B633,#REF!,0),MATCH('data '!T$3,#REF!,0)))</f>
        <v>#REF!</v>
      </c>
      <c r="U633" s="8" t="s">
        <v>25</v>
      </c>
      <c r="V633" s="25" t="s">
        <v>133</v>
      </c>
      <c r="W633" s="25" t="s">
        <v>134</v>
      </c>
      <c r="AC633" s="8" t="e">
        <f>VLOOKUP(B633,#REF!,19,0)</f>
        <v>#REF!</v>
      </c>
      <c r="AP633" s="8" t="str">
        <f t="shared" si="26"/>
        <v>Not yet endorsed</v>
      </c>
      <c r="AQ633" s="10" t="b" cm="1">
        <f t="array" aca="1" ref="AQ633" ca="1">IF(AM633&gt;0,(TODAY()-AM633),IF(AL633&gt;0,(TODAY()-AL633),IF(AK633&gt;0,(TODAY()-AK633,IF(AI633&gt;0,(TODAY()-AI633),IF(AG633&gt;0,(TODAY()-AG633),IF(AF633&gt;0,(TODAY()-AF633),IF(X633&gt;0,(TODAY()-X633)," "))))))))</f>
        <v>0</v>
      </c>
      <c r="BD633" s="2" t="str">
        <f t="shared" si="27"/>
        <v>TSSR Approved</v>
      </c>
      <c r="BE633" s="2" t="e">
        <v>#VALUE!</v>
      </c>
      <c r="BG633" s="2" t="e">
        <v>#N/A</v>
      </c>
    </row>
    <row r="634" spans="2:59" hidden="1" x14ac:dyDescent="0.25">
      <c r="B634" s="2" t="s">
        <v>2906</v>
      </c>
      <c r="C634" s="2" t="s">
        <v>2907</v>
      </c>
      <c r="D634" s="44" t="s">
        <v>2908</v>
      </c>
      <c r="E634" s="2" t="s">
        <v>11</v>
      </c>
      <c r="F634" s="2" t="s">
        <v>1232</v>
      </c>
      <c r="G634" s="2" t="s">
        <v>1</v>
      </c>
      <c r="H634" s="2" t="s">
        <v>165</v>
      </c>
      <c r="I634" s="2" t="s">
        <v>68</v>
      </c>
      <c r="J634" s="2" t="s">
        <v>173</v>
      </c>
      <c r="K634" s="2" t="s">
        <v>1233</v>
      </c>
      <c r="L634" s="2" t="s">
        <v>2909</v>
      </c>
      <c r="M634" s="2">
        <v>0</v>
      </c>
      <c r="N634" s="2">
        <v>8.1924299999999999</v>
      </c>
      <c r="O634" s="2">
        <v>124.0386</v>
      </c>
      <c r="P634" s="2" t="s">
        <v>87</v>
      </c>
      <c r="Q634" s="2" t="s">
        <v>198</v>
      </c>
      <c r="R634" s="29" t="e">
        <f>IF(INDEX(#REF!,MATCH('data '!$B634,#REF!,0),MATCH('data '!R$3,#REF!,0))=0,"",INDEX(#REF!,MATCH('data '!$B634,#REF!,0),MATCH('data '!R$3,#REF!,0)))</f>
        <v>#REF!</v>
      </c>
      <c r="S634" s="29" t="e">
        <f>IF(INDEX(#REF!,MATCH('data '!$B634,#REF!,0),MATCH('data '!S$3,#REF!,0))=0,"",INDEX(#REF!,MATCH('data '!$B634,#REF!,0),MATCH('data '!S$3,#REF!,0)))</f>
        <v>#REF!</v>
      </c>
      <c r="T634" s="29" t="e">
        <f>IF(INDEX(#REF!,MATCH('data '!$B634,#REF!,0),MATCH('data '!T$3,#REF!,0))=0,"",INDEX(#REF!,MATCH('data '!$B634,#REF!,0),MATCH('data '!T$3,#REF!,0)))</f>
        <v>#REF!</v>
      </c>
      <c r="U634" s="8" t="s">
        <v>25</v>
      </c>
      <c r="V634" s="25" t="s">
        <v>351</v>
      </c>
      <c r="W634" s="25" t="s">
        <v>144</v>
      </c>
      <c r="X634" s="43" t="s">
        <v>25</v>
      </c>
      <c r="Y634" s="43">
        <v>45848</v>
      </c>
      <c r="AC634" s="8" t="e">
        <f>VLOOKUP(B634,#REF!,19,0)</f>
        <v>#REF!</v>
      </c>
      <c r="AE634" s="8" t="s">
        <v>472</v>
      </c>
      <c r="AP634" s="8" t="str">
        <f t="shared" si="26"/>
        <v>BP Secured</v>
      </c>
      <c r="AQ634" s="10" t="b" cm="1">
        <f t="array" aca="1" ref="AQ634" ca="1">IF(AM634&gt;0,(TODAY()-AM634),IF(AL634&gt;0,(TODAY()-AL634),IF(AK634&gt;0,(TODAY()-AK634,IF(AI634&gt;0,(TODAY()-AI634),IF(AG634&gt;0,(TODAY()-AG634),IF(AF634&gt;0,(TODAY()-AF634),IF(X634&gt;0,(TODAY()-X634)," "))))))))</f>
        <v>0</v>
      </c>
      <c r="AT634" s="8">
        <v>45927</v>
      </c>
      <c r="BD634" s="2" t="str">
        <f t="shared" si="27"/>
        <v>BoQ Submitted</v>
      </c>
      <c r="BE634" s="2">
        <v>13</v>
      </c>
      <c r="BG634" s="2" t="e">
        <v>#N/A</v>
      </c>
    </row>
    <row r="635" spans="2:59" hidden="1" x14ac:dyDescent="0.25">
      <c r="B635" s="2" t="s">
        <v>2910</v>
      </c>
      <c r="C635" s="2" t="s">
        <v>2911</v>
      </c>
      <c r="D635" s="44" t="s">
        <v>2912</v>
      </c>
      <c r="E635" s="2" t="s">
        <v>11</v>
      </c>
      <c r="F635" s="2" t="s">
        <v>1232</v>
      </c>
      <c r="G635" s="2" t="s">
        <v>1</v>
      </c>
      <c r="H635" s="2" t="s">
        <v>165</v>
      </c>
      <c r="I635" s="2" t="s">
        <v>68</v>
      </c>
      <c r="J635" s="2" t="s">
        <v>173</v>
      </c>
      <c r="K635" s="2" t="s">
        <v>1233</v>
      </c>
      <c r="L635" s="2" t="s">
        <v>2913</v>
      </c>
      <c r="M635" s="2" t="s">
        <v>305</v>
      </c>
      <c r="N635" s="2">
        <v>8.1721699999999995</v>
      </c>
      <c r="O635" s="2">
        <v>124.20417</v>
      </c>
      <c r="P635" s="2" t="s">
        <v>87</v>
      </c>
      <c r="Q635" s="2" t="s">
        <v>198</v>
      </c>
      <c r="R635" s="29" t="e">
        <f>IF(INDEX(#REF!,MATCH('data '!$B635,#REF!,0),MATCH('data '!R$3,#REF!,0))=0,"",INDEX(#REF!,MATCH('data '!$B635,#REF!,0),MATCH('data '!R$3,#REF!,0)))</f>
        <v>#REF!</v>
      </c>
      <c r="S635" s="29" t="e">
        <f>IF(INDEX(#REF!,MATCH('data '!$B635,#REF!,0),MATCH('data '!S$3,#REF!,0))=0,"",INDEX(#REF!,MATCH('data '!$B635,#REF!,0),MATCH('data '!S$3,#REF!,0)))</f>
        <v>#REF!</v>
      </c>
      <c r="T635" s="29" t="e">
        <f>IF(INDEX(#REF!,MATCH('data '!$B635,#REF!,0),MATCH('data '!T$3,#REF!,0))=0,"",INDEX(#REF!,MATCH('data '!$B635,#REF!,0),MATCH('data '!T$3,#REF!,0)))</f>
        <v>#REF!</v>
      </c>
      <c r="U635" s="8" t="s">
        <v>25</v>
      </c>
      <c r="V635" s="25" t="s">
        <v>160</v>
      </c>
      <c r="W635" s="25" t="s">
        <v>144</v>
      </c>
      <c r="X635" s="43" t="s">
        <v>25</v>
      </c>
      <c r="Y635" s="43">
        <v>45804</v>
      </c>
      <c r="Z635" s="8">
        <v>45695</v>
      </c>
      <c r="AC635" s="8" t="e">
        <f>VLOOKUP(B635,#REF!,19,0)</f>
        <v>#REF!</v>
      </c>
      <c r="AE635" s="8" t="s">
        <v>497</v>
      </c>
      <c r="AP635" s="8" t="str">
        <f t="shared" si="26"/>
        <v>BP Secured</v>
      </c>
      <c r="AQ635" s="10" t="b" cm="1">
        <f t="array" aca="1" ref="AQ635" ca="1">IF(AM635&gt;0,(TODAY()-AM635),IF(AL635&gt;0,(TODAY()-AL635),IF(AK635&gt;0,(TODAY()-AK635,IF(AI635&gt;0,(TODAY()-AI635),IF(AG635&gt;0,(TODAY()-AG635),IF(AF635&gt;0,(TODAY()-AF635),IF(X635&gt;0,(TODAY()-X635)," "))))))))</f>
        <v>0</v>
      </c>
      <c r="AT635" s="8" t="s">
        <v>155</v>
      </c>
      <c r="AU635" s="8">
        <v>45917</v>
      </c>
      <c r="BD635" s="2" t="str">
        <f t="shared" si="27"/>
        <v>BoQ Approved</v>
      </c>
      <c r="BE635" s="2">
        <v>23</v>
      </c>
      <c r="BG635" s="2" t="e">
        <v>#N/A</v>
      </c>
    </row>
    <row r="636" spans="2:59" hidden="1" x14ac:dyDescent="0.25">
      <c r="B636" s="2" t="s">
        <v>2914</v>
      </c>
      <c r="C636" s="2" t="s">
        <v>2915</v>
      </c>
      <c r="D636" s="44" t="s">
        <v>2916</v>
      </c>
      <c r="E636" s="2" t="s">
        <v>11</v>
      </c>
      <c r="F636" s="2" t="s">
        <v>1232</v>
      </c>
      <c r="G636" s="2" t="s">
        <v>1</v>
      </c>
      <c r="H636" s="2" t="s">
        <v>165</v>
      </c>
      <c r="I636" s="2" t="s">
        <v>68</v>
      </c>
      <c r="J636" s="2" t="s">
        <v>173</v>
      </c>
      <c r="K636" s="2" t="s">
        <v>1233</v>
      </c>
      <c r="L636" s="2" t="s">
        <v>2917</v>
      </c>
      <c r="M636" s="2">
        <v>0</v>
      </c>
      <c r="N636" s="2">
        <v>0</v>
      </c>
      <c r="O636" s="2">
        <v>0</v>
      </c>
      <c r="P636" s="2" t="s">
        <v>72</v>
      </c>
      <c r="Q636" s="2" t="s">
        <v>73</v>
      </c>
      <c r="R636" s="29" t="e">
        <f>IF(INDEX(#REF!,MATCH('data '!$B636,#REF!,0),MATCH('data '!R$3,#REF!,0))=0,"",INDEX(#REF!,MATCH('data '!$B636,#REF!,0),MATCH('data '!R$3,#REF!,0)))</f>
        <v>#REF!</v>
      </c>
      <c r="S636" s="29" t="e">
        <f>IF(INDEX(#REF!,MATCH('data '!$B636,#REF!,0),MATCH('data '!S$3,#REF!,0))=0,"",INDEX(#REF!,MATCH('data '!$B636,#REF!,0),MATCH('data '!S$3,#REF!,0)))</f>
        <v>#REF!</v>
      </c>
      <c r="T636" s="29" t="e">
        <f>IF(INDEX(#REF!,MATCH('data '!$B636,#REF!,0),MATCH('data '!T$3,#REF!,0))=0,"",INDEX(#REF!,MATCH('data '!$B636,#REF!,0),MATCH('data '!T$3,#REF!,0)))</f>
        <v>#REF!</v>
      </c>
      <c r="V636" s="25" t="s">
        <v>74</v>
      </c>
      <c r="W636" s="25">
        <v>0</v>
      </c>
      <c r="AC636" s="8" t="e">
        <f>VLOOKUP(B636,#REF!,19,0)</f>
        <v>#REF!</v>
      </c>
      <c r="AP636" s="8" t="str">
        <f t="shared" si="26"/>
        <v>Not yet endorsed</v>
      </c>
      <c r="AQ636" s="10" t="b" cm="1">
        <f t="array" aca="1" ref="AQ636" ca="1">IF(AM636&gt;0,(TODAY()-AM636),IF(AL636&gt;0,(TODAY()-AL636),IF(AK636&gt;0,(TODAY()-AK636,IF(AI636&gt;0,(TODAY()-AI636),IF(AG636&gt;0,(TODAY()-AG636),IF(AF636&gt;0,(TODAY()-AF636),IF(X636&gt;0,(TODAY()-X636)," "))))))))</f>
        <v>0</v>
      </c>
      <c r="BD636" s="2" t="str">
        <f t="shared" si="27"/>
        <v>Not yet endorsed</v>
      </c>
      <c r="BE636" s="2" t="s">
        <v>75</v>
      </c>
      <c r="BG636" s="2" t="e">
        <v>#N/A</v>
      </c>
    </row>
    <row r="637" spans="2:59" hidden="1" x14ac:dyDescent="0.25">
      <c r="B637" s="2" t="s">
        <v>2918</v>
      </c>
      <c r="C637" s="2" t="s">
        <v>2919</v>
      </c>
      <c r="D637" s="44" t="s">
        <v>2920</v>
      </c>
      <c r="E637" s="2" t="s">
        <v>11</v>
      </c>
      <c r="F637" s="2" t="s">
        <v>1371</v>
      </c>
      <c r="G637" s="2" t="s">
        <v>1</v>
      </c>
      <c r="H637" s="2" t="s">
        <v>165</v>
      </c>
      <c r="I637" s="2" t="s">
        <v>68</v>
      </c>
      <c r="J637" s="2" t="s">
        <v>173</v>
      </c>
      <c r="K637" s="2" t="s">
        <v>1233</v>
      </c>
      <c r="L637" s="2" t="s">
        <v>2921</v>
      </c>
      <c r="M637" s="2">
        <v>0</v>
      </c>
      <c r="N637" s="2">
        <v>0</v>
      </c>
      <c r="O637" s="2">
        <v>0</v>
      </c>
      <c r="P637" s="2" t="s">
        <v>72</v>
      </c>
      <c r="Q637" s="2" t="s">
        <v>73</v>
      </c>
      <c r="R637" s="29" t="e">
        <f>IF(INDEX(#REF!,MATCH('data '!$B637,#REF!,0),MATCH('data '!R$3,#REF!,0))=0,"",INDEX(#REF!,MATCH('data '!$B637,#REF!,0),MATCH('data '!R$3,#REF!,0)))</f>
        <v>#REF!</v>
      </c>
      <c r="S637" s="29" t="e">
        <f>IF(INDEX(#REF!,MATCH('data '!$B637,#REF!,0),MATCH('data '!S$3,#REF!,0))=0,"",INDEX(#REF!,MATCH('data '!$B637,#REF!,0),MATCH('data '!S$3,#REF!,0)))</f>
        <v>#REF!</v>
      </c>
      <c r="T637" s="29" t="e">
        <f>IF(INDEX(#REF!,MATCH('data '!$B637,#REF!,0),MATCH('data '!T$3,#REF!,0))=0,"",INDEX(#REF!,MATCH('data '!$B637,#REF!,0),MATCH('data '!T$3,#REF!,0)))</f>
        <v>#REF!</v>
      </c>
      <c r="V637" s="25" t="s">
        <v>74</v>
      </c>
      <c r="W637" s="25">
        <v>0</v>
      </c>
      <c r="AC637" s="8" t="e">
        <f>VLOOKUP(B637,#REF!,19,0)</f>
        <v>#REF!</v>
      </c>
      <c r="AP637" s="8" t="str">
        <f t="shared" si="26"/>
        <v>Not yet endorsed</v>
      </c>
      <c r="AQ637" s="10" t="b" cm="1">
        <f t="array" aca="1" ref="AQ637" ca="1">IF(AM637&gt;0,(TODAY()-AM637),IF(AL637&gt;0,(TODAY()-AL637),IF(AK637&gt;0,(TODAY()-AK637,IF(AI637&gt;0,(TODAY()-AI637),IF(AG637&gt;0,(TODAY()-AG637),IF(AF637&gt;0,(TODAY()-AF637),IF(X637&gt;0,(TODAY()-X637)," "))))))))</f>
        <v>0</v>
      </c>
      <c r="BD637" s="2" t="str">
        <f t="shared" si="27"/>
        <v>Not yet endorsed</v>
      </c>
      <c r="BE637" s="2" t="s">
        <v>75</v>
      </c>
      <c r="BG637" s="2" t="e">
        <v>#N/A</v>
      </c>
    </row>
    <row r="638" spans="2:59" hidden="1" x14ac:dyDescent="0.25">
      <c r="B638" s="2" t="s">
        <v>2922</v>
      </c>
      <c r="C638" s="2" t="s">
        <v>2923</v>
      </c>
      <c r="D638" s="44" t="s">
        <v>2924</v>
      </c>
      <c r="E638" s="2" t="s">
        <v>11</v>
      </c>
      <c r="F638" s="2" t="s">
        <v>1371</v>
      </c>
      <c r="G638" s="2" t="s">
        <v>1</v>
      </c>
      <c r="H638" s="2" t="s">
        <v>165</v>
      </c>
      <c r="I638" s="2" t="s">
        <v>68</v>
      </c>
      <c r="J638" s="2" t="s">
        <v>173</v>
      </c>
      <c r="K638" s="2" t="s">
        <v>1233</v>
      </c>
      <c r="L638" s="2" t="s">
        <v>2921</v>
      </c>
      <c r="M638" s="2">
        <v>0</v>
      </c>
      <c r="N638" s="2">
        <v>0</v>
      </c>
      <c r="O638" s="2">
        <v>0</v>
      </c>
      <c r="P638" s="2" t="s">
        <v>168</v>
      </c>
      <c r="Q638" s="2" t="s">
        <v>73</v>
      </c>
      <c r="R638" s="29" t="e">
        <f>IF(INDEX(#REF!,MATCH('data '!$B638,#REF!,0),MATCH('data '!R$3,#REF!,0))=0,"",INDEX(#REF!,MATCH('data '!$B638,#REF!,0),MATCH('data '!R$3,#REF!,0)))</f>
        <v>#REF!</v>
      </c>
      <c r="S638" s="29" t="e">
        <f>IF(INDEX(#REF!,MATCH('data '!$B638,#REF!,0),MATCH('data '!S$3,#REF!,0))=0,"",INDEX(#REF!,MATCH('data '!$B638,#REF!,0),MATCH('data '!S$3,#REF!,0)))</f>
        <v>#REF!</v>
      </c>
      <c r="T638" s="29" t="e">
        <f>IF(INDEX(#REF!,MATCH('data '!$B638,#REF!,0),MATCH('data '!T$3,#REF!,0))=0,"",INDEX(#REF!,MATCH('data '!$B638,#REF!,0),MATCH('data '!T$3,#REF!,0)))</f>
        <v>#REF!</v>
      </c>
      <c r="U638" s="8" t="s">
        <v>25</v>
      </c>
      <c r="V638" s="25" t="s">
        <v>87</v>
      </c>
      <c r="W638" s="25" t="s">
        <v>144</v>
      </c>
      <c r="X638" s="61"/>
      <c r="Y638" s="61"/>
      <c r="AC638" s="8" t="e">
        <f>VLOOKUP(B638,#REF!,19,0)</f>
        <v>#REF!</v>
      </c>
      <c r="AP638" s="8" t="str">
        <f t="shared" si="26"/>
        <v>Not yet endorsed</v>
      </c>
      <c r="AQ638" s="10" t="b" cm="1">
        <f t="array" aca="1" ref="AQ638" ca="1">IF(AM638&gt;0,(TODAY()-AM638),IF(AL638&gt;0,(TODAY()-AL638),IF(AK638&gt;0,(TODAY()-AK638,IF(AI638&gt;0,(TODAY()-AI638),IF(AG638&gt;0,(TODAY()-AG638),IF(AF638&gt;0,(TODAY()-AF638),IF(X638&gt;0,(TODAY()-X638)," "))))))))</f>
        <v>0</v>
      </c>
      <c r="BD638" s="2" t="str">
        <f t="shared" si="27"/>
        <v>TSSR Approved</v>
      </c>
      <c r="BE638" s="2" t="e">
        <v>#VALUE!</v>
      </c>
      <c r="BG638" s="2" t="e">
        <v>#N/A</v>
      </c>
    </row>
    <row r="639" spans="2:59" hidden="1" x14ac:dyDescent="0.25">
      <c r="B639" s="2" t="s">
        <v>2925</v>
      </c>
      <c r="C639" s="2" t="s">
        <v>2926</v>
      </c>
      <c r="D639" s="44" t="s">
        <v>2927</v>
      </c>
      <c r="E639" s="2" t="s">
        <v>11</v>
      </c>
      <c r="F639" s="2" t="s">
        <v>1371</v>
      </c>
      <c r="G639" s="2" t="s">
        <v>1</v>
      </c>
      <c r="H639" s="2" t="s">
        <v>165</v>
      </c>
      <c r="I639" s="2" t="s">
        <v>68</v>
      </c>
      <c r="J639" s="2" t="s">
        <v>173</v>
      </c>
      <c r="K639" s="2" t="s">
        <v>1233</v>
      </c>
      <c r="L639" s="2" t="s">
        <v>1412</v>
      </c>
      <c r="M639" s="2" t="s">
        <v>2928</v>
      </c>
      <c r="N639" s="2">
        <v>8.1681399999999993</v>
      </c>
      <c r="O639" s="2">
        <v>124.27016</v>
      </c>
      <c r="P639" s="2" t="s">
        <v>490</v>
      </c>
      <c r="Q639" s="2" t="s">
        <v>73</v>
      </c>
      <c r="R639" s="29" t="e">
        <f>IF(INDEX(#REF!,MATCH('data '!$B639,#REF!,0),MATCH('data '!R$3,#REF!,0))=0,"",INDEX(#REF!,MATCH('data '!$B639,#REF!,0),MATCH('data '!R$3,#REF!,0)))</f>
        <v>#REF!</v>
      </c>
      <c r="S639" s="29" t="e">
        <f>IF(INDEX(#REF!,MATCH('data '!$B639,#REF!,0),MATCH('data '!S$3,#REF!,0))=0,"",INDEX(#REF!,MATCH('data '!$B639,#REF!,0),MATCH('data '!S$3,#REF!,0)))</f>
        <v>#REF!</v>
      </c>
      <c r="T639" s="29" t="e">
        <f>IF(INDEX(#REF!,MATCH('data '!$B639,#REF!,0),MATCH('data '!T$3,#REF!,0))=0,"",INDEX(#REF!,MATCH('data '!$B639,#REF!,0),MATCH('data '!T$3,#REF!,0)))</f>
        <v>#REF!</v>
      </c>
      <c r="U639" s="8" t="s">
        <v>25</v>
      </c>
      <c r="V639" s="25" t="s">
        <v>490</v>
      </c>
      <c r="W639" s="25">
        <v>0</v>
      </c>
      <c r="AC639" s="8" t="e">
        <f>VLOOKUP(B639,#REF!,19,0)</f>
        <v>#REF!</v>
      </c>
      <c r="AP639" s="8" t="str">
        <f t="shared" si="26"/>
        <v>Not yet endorsed</v>
      </c>
      <c r="AQ639" s="10" t="b" cm="1">
        <f t="array" aca="1" ref="AQ639" ca="1">IF(AM639&gt;0,(TODAY()-AM639),IF(AL639&gt;0,(TODAY()-AL639),IF(AK639&gt;0,(TODAY()-AK639,IF(AI639&gt;0,(TODAY()-AI639),IF(AG639&gt;0,(TODAY()-AG639),IF(AF639&gt;0,(TODAY()-AF639),IF(X639&gt;0,(TODAY()-X639)," "))))))))</f>
        <v>0</v>
      </c>
      <c r="BD639" s="2" t="str">
        <f t="shared" si="27"/>
        <v>TSSR Approved</v>
      </c>
      <c r="BE639" s="2" t="e">
        <v>#VALUE!</v>
      </c>
      <c r="BG639" s="2" t="e">
        <v>#N/A</v>
      </c>
    </row>
    <row r="640" spans="2:59" hidden="1" x14ac:dyDescent="0.25">
      <c r="B640" s="2" t="s">
        <v>2929</v>
      </c>
      <c r="C640" s="2" t="s">
        <v>2930</v>
      </c>
      <c r="D640" s="44" t="s">
        <v>2931</v>
      </c>
      <c r="E640" s="2" t="s">
        <v>11</v>
      </c>
      <c r="F640" s="2" t="s">
        <v>2932</v>
      </c>
      <c r="G640" s="2" t="s">
        <v>1</v>
      </c>
      <c r="H640" s="2" t="s">
        <v>165</v>
      </c>
      <c r="I640" s="2" t="s">
        <v>68</v>
      </c>
      <c r="J640" s="2" t="s">
        <v>173</v>
      </c>
      <c r="K640" s="2" t="s">
        <v>1233</v>
      </c>
      <c r="L640" s="2" t="s">
        <v>2933</v>
      </c>
      <c r="M640" s="2" t="s">
        <v>2934</v>
      </c>
      <c r="N640" s="2">
        <v>8.2666299999999993</v>
      </c>
      <c r="O640" s="2">
        <v>124.29079</v>
      </c>
      <c r="P640" s="2" t="s">
        <v>87</v>
      </c>
      <c r="Q640" s="2" t="s">
        <v>314</v>
      </c>
      <c r="R640" s="29" t="e">
        <f>IF(INDEX(#REF!,MATCH('data '!$B640,#REF!,0),MATCH('data '!R$3,#REF!,0))=0,"",INDEX(#REF!,MATCH('data '!$B640,#REF!,0),MATCH('data '!R$3,#REF!,0)))</f>
        <v>#REF!</v>
      </c>
      <c r="S640" s="29" t="e">
        <f>IF(INDEX(#REF!,MATCH('data '!$B640,#REF!,0),MATCH('data '!S$3,#REF!,0))=0,"",INDEX(#REF!,MATCH('data '!$B640,#REF!,0),MATCH('data '!S$3,#REF!,0)))</f>
        <v>#REF!</v>
      </c>
      <c r="T640" s="29" t="e">
        <f>IF(INDEX(#REF!,MATCH('data '!$B640,#REF!,0),MATCH('data '!T$3,#REF!,0))=0,"",INDEX(#REF!,MATCH('data '!$B640,#REF!,0),MATCH('data '!T$3,#REF!,0)))</f>
        <v>#REF!</v>
      </c>
      <c r="U640" s="8" t="s">
        <v>25</v>
      </c>
      <c r="V640" s="25" t="s">
        <v>87</v>
      </c>
      <c r="W640" s="25" t="s">
        <v>144</v>
      </c>
      <c r="X640" s="43" t="s">
        <v>25</v>
      </c>
      <c r="Y640" s="43">
        <v>45911</v>
      </c>
      <c r="AC640" s="8" t="e">
        <f>VLOOKUP(B640,#REF!,19,0)</f>
        <v>#REF!</v>
      </c>
      <c r="AP640" s="8" t="str">
        <f t="shared" si="26"/>
        <v>BP Secured</v>
      </c>
      <c r="AQ640" s="10" t="b" cm="1">
        <f t="array" aca="1" ref="AQ640" ca="1">IF(AM640&gt;0,(TODAY()-AM640),IF(AL640&gt;0,(TODAY()-AL640),IF(AK640&gt;0,(TODAY()-AK640,IF(AI640&gt;0,(TODAY()-AI640),IF(AG640&gt;0,(TODAY()-AG640),IF(AF640&gt;0,(TODAY()-AF640),IF(X640&gt;0,(TODAY()-X640)," "))))))))</f>
        <v>0</v>
      </c>
      <c r="BD640" s="2" t="str">
        <f t="shared" si="27"/>
        <v>BP Secured</v>
      </c>
      <c r="BE640" s="2" t="e">
        <v>#VALUE!</v>
      </c>
      <c r="BG640" s="2" t="e">
        <v>#N/A</v>
      </c>
    </row>
    <row r="641" spans="2:59" hidden="1" x14ac:dyDescent="0.25">
      <c r="B641" s="2" t="s">
        <v>2935</v>
      </c>
      <c r="C641" s="2" t="s">
        <v>2936</v>
      </c>
      <c r="D641" s="44" t="s">
        <v>2937</v>
      </c>
      <c r="E641" s="2" t="s">
        <v>11</v>
      </c>
      <c r="F641" s="2" t="s">
        <v>1371</v>
      </c>
      <c r="G641" s="2" t="s">
        <v>1</v>
      </c>
      <c r="H641" s="2" t="s">
        <v>165</v>
      </c>
      <c r="I641" s="2" t="s">
        <v>68</v>
      </c>
      <c r="J641" s="2" t="s">
        <v>69</v>
      </c>
      <c r="K641" s="2" t="s">
        <v>1372</v>
      </c>
      <c r="L641" s="2" t="s">
        <v>2938</v>
      </c>
      <c r="M641" s="2">
        <v>0</v>
      </c>
      <c r="N641" s="2">
        <v>0</v>
      </c>
      <c r="O641" s="2">
        <v>0</v>
      </c>
      <c r="P641" s="2" t="s">
        <v>116</v>
      </c>
      <c r="Q641" s="2" t="s">
        <v>73</v>
      </c>
      <c r="R641" s="29" t="e">
        <f>IF(INDEX(#REF!,MATCH('data '!$B641,#REF!,0),MATCH('data '!R$3,#REF!,0))=0,"",INDEX(#REF!,MATCH('data '!$B641,#REF!,0),MATCH('data '!R$3,#REF!,0)))</f>
        <v>#REF!</v>
      </c>
      <c r="S641" s="29" t="e">
        <f>IF(INDEX(#REF!,MATCH('data '!$B641,#REF!,0),MATCH('data '!S$3,#REF!,0))=0,"",INDEX(#REF!,MATCH('data '!$B641,#REF!,0),MATCH('data '!S$3,#REF!,0)))</f>
        <v>#REF!</v>
      </c>
      <c r="T641" s="29" t="e">
        <f>IF(INDEX(#REF!,MATCH('data '!$B641,#REF!,0),MATCH('data '!T$3,#REF!,0))=0,"",INDEX(#REF!,MATCH('data '!$B641,#REF!,0),MATCH('data '!T$3,#REF!,0)))</f>
        <v>#REF!</v>
      </c>
      <c r="V641" s="25" t="s">
        <v>74</v>
      </c>
      <c r="W641" s="25">
        <v>0</v>
      </c>
      <c r="AC641" s="8" t="e">
        <f>VLOOKUP(B641,#REF!,19,0)</f>
        <v>#REF!</v>
      </c>
      <c r="AP641" s="8" t="str">
        <f t="shared" si="26"/>
        <v>Not yet endorsed</v>
      </c>
      <c r="AQ641" s="10" t="b" cm="1">
        <f t="array" aca="1" ref="AQ641" ca="1">IF(AM641&gt;0,(TODAY()-AM641),IF(AL641&gt;0,(TODAY()-AL641),IF(AK641&gt;0,(TODAY()-AK641,IF(AI641&gt;0,(TODAY()-AI641),IF(AG641&gt;0,(TODAY()-AG641),IF(AF641&gt;0,(TODAY()-AF641),IF(X641&gt;0,(TODAY()-X641)," "))))))))</f>
        <v>0</v>
      </c>
      <c r="BD641" s="2" t="str">
        <f t="shared" si="27"/>
        <v>Not yet endorsed</v>
      </c>
      <c r="BE641" s="2" t="s">
        <v>75</v>
      </c>
      <c r="BG641" s="2" t="e">
        <v>#N/A</v>
      </c>
    </row>
    <row r="642" spans="2:59" hidden="1" x14ac:dyDescent="0.25">
      <c r="B642" s="2" t="s">
        <v>2939</v>
      </c>
      <c r="C642" s="2" t="s">
        <v>2940</v>
      </c>
      <c r="D642" s="44" t="s">
        <v>2941</v>
      </c>
      <c r="E642" s="2" t="s">
        <v>11</v>
      </c>
      <c r="F642" s="2" t="s">
        <v>1371</v>
      </c>
      <c r="G642" s="2" t="s">
        <v>1</v>
      </c>
      <c r="H642" s="2" t="s">
        <v>165</v>
      </c>
      <c r="I642" s="2" t="s">
        <v>68</v>
      </c>
      <c r="J642" s="2" t="s">
        <v>69</v>
      </c>
      <c r="K642" s="2" t="s">
        <v>1372</v>
      </c>
      <c r="L642" s="2" t="s">
        <v>2942</v>
      </c>
      <c r="M642" s="2">
        <v>0</v>
      </c>
      <c r="N642" s="2">
        <v>0</v>
      </c>
      <c r="O642" s="2">
        <v>0</v>
      </c>
      <c r="P642" s="2" t="s">
        <v>116</v>
      </c>
      <c r="Q642" s="2" t="s">
        <v>73</v>
      </c>
      <c r="R642" s="29" t="e">
        <f>IF(INDEX(#REF!,MATCH('data '!$B642,#REF!,0),MATCH('data '!R$3,#REF!,0))=0,"",INDEX(#REF!,MATCH('data '!$B642,#REF!,0),MATCH('data '!R$3,#REF!,0)))</f>
        <v>#REF!</v>
      </c>
      <c r="S642" s="29" t="e">
        <f>IF(INDEX(#REF!,MATCH('data '!$B642,#REF!,0),MATCH('data '!S$3,#REF!,0))=0,"",INDEX(#REF!,MATCH('data '!$B642,#REF!,0),MATCH('data '!S$3,#REF!,0)))</f>
        <v>#REF!</v>
      </c>
      <c r="T642" s="29" t="e">
        <f>IF(INDEX(#REF!,MATCH('data '!$B642,#REF!,0),MATCH('data '!T$3,#REF!,0))=0,"",INDEX(#REF!,MATCH('data '!$B642,#REF!,0),MATCH('data '!T$3,#REF!,0)))</f>
        <v>#REF!</v>
      </c>
      <c r="U642" s="8" t="s">
        <v>25</v>
      </c>
      <c r="V642" s="25" t="s">
        <v>74</v>
      </c>
      <c r="W642" s="25">
        <v>0</v>
      </c>
      <c r="AC642" s="8" t="e">
        <f>VLOOKUP(B642,#REF!,19,0)</f>
        <v>#REF!</v>
      </c>
      <c r="AP642" s="8" t="str">
        <f t="shared" si="26"/>
        <v>Not yet endorsed</v>
      </c>
      <c r="AQ642" s="10" t="b" cm="1">
        <f t="array" aca="1" ref="AQ642" ca="1">IF(AM642&gt;0,(TODAY()-AM642),IF(AL642&gt;0,(TODAY()-AL642),IF(AK642&gt;0,(TODAY()-AK642,IF(AI642&gt;0,(TODAY()-AI642),IF(AG642&gt;0,(TODAY()-AG642),IF(AF642&gt;0,(TODAY()-AF642),IF(X642&gt;0,(TODAY()-X642)," "))))))))</f>
        <v>0</v>
      </c>
      <c r="BD642" s="2" t="str">
        <f t="shared" si="27"/>
        <v>TSSR Approved</v>
      </c>
      <c r="BE642" s="2" t="e">
        <v>#VALUE!</v>
      </c>
      <c r="BG642" s="2" t="e">
        <v>#N/A</v>
      </c>
    </row>
    <row r="643" spans="2:59" hidden="1" x14ac:dyDescent="0.25">
      <c r="B643" s="2" t="s">
        <v>2943</v>
      </c>
      <c r="C643" s="2" t="s">
        <v>2944</v>
      </c>
      <c r="D643" s="44" t="s">
        <v>2945</v>
      </c>
      <c r="E643" s="2" t="s">
        <v>11</v>
      </c>
      <c r="F643" s="2" t="s">
        <v>1371</v>
      </c>
      <c r="G643" s="2" t="s">
        <v>1</v>
      </c>
      <c r="H643" s="2" t="s">
        <v>165</v>
      </c>
      <c r="I643" s="2" t="s">
        <v>68</v>
      </c>
      <c r="J643" s="2" t="s">
        <v>69</v>
      </c>
      <c r="K643" s="2" t="s">
        <v>1372</v>
      </c>
      <c r="L643" s="2" t="s">
        <v>2946</v>
      </c>
      <c r="M643" s="2">
        <v>0</v>
      </c>
      <c r="N643" s="2">
        <v>8.0188299999999995</v>
      </c>
      <c r="O643" s="2">
        <v>124.25247</v>
      </c>
      <c r="P643" s="2" t="s">
        <v>87</v>
      </c>
      <c r="Q643" s="2" t="s">
        <v>184</v>
      </c>
      <c r="R643" s="29" t="e">
        <f>IF(INDEX(#REF!,MATCH('data '!$B643,#REF!,0),MATCH('data '!R$3,#REF!,0))=0,"",INDEX(#REF!,MATCH('data '!$B643,#REF!,0),MATCH('data '!R$3,#REF!,0)))</f>
        <v>#REF!</v>
      </c>
      <c r="S643" s="29" t="e">
        <f>IF(INDEX(#REF!,MATCH('data '!$B643,#REF!,0),MATCH('data '!S$3,#REF!,0))=0,"",INDEX(#REF!,MATCH('data '!$B643,#REF!,0),MATCH('data '!S$3,#REF!,0)))</f>
        <v>#REF!</v>
      </c>
      <c r="T643" s="29" t="e">
        <f>IF(INDEX(#REF!,MATCH('data '!$B643,#REF!,0),MATCH('data '!T$3,#REF!,0))=0,"",INDEX(#REF!,MATCH('data '!$B643,#REF!,0),MATCH('data '!T$3,#REF!,0)))</f>
        <v>#REF!</v>
      </c>
      <c r="U643" s="8" t="s">
        <v>25</v>
      </c>
      <c r="V643" s="25" t="s">
        <v>351</v>
      </c>
      <c r="W643" s="25" t="s">
        <v>144</v>
      </c>
      <c r="X643" s="43" t="s">
        <v>25</v>
      </c>
      <c r="Y643" s="43">
        <v>45845</v>
      </c>
      <c r="AC643" s="8" t="e">
        <f>VLOOKUP(B643,#REF!,19,0)</f>
        <v>#REF!</v>
      </c>
      <c r="AE643" s="8" t="s">
        <v>472</v>
      </c>
      <c r="AP643" s="8" t="str">
        <f t="shared" si="26"/>
        <v>BP Secured</v>
      </c>
      <c r="AQ643" s="10" t="b" cm="1">
        <f t="array" aca="1" ref="AQ643" ca="1">IF(AM643&gt;0,(TODAY()-AM643),IF(AL643&gt;0,(TODAY()-AL643),IF(AK643&gt;0,(TODAY()-AK643,IF(AI643&gt;0,(TODAY()-AI643),IF(AG643&gt;0,(TODAY()-AG643),IF(AF643&gt;0,(TODAY()-AF643),IF(X643&gt;0,(TODAY()-X643)," "))))))))</f>
        <v>0</v>
      </c>
      <c r="AT643" s="8" t="s">
        <v>155</v>
      </c>
      <c r="AU643" s="8">
        <v>45898</v>
      </c>
      <c r="AV643" s="8">
        <v>45899</v>
      </c>
      <c r="AX643" s="8">
        <v>45902</v>
      </c>
      <c r="BD643" s="2" t="str">
        <f t="shared" si="27"/>
        <v>PO Issued</v>
      </c>
      <c r="BE643" s="2">
        <v>38</v>
      </c>
      <c r="BG643" s="2" t="e">
        <v>#N/A</v>
      </c>
    </row>
    <row r="644" spans="2:59" hidden="1" x14ac:dyDescent="0.25">
      <c r="B644" s="2" t="s">
        <v>2947</v>
      </c>
      <c r="C644" s="2" t="s">
        <v>2948</v>
      </c>
      <c r="D644" s="44" t="s">
        <v>2949</v>
      </c>
      <c r="E644" s="2" t="s">
        <v>11</v>
      </c>
      <c r="F644" s="2" t="s">
        <v>1371</v>
      </c>
      <c r="G644" s="2" t="s">
        <v>1</v>
      </c>
      <c r="H644" s="2" t="s">
        <v>165</v>
      </c>
      <c r="I644" s="2" t="s">
        <v>68</v>
      </c>
      <c r="J644" s="2" t="s">
        <v>69</v>
      </c>
      <c r="K644" s="2" t="s">
        <v>1372</v>
      </c>
      <c r="L644" s="2" t="s">
        <v>1373</v>
      </c>
      <c r="M644" s="2">
        <v>0</v>
      </c>
      <c r="N644" s="2">
        <v>0</v>
      </c>
      <c r="O644" s="2">
        <v>0</v>
      </c>
      <c r="P644" s="2" t="s">
        <v>168</v>
      </c>
      <c r="Q644" s="2" t="s">
        <v>73</v>
      </c>
      <c r="R644" s="29" t="e">
        <f>IF(INDEX(#REF!,MATCH('data '!$B644,#REF!,0),MATCH('data '!R$3,#REF!,0))=0,"",INDEX(#REF!,MATCH('data '!$B644,#REF!,0),MATCH('data '!R$3,#REF!,0)))</f>
        <v>#REF!</v>
      </c>
      <c r="S644" s="29" t="e">
        <f>IF(INDEX(#REF!,MATCH('data '!$B644,#REF!,0),MATCH('data '!S$3,#REF!,0))=0,"",INDEX(#REF!,MATCH('data '!$B644,#REF!,0),MATCH('data '!S$3,#REF!,0)))</f>
        <v>#REF!</v>
      </c>
      <c r="T644" s="29" t="e">
        <f>IF(INDEX(#REF!,MATCH('data '!$B644,#REF!,0),MATCH('data '!T$3,#REF!,0))=0,"",INDEX(#REF!,MATCH('data '!$B644,#REF!,0),MATCH('data '!T$3,#REF!,0)))</f>
        <v>#REF!</v>
      </c>
      <c r="U644" s="8" t="s">
        <v>25</v>
      </c>
      <c r="V644" s="25" t="s">
        <v>87</v>
      </c>
      <c r="W644" s="25" t="s">
        <v>144</v>
      </c>
      <c r="X644" s="61"/>
      <c r="Y644" s="61"/>
      <c r="AC644" s="8" t="e">
        <f>VLOOKUP(B644,#REF!,19,0)</f>
        <v>#REF!</v>
      </c>
      <c r="AP644" s="8" t="str">
        <f t="shared" ref="AP644:AP707" si="28">IF(AM644&gt;0,"Tempo Energized",IF(AL644&gt;0,"Tempo Permit Released",IF(AK644&gt;0,"COOP Surveyed",IF(AI644&gt;0,"PO Issued",IF(AG644&gt;0,"PQ Raised",IF(AF644&gt;0,"Vendor Allocated",IF(X644&gt;0,"BP Secured","Not yet endorsed")))))))</f>
        <v>Not yet endorsed</v>
      </c>
      <c r="AQ644" s="10" t="b" cm="1">
        <f t="array" aca="1" ref="AQ644" ca="1">IF(AM644&gt;0,(TODAY()-AM644),IF(AL644&gt;0,(TODAY()-AL644),IF(AK644&gt;0,(TODAY()-AK644,IF(AI644&gt;0,(TODAY()-AI644),IF(AG644&gt;0,(TODAY()-AG644),IF(AF644&gt;0,(TODAY()-AF644),IF(X644&gt;0,(TODAY()-X644)," "))))))))</f>
        <v>0</v>
      </c>
      <c r="BD644" s="2" t="str">
        <f t="shared" ref="BD644:BD707" si="29">IF(BC644&gt;0,"Permanent Energized",IF(BB644&gt;0,"Bill deposit Paid",IF(BA644&gt;0,"Line Construction Completed",IF(AZ644&gt;0,"Line Construction Started",IF(AX644&gt;0,"PO Issued",IF(AV644&gt;0,"PQ Raised",IF(AU644&gt;0,"BoQ Approved",IF(AT644&gt;0,"BoQ Submitted",IF(AF644&gt;0,"Vendor Allocated",IF(X644&gt;0,"BP Secured",IF(U644&gt;0,"TSSR Approved","Not yet endorsed")))))))))))</f>
        <v>TSSR Approved</v>
      </c>
      <c r="BE644" s="2" t="e">
        <v>#VALUE!</v>
      </c>
      <c r="BG644" s="2" t="e">
        <v>#N/A</v>
      </c>
    </row>
    <row r="645" spans="2:59" hidden="1" x14ac:dyDescent="0.25">
      <c r="B645" s="2" t="s">
        <v>2950</v>
      </c>
      <c r="C645" s="2" t="s">
        <v>2951</v>
      </c>
      <c r="D645" s="44" t="s">
        <v>2952</v>
      </c>
      <c r="E645" s="2" t="s">
        <v>11</v>
      </c>
      <c r="F645" s="2" t="s">
        <v>1371</v>
      </c>
      <c r="G645" s="2" t="s">
        <v>1</v>
      </c>
      <c r="H645" s="2" t="s">
        <v>165</v>
      </c>
      <c r="I645" s="2" t="s">
        <v>68</v>
      </c>
      <c r="J645" s="2" t="s">
        <v>69</v>
      </c>
      <c r="K645" s="2" t="s">
        <v>1372</v>
      </c>
      <c r="L645" s="2" t="s">
        <v>2953</v>
      </c>
      <c r="M645" s="2">
        <v>0</v>
      </c>
      <c r="N645" s="2">
        <v>8.01004</v>
      </c>
      <c r="O645" s="2">
        <v>124.23517</v>
      </c>
      <c r="P645" s="2" t="s">
        <v>87</v>
      </c>
      <c r="Q645" s="2" t="s">
        <v>219</v>
      </c>
      <c r="R645" s="29" t="e">
        <f>IF(INDEX(#REF!,MATCH('data '!$B645,#REF!,0),MATCH('data '!R$3,#REF!,0))=0,"",INDEX(#REF!,MATCH('data '!$B645,#REF!,0),MATCH('data '!R$3,#REF!,0)))</f>
        <v>#REF!</v>
      </c>
      <c r="S645" s="29" t="e">
        <f>IF(INDEX(#REF!,MATCH('data '!$B645,#REF!,0),MATCH('data '!S$3,#REF!,0))=0,"",INDEX(#REF!,MATCH('data '!$B645,#REF!,0),MATCH('data '!S$3,#REF!,0)))</f>
        <v>#REF!</v>
      </c>
      <c r="T645" s="29" t="e">
        <f>IF(INDEX(#REF!,MATCH('data '!$B645,#REF!,0),MATCH('data '!T$3,#REF!,0))=0,"",INDEX(#REF!,MATCH('data '!$B645,#REF!,0),MATCH('data '!T$3,#REF!,0)))</f>
        <v>#REF!</v>
      </c>
      <c r="U645" s="8" t="s">
        <v>25</v>
      </c>
      <c r="V645" s="25" t="s">
        <v>351</v>
      </c>
      <c r="W645" s="25" t="s">
        <v>144</v>
      </c>
      <c r="X645" s="43" t="s">
        <v>25</v>
      </c>
      <c r="Y645" s="43">
        <v>45852</v>
      </c>
      <c r="AC645" s="8" t="e">
        <f>VLOOKUP(B645,#REF!,19,0)</f>
        <v>#REF!</v>
      </c>
      <c r="AE645" s="8" t="s">
        <v>472</v>
      </c>
      <c r="AP645" s="8" t="str">
        <f t="shared" si="28"/>
        <v>BP Secured</v>
      </c>
      <c r="AQ645" s="10" t="b" cm="1">
        <f t="array" aca="1" ref="AQ645" ca="1">IF(AM645&gt;0,(TODAY()-AM645),IF(AL645&gt;0,(TODAY()-AL645),IF(AK645&gt;0,(TODAY()-AK645,IF(AI645&gt;0,(TODAY()-AI645),IF(AG645&gt;0,(TODAY()-AG645),IF(AF645&gt;0,(TODAY()-AF645),IF(X645&gt;0,(TODAY()-X645)," "))))))))</f>
        <v>0</v>
      </c>
      <c r="AT645" s="8" t="s">
        <v>155</v>
      </c>
      <c r="AU645" s="8">
        <v>45902</v>
      </c>
      <c r="AV645" s="8">
        <v>45901</v>
      </c>
      <c r="AX645" s="8">
        <v>45904</v>
      </c>
      <c r="BD645" s="2" t="str">
        <f t="shared" si="29"/>
        <v>PO Issued</v>
      </c>
      <c r="BE645" s="2">
        <v>36</v>
      </c>
      <c r="BG645" s="2" t="e">
        <v>#N/A</v>
      </c>
    </row>
    <row r="646" spans="2:59" hidden="1" x14ac:dyDescent="0.25">
      <c r="B646" s="2" t="s">
        <v>2954</v>
      </c>
      <c r="C646" s="2" t="s">
        <v>2955</v>
      </c>
      <c r="D646" s="44" t="s">
        <v>2956</v>
      </c>
      <c r="E646" s="2" t="s">
        <v>11</v>
      </c>
      <c r="F646" s="2" t="s">
        <v>1371</v>
      </c>
      <c r="G646" s="2" t="s">
        <v>1</v>
      </c>
      <c r="H646" s="2" t="s">
        <v>165</v>
      </c>
      <c r="I646" s="2" t="s">
        <v>68</v>
      </c>
      <c r="J646" s="2" t="s">
        <v>69</v>
      </c>
      <c r="K646" s="2" t="s">
        <v>1372</v>
      </c>
      <c r="L646" s="2" t="s">
        <v>1373</v>
      </c>
      <c r="M646" s="2">
        <v>0</v>
      </c>
      <c r="N646" s="2">
        <v>0</v>
      </c>
      <c r="O646" s="2">
        <v>0</v>
      </c>
      <c r="P646" s="2" t="s">
        <v>168</v>
      </c>
      <c r="Q646" s="2" t="s">
        <v>73</v>
      </c>
      <c r="R646" s="29" t="e">
        <f>IF(INDEX(#REF!,MATCH('data '!$B646,#REF!,0),MATCH('data '!R$3,#REF!,0))=0,"",INDEX(#REF!,MATCH('data '!$B646,#REF!,0),MATCH('data '!R$3,#REF!,0)))</f>
        <v>#REF!</v>
      </c>
      <c r="S646" s="29" t="e">
        <f>IF(INDEX(#REF!,MATCH('data '!$B646,#REF!,0),MATCH('data '!S$3,#REF!,0))=0,"",INDEX(#REF!,MATCH('data '!$B646,#REF!,0),MATCH('data '!S$3,#REF!,0)))</f>
        <v>#REF!</v>
      </c>
      <c r="T646" s="29" t="e">
        <f>IF(INDEX(#REF!,MATCH('data '!$B646,#REF!,0),MATCH('data '!T$3,#REF!,0))=0,"",INDEX(#REF!,MATCH('data '!$B646,#REF!,0),MATCH('data '!T$3,#REF!,0)))</f>
        <v>#REF!</v>
      </c>
      <c r="V646" s="25" t="s">
        <v>87</v>
      </c>
      <c r="W646" s="25" t="s">
        <v>144</v>
      </c>
      <c r="X646" s="61"/>
      <c r="Y646" s="61"/>
      <c r="AC646" s="8" t="e">
        <f>VLOOKUP(B646,#REF!,19,0)</f>
        <v>#REF!</v>
      </c>
      <c r="AP646" s="8" t="str">
        <f t="shared" si="28"/>
        <v>Not yet endorsed</v>
      </c>
      <c r="AQ646" s="10" t="b" cm="1">
        <f t="array" aca="1" ref="AQ646" ca="1">IF(AM646&gt;0,(TODAY()-AM646),IF(AL646&gt;0,(TODAY()-AL646),IF(AK646&gt;0,(TODAY()-AK646,IF(AI646&gt;0,(TODAY()-AI646),IF(AG646&gt;0,(TODAY()-AG646),IF(AF646&gt;0,(TODAY()-AF646),IF(X646&gt;0,(TODAY()-X646)," "))))))))</f>
        <v>0</v>
      </c>
      <c r="BD646" s="2" t="str">
        <f t="shared" si="29"/>
        <v>Not yet endorsed</v>
      </c>
      <c r="BE646" s="2" t="s">
        <v>75</v>
      </c>
      <c r="BG646" s="2" t="e">
        <v>#N/A</v>
      </c>
    </row>
    <row r="647" spans="2:59" hidden="1" x14ac:dyDescent="0.25">
      <c r="B647" s="2" t="s">
        <v>2957</v>
      </c>
      <c r="C647" s="2" t="s">
        <v>2958</v>
      </c>
      <c r="D647" s="44" t="s">
        <v>2959</v>
      </c>
      <c r="E647" s="2" t="s">
        <v>11</v>
      </c>
      <c r="F647" s="2" t="s">
        <v>1371</v>
      </c>
      <c r="G647" s="2" t="s">
        <v>1</v>
      </c>
      <c r="H647" s="2" t="s">
        <v>165</v>
      </c>
      <c r="I647" s="2" t="s">
        <v>68</v>
      </c>
      <c r="J647" s="2" t="s">
        <v>69</v>
      </c>
      <c r="K647" s="2" t="s">
        <v>1372</v>
      </c>
      <c r="L647" s="2" t="s">
        <v>2960</v>
      </c>
      <c r="M647" s="2">
        <v>0</v>
      </c>
      <c r="N647" s="2">
        <v>0</v>
      </c>
      <c r="O647" s="2">
        <v>0</v>
      </c>
      <c r="P647" s="2" t="s">
        <v>88</v>
      </c>
      <c r="Q647" s="2" t="s">
        <v>73</v>
      </c>
      <c r="R647" s="29" t="e">
        <f>IF(INDEX(#REF!,MATCH('data '!$B647,#REF!,0),MATCH('data '!R$3,#REF!,0))=0,"",INDEX(#REF!,MATCH('data '!$B647,#REF!,0),MATCH('data '!R$3,#REF!,0)))</f>
        <v>#REF!</v>
      </c>
      <c r="S647" s="29" t="e">
        <f>IF(INDEX(#REF!,MATCH('data '!$B647,#REF!,0),MATCH('data '!S$3,#REF!,0))=0,"",INDEX(#REF!,MATCH('data '!$B647,#REF!,0),MATCH('data '!S$3,#REF!,0)))</f>
        <v>#REF!</v>
      </c>
      <c r="T647" s="29" t="e">
        <f>IF(INDEX(#REF!,MATCH('data '!$B647,#REF!,0),MATCH('data '!T$3,#REF!,0))=0,"",INDEX(#REF!,MATCH('data '!$B647,#REF!,0),MATCH('data '!T$3,#REF!,0)))</f>
        <v>#REF!</v>
      </c>
      <c r="U647" s="8" t="s">
        <v>25</v>
      </c>
      <c r="V647" s="25" t="s">
        <v>87</v>
      </c>
      <c r="W647" s="25" t="s">
        <v>144</v>
      </c>
      <c r="X647" s="61"/>
      <c r="Y647" s="61"/>
      <c r="AC647" s="8" t="e">
        <f>VLOOKUP(B647,#REF!,19,0)</f>
        <v>#REF!</v>
      </c>
      <c r="AP647" s="8" t="str">
        <f t="shared" si="28"/>
        <v>Not yet endorsed</v>
      </c>
      <c r="AQ647" s="10" t="b" cm="1">
        <f t="array" aca="1" ref="AQ647" ca="1">IF(AM647&gt;0,(TODAY()-AM647),IF(AL647&gt;0,(TODAY()-AL647),IF(AK647&gt;0,(TODAY()-AK647,IF(AI647&gt;0,(TODAY()-AI647),IF(AG647&gt;0,(TODAY()-AG647),IF(AF647&gt;0,(TODAY()-AF647),IF(X647&gt;0,(TODAY()-X647)," "))))))))</f>
        <v>0</v>
      </c>
      <c r="BD647" s="2" t="str">
        <f t="shared" si="29"/>
        <v>TSSR Approved</v>
      </c>
      <c r="BE647" s="2" t="e">
        <v>#VALUE!</v>
      </c>
      <c r="BG647" s="2" t="e">
        <v>#N/A</v>
      </c>
    </row>
    <row r="648" spans="2:59" hidden="1" x14ac:dyDescent="0.25">
      <c r="B648" s="2" t="s">
        <v>2961</v>
      </c>
      <c r="C648" s="2" t="s">
        <v>2962</v>
      </c>
      <c r="D648" s="44" t="s">
        <v>2963</v>
      </c>
      <c r="E648" s="2" t="s">
        <v>11</v>
      </c>
      <c r="F648" s="2" t="s">
        <v>2964</v>
      </c>
      <c r="G648" s="2" t="s">
        <v>1</v>
      </c>
      <c r="H648" s="2" t="s">
        <v>165</v>
      </c>
      <c r="I648" s="2" t="s">
        <v>68</v>
      </c>
      <c r="J648" s="2" t="s">
        <v>69</v>
      </c>
      <c r="K648" s="2" t="s">
        <v>1372</v>
      </c>
      <c r="L648" s="2" t="s">
        <v>2965</v>
      </c>
      <c r="M648" s="2">
        <v>0</v>
      </c>
      <c r="N648" s="2">
        <v>7.7863499999999997</v>
      </c>
      <c r="O648" s="2">
        <v>124.67958</v>
      </c>
      <c r="P648" s="2" t="s">
        <v>87</v>
      </c>
      <c r="Q648" s="2" t="s">
        <v>227</v>
      </c>
      <c r="R648" s="29" t="e">
        <f>IF(INDEX(#REF!,MATCH('data '!$B648,#REF!,0),MATCH('data '!R$3,#REF!,0))=0,"",INDEX(#REF!,MATCH('data '!$B648,#REF!,0),MATCH('data '!R$3,#REF!,0)))</f>
        <v>#REF!</v>
      </c>
      <c r="S648" s="29" t="e">
        <f>IF(INDEX(#REF!,MATCH('data '!$B648,#REF!,0),MATCH('data '!S$3,#REF!,0))=0,"",INDEX(#REF!,MATCH('data '!$B648,#REF!,0),MATCH('data '!S$3,#REF!,0)))</f>
        <v>#REF!</v>
      </c>
      <c r="T648" s="29" t="e">
        <f>IF(INDEX(#REF!,MATCH('data '!$B648,#REF!,0),MATCH('data '!T$3,#REF!,0))=0,"",INDEX(#REF!,MATCH('data '!$B648,#REF!,0),MATCH('data '!T$3,#REF!,0)))</f>
        <v>#REF!</v>
      </c>
      <c r="U648" s="8" t="s">
        <v>25</v>
      </c>
      <c r="V648" s="25" t="s">
        <v>351</v>
      </c>
      <c r="W648" s="25" t="s">
        <v>144</v>
      </c>
      <c r="X648" s="43" t="s">
        <v>25</v>
      </c>
      <c r="Y648" s="43">
        <v>45905</v>
      </c>
      <c r="AC648" s="8" t="e">
        <f>VLOOKUP(B648,#REF!,19,0)</f>
        <v>#REF!</v>
      </c>
      <c r="AP648" s="8" t="str">
        <f t="shared" si="28"/>
        <v>BP Secured</v>
      </c>
      <c r="AQ648" s="10" t="b" cm="1">
        <f t="array" aca="1" ref="AQ648" ca="1">IF(AM648&gt;0,(TODAY()-AM648),IF(AL648&gt;0,(TODAY()-AL648),IF(AK648&gt;0,(TODAY()-AK648,IF(AI648&gt;0,(TODAY()-AI648),IF(AG648&gt;0,(TODAY()-AG648),IF(AF648&gt;0,(TODAY()-AF648),IF(X648&gt;0,(TODAY()-X648)," "))))))))</f>
        <v>0</v>
      </c>
      <c r="BD648" s="2" t="str">
        <f t="shared" si="29"/>
        <v>BP Secured</v>
      </c>
      <c r="BE648" s="2" t="e">
        <v>#VALUE!</v>
      </c>
      <c r="BG648" s="2" t="e">
        <v>#N/A</v>
      </c>
    </row>
    <row r="649" spans="2:59" hidden="1" x14ac:dyDescent="0.25">
      <c r="B649" s="2" t="s">
        <v>2966</v>
      </c>
      <c r="C649" s="2" t="s">
        <v>2967</v>
      </c>
      <c r="D649" s="44" t="s">
        <v>2968</v>
      </c>
      <c r="E649" s="2" t="s">
        <v>11</v>
      </c>
      <c r="F649" s="2">
        <v>0</v>
      </c>
      <c r="G649" s="2" t="s">
        <v>1</v>
      </c>
      <c r="H649" s="2" t="s">
        <v>165</v>
      </c>
      <c r="I649" s="2" t="s">
        <v>68</v>
      </c>
      <c r="J649" s="2" t="s">
        <v>69</v>
      </c>
      <c r="K649" s="2" t="s">
        <v>1372</v>
      </c>
      <c r="L649" s="2">
        <v>0</v>
      </c>
      <c r="M649" s="2">
        <v>0</v>
      </c>
      <c r="N649" s="2">
        <v>0</v>
      </c>
      <c r="O649" s="2">
        <v>0</v>
      </c>
      <c r="P649" s="2" t="s">
        <v>116</v>
      </c>
      <c r="Q649" s="2">
        <v>0</v>
      </c>
      <c r="R649" s="29" t="e">
        <f>IF(INDEX(#REF!,MATCH('data '!$B649,#REF!,0),MATCH('data '!R$3,#REF!,0))=0,"",INDEX(#REF!,MATCH('data '!$B649,#REF!,0),MATCH('data '!R$3,#REF!,0)))</f>
        <v>#REF!</v>
      </c>
      <c r="S649" s="29" t="e">
        <f>IF(INDEX(#REF!,MATCH('data '!$B649,#REF!,0),MATCH('data '!S$3,#REF!,0))=0,"",INDEX(#REF!,MATCH('data '!$B649,#REF!,0),MATCH('data '!S$3,#REF!,0)))</f>
        <v>#REF!</v>
      </c>
      <c r="T649" s="29" t="e">
        <f>IF(INDEX(#REF!,MATCH('data '!$B649,#REF!,0),MATCH('data '!T$3,#REF!,0))=0,"",INDEX(#REF!,MATCH('data '!$B649,#REF!,0),MATCH('data '!T$3,#REF!,0)))</f>
        <v>#REF!</v>
      </c>
      <c r="V649" s="25" t="s">
        <v>74</v>
      </c>
      <c r="W649" s="25">
        <v>0</v>
      </c>
      <c r="AC649" s="8" t="e">
        <f>VLOOKUP(B649,#REF!,19,0)</f>
        <v>#REF!</v>
      </c>
      <c r="AP649" s="8" t="str">
        <f t="shared" si="28"/>
        <v>Not yet endorsed</v>
      </c>
      <c r="AQ649" s="10" t="b" cm="1">
        <f t="array" aca="1" ref="AQ649" ca="1">IF(AM649&gt;0,(TODAY()-AM649),IF(AL649&gt;0,(TODAY()-AL649),IF(AK649&gt;0,(TODAY()-AK649,IF(AI649&gt;0,(TODAY()-AI649),IF(AG649&gt;0,(TODAY()-AG649),IF(AF649&gt;0,(TODAY()-AF649),IF(X649&gt;0,(TODAY()-X649)," "))))))))</f>
        <v>0</v>
      </c>
      <c r="BD649" s="2" t="str">
        <f t="shared" si="29"/>
        <v>Not yet endorsed</v>
      </c>
      <c r="BE649" s="2" t="s">
        <v>75</v>
      </c>
      <c r="BG649" s="2" t="e">
        <v>#N/A</v>
      </c>
    </row>
    <row r="650" spans="2:59" hidden="1" x14ac:dyDescent="0.25">
      <c r="B650" s="2" t="s">
        <v>2969</v>
      </c>
      <c r="C650" s="2" t="s">
        <v>2970</v>
      </c>
      <c r="D650" s="44" t="s">
        <v>2971</v>
      </c>
      <c r="E650" s="2" t="s">
        <v>11</v>
      </c>
      <c r="F650" s="2" t="s">
        <v>1371</v>
      </c>
      <c r="G650" s="2" t="s">
        <v>1</v>
      </c>
      <c r="H650" s="2" t="s">
        <v>165</v>
      </c>
      <c r="I650" s="2" t="s">
        <v>68</v>
      </c>
      <c r="J650" s="2" t="s">
        <v>69</v>
      </c>
      <c r="K650" s="2" t="s">
        <v>1372</v>
      </c>
      <c r="L650" s="2" t="s">
        <v>1373</v>
      </c>
      <c r="M650" s="2">
        <v>0</v>
      </c>
      <c r="N650" s="2">
        <v>0</v>
      </c>
      <c r="O650" s="2">
        <v>0</v>
      </c>
      <c r="P650" s="2" t="s">
        <v>490</v>
      </c>
      <c r="Q650" s="2" t="s">
        <v>73</v>
      </c>
      <c r="R650" s="29" t="e">
        <f>IF(INDEX(#REF!,MATCH('data '!$B650,#REF!,0),MATCH('data '!R$3,#REF!,0))=0,"",INDEX(#REF!,MATCH('data '!$B650,#REF!,0),MATCH('data '!R$3,#REF!,0)))</f>
        <v>#REF!</v>
      </c>
      <c r="S650" s="29" t="e">
        <f>IF(INDEX(#REF!,MATCH('data '!$B650,#REF!,0),MATCH('data '!S$3,#REF!,0))=0,"",INDEX(#REF!,MATCH('data '!$B650,#REF!,0),MATCH('data '!S$3,#REF!,0)))</f>
        <v>#REF!</v>
      </c>
      <c r="T650" s="29" t="e">
        <f>IF(INDEX(#REF!,MATCH('data '!$B650,#REF!,0),MATCH('data '!T$3,#REF!,0))=0,"",INDEX(#REF!,MATCH('data '!$B650,#REF!,0),MATCH('data '!T$3,#REF!,0)))</f>
        <v>#REF!</v>
      </c>
      <c r="U650" s="8" t="s">
        <v>25</v>
      </c>
      <c r="V650" s="25" t="s">
        <v>656</v>
      </c>
      <c r="W650" s="25">
        <v>0</v>
      </c>
      <c r="AC650" s="8" t="e">
        <f>VLOOKUP(B650,#REF!,19,0)</f>
        <v>#REF!</v>
      </c>
      <c r="AP650" s="8" t="str">
        <f t="shared" si="28"/>
        <v>Not yet endorsed</v>
      </c>
      <c r="AQ650" s="10" t="b" cm="1">
        <f t="array" aca="1" ref="AQ650" ca="1">IF(AM650&gt;0,(TODAY()-AM650),IF(AL650&gt;0,(TODAY()-AL650),IF(AK650&gt;0,(TODAY()-AK650,IF(AI650&gt;0,(TODAY()-AI650),IF(AG650&gt;0,(TODAY()-AG650),IF(AF650&gt;0,(TODAY()-AF650),IF(X650&gt;0,(TODAY()-X650)," "))))))))</f>
        <v>0</v>
      </c>
      <c r="BD650" s="2" t="str">
        <f t="shared" si="29"/>
        <v>TSSR Approved</v>
      </c>
      <c r="BE650" s="2" t="e">
        <v>#VALUE!</v>
      </c>
      <c r="BG650" s="2" t="e">
        <v>#N/A</v>
      </c>
    </row>
    <row r="651" spans="2:59" hidden="1" x14ac:dyDescent="0.25">
      <c r="B651" s="2" t="s">
        <v>2972</v>
      </c>
      <c r="C651" s="2" t="s">
        <v>2973</v>
      </c>
      <c r="D651" s="44" t="s">
        <v>2974</v>
      </c>
      <c r="E651" s="2" t="s">
        <v>11</v>
      </c>
      <c r="F651" s="2" t="s">
        <v>709</v>
      </c>
      <c r="G651" s="2" t="s">
        <v>1</v>
      </c>
      <c r="H651" s="2" t="s">
        <v>165</v>
      </c>
      <c r="I651" s="2" t="s">
        <v>68</v>
      </c>
      <c r="J651" s="2" t="s">
        <v>173</v>
      </c>
      <c r="K651" s="2" t="s">
        <v>710</v>
      </c>
      <c r="L651" s="2" t="s">
        <v>2975</v>
      </c>
      <c r="M651" s="2">
        <v>0</v>
      </c>
      <c r="N651" s="2">
        <v>8.2217000000000002</v>
      </c>
      <c r="O651" s="2">
        <v>123.8565</v>
      </c>
      <c r="P651" s="2" t="s">
        <v>87</v>
      </c>
      <c r="Q651" s="2" t="s">
        <v>314</v>
      </c>
      <c r="R651" s="29" t="e">
        <f>IF(INDEX(#REF!,MATCH('data '!$B651,#REF!,0),MATCH('data '!R$3,#REF!,0))=0,"",INDEX(#REF!,MATCH('data '!$B651,#REF!,0),MATCH('data '!R$3,#REF!,0)))</f>
        <v>#REF!</v>
      </c>
      <c r="S651" s="29" t="e">
        <f>IF(INDEX(#REF!,MATCH('data '!$B651,#REF!,0),MATCH('data '!S$3,#REF!,0))=0,"",INDEX(#REF!,MATCH('data '!$B651,#REF!,0),MATCH('data '!S$3,#REF!,0)))</f>
        <v>#REF!</v>
      </c>
      <c r="T651" s="29" t="e">
        <f>IF(INDEX(#REF!,MATCH('data '!$B651,#REF!,0),MATCH('data '!T$3,#REF!,0))=0,"",INDEX(#REF!,MATCH('data '!$B651,#REF!,0),MATCH('data '!T$3,#REF!,0)))</f>
        <v>#REF!</v>
      </c>
      <c r="V651" s="25" t="s">
        <v>160</v>
      </c>
      <c r="W651" s="25" t="s">
        <v>144</v>
      </c>
      <c r="X651" s="43" t="s">
        <v>25</v>
      </c>
      <c r="Y651" s="43">
        <v>45911</v>
      </c>
      <c r="AC651" s="8" t="e">
        <f>VLOOKUP(B651,#REF!,19,0)</f>
        <v>#REF!</v>
      </c>
      <c r="AP651" s="8" t="str">
        <f t="shared" si="28"/>
        <v>BP Secured</v>
      </c>
      <c r="AQ651" s="10" t="b" cm="1">
        <f t="array" aca="1" ref="AQ651" ca="1">IF(AM651&gt;0,(TODAY()-AM651),IF(AL651&gt;0,(TODAY()-AL651),IF(AK651&gt;0,(TODAY()-AK651,IF(AI651&gt;0,(TODAY()-AI651),IF(AG651&gt;0,(TODAY()-AG651),IF(AF651&gt;0,(TODAY()-AF651),IF(X651&gt;0,(TODAY()-X651)," "))))))))</f>
        <v>0</v>
      </c>
      <c r="BD651" s="2" t="str">
        <f t="shared" si="29"/>
        <v>BP Secured</v>
      </c>
      <c r="BE651" s="2" t="e">
        <v>#VALUE!</v>
      </c>
      <c r="BG651" s="2" t="e">
        <v>#N/A</v>
      </c>
    </row>
    <row r="652" spans="2:59" hidden="1" x14ac:dyDescent="0.25">
      <c r="B652" s="2" t="s">
        <v>2976</v>
      </c>
      <c r="C652" s="2" t="s">
        <v>2977</v>
      </c>
      <c r="D652" s="44" t="s">
        <v>2978</v>
      </c>
      <c r="E652" s="2" t="s">
        <v>11</v>
      </c>
      <c r="F652" s="2" t="s">
        <v>2979</v>
      </c>
      <c r="G652" s="2" t="s">
        <v>1</v>
      </c>
      <c r="H652" s="2" t="s">
        <v>165</v>
      </c>
      <c r="I652" s="2" t="s">
        <v>68</v>
      </c>
      <c r="J652" s="2" t="s">
        <v>239</v>
      </c>
      <c r="K652" s="2" t="s">
        <v>240</v>
      </c>
      <c r="L652" s="2" t="s">
        <v>2980</v>
      </c>
      <c r="M652" s="2" t="s">
        <v>639</v>
      </c>
      <c r="N652" s="2">
        <v>9.7163869999999992</v>
      </c>
      <c r="O652" s="2">
        <v>125.570852</v>
      </c>
      <c r="P652" s="2" t="s">
        <v>87</v>
      </c>
      <c r="Q652" s="2" t="s">
        <v>265</v>
      </c>
      <c r="R652" s="29" t="e">
        <f>IF(INDEX(#REF!,MATCH('data '!$B652,#REF!,0),MATCH('data '!R$3,#REF!,0))=0,"",INDEX(#REF!,MATCH('data '!$B652,#REF!,0),MATCH('data '!R$3,#REF!,0)))</f>
        <v>#REF!</v>
      </c>
      <c r="S652" s="29" t="e">
        <f>IF(INDEX(#REF!,MATCH('data '!$B652,#REF!,0),MATCH('data '!S$3,#REF!,0))=0,"",INDEX(#REF!,MATCH('data '!$B652,#REF!,0),MATCH('data '!S$3,#REF!,0)))</f>
        <v>#REF!</v>
      </c>
      <c r="T652" s="29" t="e">
        <f>IF(INDEX(#REF!,MATCH('data '!$B652,#REF!,0),MATCH('data '!T$3,#REF!,0))=0,"",INDEX(#REF!,MATCH('data '!$B652,#REF!,0),MATCH('data '!T$3,#REF!,0)))</f>
        <v>#REF!</v>
      </c>
      <c r="U652" s="8" t="s">
        <v>25</v>
      </c>
      <c r="V652" s="25" t="s">
        <v>185</v>
      </c>
      <c r="W652" s="25" t="s">
        <v>144</v>
      </c>
      <c r="X652" s="43" t="s">
        <v>25</v>
      </c>
      <c r="Y652" s="43">
        <v>45842</v>
      </c>
      <c r="AA652" s="8" t="s">
        <v>2981</v>
      </c>
      <c r="AC652" s="8" t="e">
        <f>VLOOKUP(B652,#REF!,19,0)</f>
        <v>#REF!</v>
      </c>
      <c r="AE652" s="8" t="s">
        <v>1222</v>
      </c>
      <c r="AP652" s="8" t="str">
        <f t="shared" si="28"/>
        <v>BP Secured</v>
      </c>
      <c r="AQ652" s="10" t="b" cm="1">
        <f t="array" aca="1" ref="AQ652" ca="1">IF(AM652&gt;0,(TODAY()-AM652),IF(AL652&gt;0,(TODAY()-AL652),IF(AK652&gt;0,(TODAY()-AK652,IF(AI652&gt;0,(TODAY()-AI652),IF(AG652&gt;0,(TODAY()-AG652),IF(AF652&gt;0,(TODAY()-AF652),IF(X652&gt;0,(TODAY()-X652)," "))))))))</f>
        <v>0</v>
      </c>
      <c r="AT652" s="8" t="s">
        <v>155</v>
      </c>
      <c r="AU652" s="8">
        <v>45897</v>
      </c>
      <c r="AV652" s="8">
        <v>45899</v>
      </c>
      <c r="AX652" s="8">
        <v>45902</v>
      </c>
      <c r="BD652" s="2" t="str">
        <f t="shared" si="29"/>
        <v>PO Issued</v>
      </c>
      <c r="BE652" s="2">
        <v>38</v>
      </c>
      <c r="BG652" s="2" t="e">
        <v>#N/A</v>
      </c>
    </row>
    <row r="653" spans="2:59" hidden="1" x14ac:dyDescent="0.25">
      <c r="B653" s="2" t="s">
        <v>2982</v>
      </c>
      <c r="C653" s="2" t="s">
        <v>2983</v>
      </c>
      <c r="D653" s="44" t="s">
        <v>2984</v>
      </c>
      <c r="E653" s="2" t="s">
        <v>11</v>
      </c>
      <c r="F653" s="2" t="s">
        <v>2979</v>
      </c>
      <c r="G653" s="2" t="s">
        <v>1</v>
      </c>
      <c r="H653" s="2" t="s">
        <v>165</v>
      </c>
      <c r="I653" s="2" t="s">
        <v>68</v>
      </c>
      <c r="J653" s="2" t="s">
        <v>239</v>
      </c>
      <c r="K653" s="2" t="s">
        <v>240</v>
      </c>
      <c r="L653" s="2" t="s">
        <v>2985</v>
      </c>
      <c r="M653" s="2">
        <v>0</v>
      </c>
      <c r="N653" s="2">
        <v>9.5486070000000005</v>
      </c>
      <c r="O653" s="2">
        <v>125.480598</v>
      </c>
      <c r="P653" s="2" t="s">
        <v>87</v>
      </c>
      <c r="Q653" s="2" t="s">
        <v>184</v>
      </c>
      <c r="R653" s="29" t="e">
        <f>IF(INDEX(#REF!,MATCH('data '!$B653,#REF!,0),MATCH('data '!R$3,#REF!,0))=0,"",INDEX(#REF!,MATCH('data '!$B653,#REF!,0),MATCH('data '!R$3,#REF!,0)))</f>
        <v>#REF!</v>
      </c>
      <c r="S653" s="29" t="e">
        <f>IF(INDEX(#REF!,MATCH('data '!$B653,#REF!,0),MATCH('data '!S$3,#REF!,0))=0,"",INDEX(#REF!,MATCH('data '!$B653,#REF!,0),MATCH('data '!S$3,#REF!,0)))</f>
        <v>#REF!</v>
      </c>
      <c r="T653" s="29" t="e">
        <f>IF(INDEX(#REF!,MATCH('data '!$B653,#REF!,0),MATCH('data '!T$3,#REF!,0))=0,"",INDEX(#REF!,MATCH('data '!$B653,#REF!,0),MATCH('data '!T$3,#REF!,0)))</f>
        <v>#REF!</v>
      </c>
      <c r="U653" s="8" t="s">
        <v>25</v>
      </c>
      <c r="V653" s="25" t="s">
        <v>266</v>
      </c>
      <c r="W653" s="25" t="s">
        <v>144</v>
      </c>
      <c r="X653" s="43" t="s">
        <v>25</v>
      </c>
      <c r="Y653" s="43">
        <v>45819</v>
      </c>
      <c r="Z653" s="8">
        <v>45695</v>
      </c>
      <c r="AA653" s="8" t="s">
        <v>2354</v>
      </c>
      <c r="AC653" s="8" t="e">
        <f>VLOOKUP(B653,#REF!,19,0)</f>
        <v>#REF!</v>
      </c>
      <c r="AE653" s="8" t="s">
        <v>1222</v>
      </c>
      <c r="AP653" s="8" t="str">
        <f t="shared" si="28"/>
        <v>BP Secured</v>
      </c>
      <c r="AQ653" s="10" t="b" cm="1">
        <f t="array" aca="1" ref="AQ653" ca="1">IF(AM653&gt;0,(TODAY()-AM653),IF(AL653&gt;0,(TODAY()-AL653),IF(AK653&gt;0,(TODAY()-AK653,IF(AI653&gt;0,(TODAY()-AI653),IF(AG653&gt;0,(TODAY()-AG653),IF(AF653&gt;0,(TODAY()-AF653),IF(X653&gt;0,(TODAY()-X653)," "))))))))</f>
        <v>0</v>
      </c>
      <c r="AT653" s="8" t="s">
        <v>155</v>
      </c>
      <c r="AU653" s="8">
        <v>45852</v>
      </c>
      <c r="AV653" s="8">
        <v>45851</v>
      </c>
      <c r="AX653" s="8">
        <v>45854</v>
      </c>
      <c r="BD653" s="2" t="str">
        <f t="shared" si="29"/>
        <v>PO Issued</v>
      </c>
      <c r="BE653" s="2">
        <v>86</v>
      </c>
      <c r="BG653" s="2" t="e">
        <v>#N/A</v>
      </c>
    </row>
    <row r="654" spans="2:59" hidden="1" x14ac:dyDescent="0.25">
      <c r="B654" s="2" t="s">
        <v>2986</v>
      </c>
      <c r="C654" s="2" t="s">
        <v>2987</v>
      </c>
      <c r="D654" s="44" t="s">
        <v>2988</v>
      </c>
      <c r="E654" s="2" t="s">
        <v>11</v>
      </c>
      <c r="F654" s="2" t="s">
        <v>2979</v>
      </c>
      <c r="G654" s="2" t="s">
        <v>1</v>
      </c>
      <c r="H654" s="2" t="s">
        <v>165</v>
      </c>
      <c r="I654" s="2" t="s">
        <v>68</v>
      </c>
      <c r="J654" s="2" t="s">
        <v>239</v>
      </c>
      <c r="K654" s="2" t="s">
        <v>240</v>
      </c>
      <c r="L654" s="2" t="s">
        <v>2989</v>
      </c>
      <c r="M654" s="2" t="s">
        <v>1166</v>
      </c>
      <c r="N654" s="2">
        <v>9.5755859999999995</v>
      </c>
      <c r="O654" s="2">
        <v>125.415578</v>
      </c>
      <c r="P654" s="2" t="s">
        <v>87</v>
      </c>
      <c r="Q654" s="2" t="s">
        <v>73</v>
      </c>
      <c r="R654" s="29" t="e">
        <f>IF(INDEX(#REF!,MATCH('data '!$B654,#REF!,0),MATCH('data '!R$3,#REF!,0))=0,"",INDEX(#REF!,MATCH('data '!$B654,#REF!,0),MATCH('data '!R$3,#REF!,0)))</f>
        <v>#REF!</v>
      </c>
      <c r="S654" s="29" t="e">
        <f>IF(INDEX(#REF!,MATCH('data '!$B654,#REF!,0),MATCH('data '!S$3,#REF!,0))=0,"",INDEX(#REF!,MATCH('data '!$B654,#REF!,0),MATCH('data '!S$3,#REF!,0)))</f>
        <v>#REF!</v>
      </c>
      <c r="T654" s="29" t="e">
        <f>IF(INDEX(#REF!,MATCH('data '!$B654,#REF!,0),MATCH('data '!T$3,#REF!,0))=0,"",INDEX(#REF!,MATCH('data '!$B654,#REF!,0),MATCH('data '!T$3,#REF!,0)))</f>
        <v>#REF!</v>
      </c>
      <c r="U654" s="8" t="s">
        <v>25</v>
      </c>
      <c r="V654" s="25" t="s">
        <v>87</v>
      </c>
      <c r="W654" s="25" t="s">
        <v>144</v>
      </c>
      <c r="X654" s="9" t="s">
        <v>25</v>
      </c>
      <c r="Y654" s="9">
        <v>45905</v>
      </c>
      <c r="AC654" s="8" t="e">
        <f>VLOOKUP(B654,#REF!,19,0)</f>
        <v>#REF!</v>
      </c>
      <c r="AP654" s="8" t="str">
        <f t="shared" si="28"/>
        <v>BP Secured</v>
      </c>
      <c r="AQ654" s="10" t="b" cm="1">
        <f t="array" aca="1" ref="AQ654" ca="1">IF(AM654&gt;0,(TODAY()-AM654),IF(AL654&gt;0,(TODAY()-AL654),IF(AK654&gt;0,(TODAY()-AK654,IF(AI654&gt;0,(TODAY()-AI654),IF(AG654&gt;0,(TODAY()-AG654),IF(AF654&gt;0,(TODAY()-AF654),IF(X654&gt;0,(TODAY()-X654)," "))))))))</f>
        <v>0</v>
      </c>
      <c r="BD654" s="2" t="str">
        <f t="shared" si="29"/>
        <v>BP Secured</v>
      </c>
      <c r="BE654" s="2" t="e">
        <v>#VALUE!</v>
      </c>
      <c r="BG654" s="2" t="e">
        <v>#N/A</v>
      </c>
    </row>
    <row r="655" spans="2:59" hidden="1" x14ac:dyDescent="0.25">
      <c r="B655" s="2" t="s">
        <v>2990</v>
      </c>
      <c r="C655" s="2" t="s">
        <v>2991</v>
      </c>
      <c r="D655" s="44" t="s">
        <v>2992</v>
      </c>
      <c r="E655" s="2" t="s">
        <v>11</v>
      </c>
      <c r="F655" s="2" t="s">
        <v>2979</v>
      </c>
      <c r="G655" s="2" t="s">
        <v>1</v>
      </c>
      <c r="H655" s="2" t="s">
        <v>165</v>
      </c>
      <c r="I655" s="2" t="s">
        <v>68</v>
      </c>
      <c r="J655" s="2" t="s">
        <v>239</v>
      </c>
      <c r="K655" s="2" t="s">
        <v>240</v>
      </c>
      <c r="L655" s="2" t="s">
        <v>2993</v>
      </c>
      <c r="M655" s="2">
        <v>0</v>
      </c>
      <c r="N655" s="2">
        <v>9.4680510000000009</v>
      </c>
      <c r="O655" s="2">
        <v>125.573374</v>
      </c>
      <c r="P655" s="2" t="s">
        <v>87</v>
      </c>
      <c r="Q655" s="2" t="s">
        <v>265</v>
      </c>
      <c r="R655" s="29" t="e">
        <f>IF(INDEX(#REF!,MATCH('data '!$B655,#REF!,0),MATCH('data '!R$3,#REF!,0))=0,"",INDEX(#REF!,MATCH('data '!$B655,#REF!,0),MATCH('data '!R$3,#REF!,0)))</f>
        <v>#REF!</v>
      </c>
      <c r="S655" s="29" t="e">
        <f>IF(INDEX(#REF!,MATCH('data '!$B655,#REF!,0),MATCH('data '!S$3,#REF!,0))=0,"",INDEX(#REF!,MATCH('data '!$B655,#REF!,0),MATCH('data '!S$3,#REF!,0)))</f>
        <v>#REF!</v>
      </c>
      <c r="T655" s="29" t="e">
        <f>IF(INDEX(#REF!,MATCH('data '!$B655,#REF!,0),MATCH('data '!T$3,#REF!,0))=0,"",INDEX(#REF!,MATCH('data '!$B655,#REF!,0),MATCH('data '!T$3,#REF!,0)))</f>
        <v>#REF!</v>
      </c>
      <c r="U655" s="8" t="s">
        <v>25</v>
      </c>
      <c r="V655" s="25" t="s">
        <v>185</v>
      </c>
      <c r="W655" s="25" t="s">
        <v>144</v>
      </c>
      <c r="X655" s="43" t="s">
        <v>25</v>
      </c>
      <c r="Y655" s="43">
        <v>45863</v>
      </c>
      <c r="AA655" s="8" t="s">
        <v>2994</v>
      </c>
      <c r="AC655" s="8" t="e">
        <f>VLOOKUP(B655,#REF!,19,0)</f>
        <v>#REF!</v>
      </c>
      <c r="AE655" s="8" t="s">
        <v>1222</v>
      </c>
      <c r="AP655" s="8" t="str">
        <f t="shared" si="28"/>
        <v>BP Secured</v>
      </c>
      <c r="AQ655" s="10" t="b" cm="1">
        <f t="array" aca="1" ref="AQ655" ca="1">IF(AM655&gt;0,(TODAY()-AM655),IF(AL655&gt;0,(TODAY()-AL655),IF(AK655&gt;0,(TODAY()-AK655,IF(AI655&gt;0,(TODAY()-AI655),IF(AG655&gt;0,(TODAY()-AG655),IF(AF655&gt;0,(TODAY()-AF655),IF(X655&gt;0,(TODAY()-X655)," "))))))))</f>
        <v>0</v>
      </c>
      <c r="AT655" s="8" t="s">
        <v>155</v>
      </c>
      <c r="AU655" s="8">
        <v>45902</v>
      </c>
      <c r="AV655" s="8">
        <v>45901</v>
      </c>
      <c r="AX655" s="8">
        <v>45904</v>
      </c>
      <c r="BD655" s="2" t="str">
        <f t="shared" si="29"/>
        <v>PO Issued</v>
      </c>
      <c r="BE655" s="2">
        <v>36</v>
      </c>
      <c r="BG655" s="2" t="e">
        <v>#N/A</v>
      </c>
    </row>
    <row r="656" spans="2:59" hidden="1" x14ac:dyDescent="0.25">
      <c r="B656" s="2" t="s">
        <v>2995</v>
      </c>
      <c r="C656" s="2" t="s">
        <v>2996</v>
      </c>
      <c r="D656" s="44" t="s">
        <v>2997</v>
      </c>
      <c r="E656" s="2" t="s">
        <v>11</v>
      </c>
      <c r="F656" s="2" t="s">
        <v>2979</v>
      </c>
      <c r="G656" s="2" t="s">
        <v>1</v>
      </c>
      <c r="H656" s="2" t="s">
        <v>165</v>
      </c>
      <c r="I656" s="2" t="s">
        <v>68</v>
      </c>
      <c r="J656" s="2" t="s">
        <v>239</v>
      </c>
      <c r="K656" s="2" t="s">
        <v>240</v>
      </c>
      <c r="L656" s="2" t="s">
        <v>2998</v>
      </c>
      <c r="M656" s="2">
        <v>0</v>
      </c>
      <c r="N656" s="2">
        <v>0</v>
      </c>
      <c r="O656" s="2">
        <v>0</v>
      </c>
      <c r="P656" s="2" t="s">
        <v>87</v>
      </c>
      <c r="Q656" s="2" t="s">
        <v>73</v>
      </c>
      <c r="R656" s="29" t="e">
        <f>IF(INDEX(#REF!,MATCH('data '!$B656,#REF!,0),MATCH('data '!R$3,#REF!,0))=0,"",INDEX(#REF!,MATCH('data '!$B656,#REF!,0),MATCH('data '!R$3,#REF!,0)))</f>
        <v>#REF!</v>
      </c>
      <c r="S656" s="29" t="e">
        <f>IF(INDEX(#REF!,MATCH('data '!$B656,#REF!,0),MATCH('data '!S$3,#REF!,0))=0,"",INDEX(#REF!,MATCH('data '!$B656,#REF!,0),MATCH('data '!S$3,#REF!,0)))</f>
        <v>#REF!</v>
      </c>
      <c r="T656" s="29" t="e">
        <f>IF(INDEX(#REF!,MATCH('data '!$B656,#REF!,0),MATCH('data '!T$3,#REF!,0))=0,"",INDEX(#REF!,MATCH('data '!$B656,#REF!,0),MATCH('data '!T$3,#REF!,0)))</f>
        <v>#REF!</v>
      </c>
      <c r="V656" s="25" t="s">
        <v>160</v>
      </c>
      <c r="W656" s="25" t="s">
        <v>144</v>
      </c>
      <c r="X656" s="43" t="s">
        <v>25</v>
      </c>
      <c r="Y656" s="43">
        <v>45922</v>
      </c>
      <c r="AC656" s="8" t="e">
        <f>VLOOKUP(B656,#REF!,19,0)</f>
        <v>#REF!</v>
      </c>
      <c r="AP656" s="8" t="str">
        <f t="shared" si="28"/>
        <v>BP Secured</v>
      </c>
      <c r="AQ656" s="10" t="b" cm="1">
        <f t="array" aca="1" ref="AQ656" ca="1">IF(AM656&gt;0,(TODAY()-AM656),IF(AL656&gt;0,(TODAY()-AL656),IF(AK656&gt;0,(TODAY()-AK656,IF(AI656&gt;0,(TODAY()-AI656),IF(AG656&gt;0,(TODAY()-AG656),IF(AF656&gt;0,(TODAY()-AF656),IF(X656&gt;0,(TODAY()-X656)," "))))))))</f>
        <v>0</v>
      </c>
      <c r="BD656" s="2" t="str">
        <f t="shared" si="29"/>
        <v>BP Secured</v>
      </c>
      <c r="BE656" s="2" t="e">
        <v>#VALUE!</v>
      </c>
      <c r="BG656" s="2" t="e">
        <v>#N/A</v>
      </c>
    </row>
    <row r="657" spans="2:59" hidden="1" x14ac:dyDescent="0.25">
      <c r="B657" s="2" t="s">
        <v>2999</v>
      </c>
      <c r="C657" s="2" t="s">
        <v>3000</v>
      </c>
      <c r="D657" s="44" t="s">
        <v>3001</v>
      </c>
      <c r="E657" s="2" t="s">
        <v>11</v>
      </c>
      <c r="F657" s="2" t="s">
        <v>2979</v>
      </c>
      <c r="G657" s="2" t="s">
        <v>1</v>
      </c>
      <c r="H657" s="2" t="s">
        <v>165</v>
      </c>
      <c r="I657" s="2" t="s">
        <v>68</v>
      </c>
      <c r="J657" s="2" t="s">
        <v>239</v>
      </c>
      <c r="K657" s="2" t="s">
        <v>240</v>
      </c>
      <c r="L657" s="2" t="s">
        <v>2985</v>
      </c>
      <c r="M657" s="2" t="s">
        <v>1308</v>
      </c>
      <c r="N657" s="2">
        <v>9.5332170000000005</v>
      </c>
      <c r="O657" s="2">
        <v>125.5622</v>
      </c>
      <c r="P657" s="2" t="s">
        <v>87</v>
      </c>
      <c r="Q657" s="2" t="s">
        <v>184</v>
      </c>
      <c r="R657" s="29" t="e">
        <f>IF(INDEX(#REF!,MATCH('data '!$B657,#REF!,0),MATCH('data '!R$3,#REF!,0))=0,"",INDEX(#REF!,MATCH('data '!$B657,#REF!,0),MATCH('data '!R$3,#REF!,0)))</f>
        <v>#REF!</v>
      </c>
      <c r="S657" s="29" t="e">
        <f>IF(INDEX(#REF!,MATCH('data '!$B657,#REF!,0),MATCH('data '!S$3,#REF!,0))=0,"",INDEX(#REF!,MATCH('data '!$B657,#REF!,0),MATCH('data '!S$3,#REF!,0)))</f>
        <v>#REF!</v>
      </c>
      <c r="T657" s="29" t="e">
        <f>IF(INDEX(#REF!,MATCH('data '!$B657,#REF!,0),MATCH('data '!T$3,#REF!,0))=0,"",INDEX(#REF!,MATCH('data '!$B657,#REF!,0),MATCH('data '!T$3,#REF!,0)))</f>
        <v>#REF!</v>
      </c>
      <c r="U657" s="8" t="s">
        <v>25</v>
      </c>
      <c r="V657" s="25" t="s">
        <v>266</v>
      </c>
      <c r="W657" s="25" t="s">
        <v>144</v>
      </c>
      <c r="X657" s="43" t="s">
        <v>25</v>
      </c>
      <c r="Y657" s="43">
        <v>45821</v>
      </c>
      <c r="Z657" s="8">
        <v>45998</v>
      </c>
      <c r="AA657" s="8" t="s">
        <v>3002</v>
      </c>
      <c r="AC657" s="8" t="e">
        <f>VLOOKUP(B657,#REF!,19,0)</f>
        <v>#REF!</v>
      </c>
      <c r="AE657" s="8" t="s">
        <v>1222</v>
      </c>
      <c r="AP657" s="8" t="str">
        <f t="shared" si="28"/>
        <v>BP Secured</v>
      </c>
      <c r="AQ657" s="10" t="b" cm="1">
        <f t="array" aca="1" ref="AQ657" ca="1">IF(AM657&gt;0,(TODAY()-AM657),IF(AL657&gt;0,(TODAY()-AL657),IF(AK657&gt;0,(TODAY()-AK657,IF(AI657&gt;0,(TODAY()-AI657),IF(AG657&gt;0,(TODAY()-AG657),IF(AF657&gt;0,(TODAY()-AF657),IF(X657&gt;0,(TODAY()-X657)," "))))))))</f>
        <v>0</v>
      </c>
      <c r="AT657" s="8" t="s">
        <v>155</v>
      </c>
      <c r="AU657" s="8">
        <v>45852</v>
      </c>
      <c r="AV657" s="8">
        <v>45851</v>
      </c>
      <c r="AX657" s="8">
        <v>45854</v>
      </c>
      <c r="BD657" s="2" t="str">
        <f t="shared" si="29"/>
        <v>PO Issued</v>
      </c>
      <c r="BE657" s="2">
        <v>86</v>
      </c>
      <c r="BG657" s="2" t="e">
        <v>#N/A</v>
      </c>
    </row>
    <row r="658" spans="2:59" hidden="1" x14ac:dyDescent="0.25">
      <c r="B658" s="2" t="s">
        <v>3003</v>
      </c>
      <c r="C658" s="2" t="s">
        <v>3004</v>
      </c>
      <c r="D658" s="44" t="s">
        <v>3005</v>
      </c>
      <c r="E658" s="2" t="s">
        <v>11</v>
      </c>
      <c r="F658" s="2" t="s">
        <v>2979</v>
      </c>
      <c r="G658" s="2" t="s">
        <v>1</v>
      </c>
      <c r="H658" s="2" t="s">
        <v>165</v>
      </c>
      <c r="I658" s="2" t="s">
        <v>68</v>
      </c>
      <c r="J658" s="2" t="s">
        <v>239</v>
      </c>
      <c r="K658" s="2" t="s">
        <v>240</v>
      </c>
      <c r="L658" s="2" t="s">
        <v>3006</v>
      </c>
      <c r="M658" s="2">
        <v>0</v>
      </c>
      <c r="N658" s="2">
        <v>9.7662449999999996</v>
      </c>
      <c r="O658" s="2">
        <v>125.53212000000001</v>
      </c>
      <c r="P658" s="2" t="s">
        <v>87</v>
      </c>
      <c r="Q658" s="2" t="s">
        <v>314</v>
      </c>
      <c r="R658" s="29" t="e">
        <f>IF(INDEX(#REF!,MATCH('data '!$B658,#REF!,0),MATCH('data '!R$3,#REF!,0))=0,"",INDEX(#REF!,MATCH('data '!$B658,#REF!,0),MATCH('data '!R$3,#REF!,0)))</f>
        <v>#REF!</v>
      </c>
      <c r="S658" s="29" t="e">
        <f>IF(INDEX(#REF!,MATCH('data '!$B658,#REF!,0),MATCH('data '!S$3,#REF!,0))=0,"",INDEX(#REF!,MATCH('data '!$B658,#REF!,0),MATCH('data '!S$3,#REF!,0)))</f>
        <v>#REF!</v>
      </c>
      <c r="T658" s="29" t="e">
        <f>IF(INDEX(#REF!,MATCH('data '!$B658,#REF!,0),MATCH('data '!T$3,#REF!,0))=0,"",INDEX(#REF!,MATCH('data '!$B658,#REF!,0),MATCH('data '!T$3,#REF!,0)))</f>
        <v>#REF!</v>
      </c>
      <c r="U658" s="8" t="s">
        <v>25</v>
      </c>
      <c r="V658" s="25" t="s">
        <v>351</v>
      </c>
      <c r="W658" s="25" t="s">
        <v>144</v>
      </c>
      <c r="X658" s="43" t="s">
        <v>25</v>
      </c>
      <c r="Y658" s="43">
        <v>45923</v>
      </c>
      <c r="AC658" s="8" t="e">
        <f>VLOOKUP(B658,#REF!,19,0)</f>
        <v>#REF!</v>
      </c>
      <c r="AP658" s="8" t="str">
        <f t="shared" si="28"/>
        <v>BP Secured</v>
      </c>
      <c r="AQ658" s="10" t="b" cm="1">
        <f t="array" aca="1" ref="AQ658" ca="1">IF(AM658&gt;0,(TODAY()-AM658),IF(AL658&gt;0,(TODAY()-AL658),IF(AK658&gt;0,(TODAY()-AK658,IF(AI658&gt;0,(TODAY()-AI658),IF(AG658&gt;0,(TODAY()-AG658),IF(AF658&gt;0,(TODAY()-AF658),IF(X658&gt;0,(TODAY()-X658)," "))))))))</f>
        <v>0</v>
      </c>
      <c r="BD658" s="2" t="str">
        <f t="shared" si="29"/>
        <v>BP Secured</v>
      </c>
      <c r="BE658" s="2" t="e">
        <v>#VALUE!</v>
      </c>
      <c r="BG658" s="2" t="e">
        <v>#N/A</v>
      </c>
    </row>
    <row r="659" spans="2:59" hidden="1" x14ac:dyDescent="0.25">
      <c r="B659" s="2" t="s">
        <v>3007</v>
      </c>
      <c r="C659" s="2" t="s">
        <v>3008</v>
      </c>
      <c r="D659" s="44" t="s">
        <v>3009</v>
      </c>
      <c r="E659" s="2" t="s">
        <v>11</v>
      </c>
      <c r="F659" s="2" t="s">
        <v>2979</v>
      </c>
      <c r="G659" s="2" t="s">
        <v>1</v>
      </c>
      <c r="H659" s="2" t="s">
        <v>165</v>
      </c>
      <c r="I659" s="2" t="s">
        <v>68</v>
      </c>
      <c r="J659" s="2" t="s">
        <v>239</v>
      </c>
      <c r="K659" s="2" t="s">
        <v>240</v>
      </c>
      <c r="L659" s="2" t="s">
        <v>3010</v>
      </c>
      <c r="M659" s="2">
        <v>0</v>
      </c>
      <c r="N659" s="2">
        <v>9.5599410000000002</v>
      </c>
      <c r="O659" s="2">
        <v>125.67842899999999</v>
      </c>
      <c r="P659" s="2" t="s">
        <v>87</v>
      </c>
      <c r="Q659" s="2" t="s">
        <v>184</v>
      </c>
      <c r="R659" s="29" t="e">
        <f>IF(INDEX(#REF!,MATCH('data '!$B659,#REF!,0),MATCH('data '!R$3,#REF!,0))=0,"",INDEX(#REF!,MATCH('data '!$B659,#REF!,0),MATCH('data '!R$3,#REF!,0)))</f>
        <v>#REF!</v>
      </c>
      <c r="S659" s="29" t="e">
        <f>IF(INDEX(#REF!,MATCH('data '!$B659,#REF!,0),MATCH('data '!S$3,#REF!,0))=0,"",INDEX(#REF!,MATCH('data '!$B659,#REF!,0),MATCH('data '!S$3,#REF!,0)))</f>
        <v>#REF!</v>
      </c>
      <c r="T659" s="29" t="e">
        <f>IF(INDEX(#REF!,MATCH('data '!$B659,#REF!,0),MATCH('data '!T$3,#REF!,0))=0,"",INDEX(#REF!,MATCH('data '!$B659,#REF!,0),MATCH('data '!T$3,#REF!,0)))</f>
        <v>#REF!</v>
      </c>
      <c r="U659" s="8" t="s">
        <v>25</v>
      </c>
      <c r="V659" s="25" t="s">
        <v>266</v>
      </c>
      <c r="W659" s="25" t="s">
        <v>144</v>
      </c>
      <c r="X659" s="9" t="s">
        <v>25</v>
      </c>
      <c r="Y659" s="9">
        <v>45737</v>
      </c>
      <c r="AA659" s="8">
        <v>45905</v>
      </c>
      <c r="AB659" s="8">
        <v>45926</v>
      </c>
      <c r="AC659" s="8" t="e">
        <f>VLOOKUP(B659,#REF!,19,0)</f>
        <v>#REF!</v>
      </c>
      <c r="AE659" s="8" t="s">
        <v>497</v>
      </c>
      <c r="AP659" s="8" t="str">
        <f t="shared" si="28"/>
        <v>BP Secured</v>
      </c>
      <c r="AQ659" s="10" t="b" cm="1">
        <f t="array" aca="1" ref="AQ659" ca="1">IF(AM659&gt;0,(TODAY()-AM659),IF(AL659&gt;0,(TODAY()-AL659),IF(AK659&gt;0,(TODAY()-AK659,IF(AI659&gt;0,(TODAY()-AI659),IF(AG659&gt;0,(TODAY()-AG659),IF(AF659&gt;0,(TODAY()-AF659),IF(X659&gt;0,(TODAY()-X659)," "))))))))</f>
        <v>0</v>
      </c>
      <c r="AT659" s="8" t="s">
        <v>155</v>
      </c>
      <c r="AU659" s="8">
        <v>45804</v>
      </c>
      <c r="AV659" s="8">
        <v>45803</v>
      </c>
      <c r="AX659" s="8">
        <v>45806</v>
      </c>
      <c r="BD659" s="2" t="str">
        <f t="shared" si="29"/>
        <v>PO Issued</v>
      </c>
      <c r="BE659" s="2">
        <v>134</v>
      </c>
      <c r="BG659" s="2" t="e">
        <v>#N/A</v>
      </c>
    </row>
    <row r="660" spans="2:59" hidden="1" x14ac:dyDescent="0.25">
      <c r="B660" s="2" t="s">
        <v>3011</v>
      </c>
      <c r="C660" s="2" t="s">
        <v>3012</v>
      </c>
      <c r="D660" s="44" t="s">
        <v>3013</v>
      </c>
      <c r="E660" s="2" t="s">
        <v>11</v>
      </c>
      <c r="F660" s="2">
        <v>0</v>
      </c>
      <c r="G660" s="2" t="s">
        <v>1</v>
      </c>
      <c r="H660" s="2" t="s">
        <v>67</v>
      </c>
      <c r="I660" s="2" t="s">
        <v>68</v>
      </c>
      <c r="J660" s="2" t="s">
        <v>330</v>
      </c>
      <c r="K660" s="2" t="s">
        <v>494</v>
      </c>
      <c r="L660" s="2">
        <v>0</v>
      </c>
      <c r="M660" s="2">
        <v>0</v>
      </c>
      <c r="N660" s="2">
        <v>0</v>
      </c>
      <c r="O660" s="2">
        <v>0</v>
      </c>
      <c r="P660" s="2" t="s">
        <v>168</v>
      </c>
      <c r="Q660" s="2">
        <v>0</v>
      </c>
      <c r="R660" s="29" t="e">
        <f>IF(INDEX(#REF!,MATCH('data '!$B660,#REF!,0),MATCH('data '!R$3,#REF!,0))=0,"",INDEX(#REF!,MATCH('data '!$B660,#REF!,0),MATCH('data '!R$3,#REF!,0)))</f>
        <v>#REF!</v>
      </c>
      <c r="S660" s="29" t="e">
        <f>IF(INDEX(#REF!,MATCH('data '!$B660,#REF!,0),MATCH('data '!S$3,#REF!,0))=0,"",INDEX(#REF!,MATCH('data '!$B660,#REF!,0),MATCH('data '!S$3,#REF!,0)))</f>
        <v>#REF!</v>
      </c>
      <c r="T660" s="29" t="e">
        <f>IF(INDEX(#REF!,MATCH('data '!$B660,#REF!,0),MATCH('data '!T$3,#REF!,0))=0,"",INDEX(#REF!,MATCH('data '!$B660,#REF!,0),MATCH('data '!T$3,#REF!,0)))</f>
        <v>#REF!</v>
      </c>
      <c r="V660" s="25" t="s">
        <v>168</v>
      </c>
      <c r="W660" s="25" t="s">
        <v>176</v>
      </c>
      <c r="AC660" s="8" t="e">
        <f>VLOOKUP(B660,#REF!,19,0)</f>
        <v>#REF!</v>
      </c>
      <c r="AP660" s="8" t="str">
        <f t="shared" si="28"/>
        <v>Not yet endorsed</v>
      </c>
      <c r="AQ660" s="10" t="b" cm="1">
        <f t="array" aca="1" ref="AQ660" ca="1">IF(AM660&gt;0,(TODAY()-AM660),IF(AL660&gt;0,(TODAY()-AL660),IF(AK660&gt;0,(TODAY()-AK660,IF(AI660&gt;0,(TODAY()-AI660),IF(AG660&gt;0,(TODAY()-AG660),IF(AF660&gt;0,(TODAY()-AF660),IF(X660&gt;0,(TODAY()-X660)," "))))))))</f>
        <v>0</v>
      </c>
      <c r="BD660" s="2" t="str">
        <f t="shared" si="29"/>
        <v>Not yet endorsed</v>
      </c>
      <c r="BE660" s="2" t="s">
        <v>75</v>
      </c>
      <c r="BG660" s="2" t="e">
        <v>#N/A</v>
      </c>
    </row>
    <row r="661" spans="2:59" hidden="1" x14ac:dyDescent="0.25">
      <c r="B661" s="2" t="s">
        <v>3014</v>
      </c>
      <c r="C661" s="2" t="s">
        <v>3015</v>
      </c>
      <c r="D661" s="44" t="s">
        <v>3016</v>
      </c>
      <c r="E661" s="2" t="s">
        <v>11</v>
      </c>
      <c r="F661" s="2" t="s">
        <v>3017</v>
      </c>
      <c r="G661" s="2" t="s">
        <v>1</v>
      </c>
      <c r="H661" s="2" t="s">
        <v>165</v>
      </c>
      <c r="I661" s="2" t="s">
        <v>68</v>
      </c>
      <c r="J661" s="2" t="s">
        <v>239</v>
      </c>
      <c r="K661" s="2" t="s">
        <v>515</v>
      </c>
      <c r="L661" s="2" t="s">
        <v>3018</v>
      </c>
      <c r="M661" s="2">
        <v>0</v>
      </c>
      <c r="N661" s="2">
        <v>8.2992469999999994</v>
      </c>
      <c r="O661" s="2">
        <v>126.37309500000001</v>
      </c>
      <c r="P661" s="2" t="s">
        <v>87</v>
      </c>
      <c r="Q661" s="2" t="s">
        <v>198</v>
      </c>
      <c r="R661" s="29" t="e">
        <f>IF(INDEX(#REF!,MATCH('data '!$B661,#REF!,0),MATCH('data '!R$3,#REF!,0))=0,"",INDEX(#REF!,MATCH('data '!$B661,#REF!,0),MATCH('data '!R$3,#REF!,0)))</f>
        <v>#REF!</v>
      </c>
      <c r="S661" s="29" t="e">
        <f>IF(INDEX(#REF!,MATCH('data '!$B661,#REF!,0),MATCH('data '!S$3,#REF!,0))=0,"",INDEX(#REF!,MATCH('data '!$B661,#REF!,0),MATCH('data '!S$3,#REF!,0)))</f>
        <v>#REF!</v>
      </c>
      <c r="T661" s="29" t="e">
        <f>IF(INDEX(#REF!,MATCH('data '!$B661,#REF!,0),MATCH('data '!T$3,#REF!,0))=0,"",INDEX(#REF!,MATCH('data '!$B661,#REF!,0),MATCH('data '!T$3,#REF!,0)))</f>
        <v>#REF!</v>
      </c>
      <c r="U661" s="8" t="s">
        <v>25</v>
      </c>
      <c r="V661" s="25" t="s">
        <v>185</v>
      </c>
      <c r="W661" s="25" t="s">
        <v>144</v>
      </c>
      <c r="X661" s="43" t="s">
        <v>25</v>
      </c>
      <c r="Y661" s="43">
        <v>45856</v>
      </c>
      <c r="AC661" s="8" t="e">
        <f>VLOOKUP(B661,#REF!,19,0)</f>
        <v>#REF!</v>
      </c>
      <c r="AP661" s="8" t="str">
        <f t="shared" si="28"/>
        <v>BP Secured</v>
      </c>
      <c r="AQ661" s="10" t="b" cm="1">
        <f t="array" aca="1" ref="AQ661" ca="1">IF(AM661&gt;0,(TODAY()-AM661),IF(AL661&gt;0,(TODAY()-AL661),IF(AK661&gt;0,(TODAY()-AK661,IF(AI661&gt;0,(TODAY()-AI661),IF(AG661&gt;0,(TODAY()-AG661),IF(AF661&gt;0,(TODAY()-AF661),IF(X661&gt;0,(TODAY()-X661)," "))))))))</f>
        <v>0</v>
      </c>
      <c r="BD661" s="2" t="str">
        <f t="shared" si="29"/>
        <v>BP Secured</v>
      </c>
      <c r="BE661" s="2" t="e">
        <v>#VALUE!</v>
      </c>
      <c r="BG661" s="2" t="e">
        <v>#N/A</v>
      </c>
    </row>
    <row r="662" spans="2:59" hidden="1" x14ac:dyDescent="0.25">
      <c r="B662" s="2" t="s">
        <v>3019</v>
      </c>
      <c r="C662" s="2" t="s">
        <v>3020</v>
      </c>
      <c r="D662" s="44" t="s">
        <v>3021</v>
      </c>
      <c r="E662" s="2" t="s">
        <v>11</v>
      </c>
      <c r="F662" s="2" t="s">
        <v>514</v>
      </c>
      <c r="G662" s="2" t="s">
        <v>1</v>
      </c>
      <c r="H662" s="2" t="s">
        <v>165</v>
      </c>
      <c r="I662" s="2" t="s">
        <v>68</v>
      </c>
      <c r="J662" s="2" t="s">
        <v>239</v>
      </c>
      <c r="K662" s="2" t="s">
        <v>515</v>
      </c>
      <c r="L662" s="2" t="s">
        <v>3022</v>
      </c>
      <c r="M662" s="2" t="s">
        <v>3023</v>
      </c>
      <c r="N662" s="2">
        <v>8.9773540000000001</v>
      </c>
      <c r="O662" s="2">
        <v>126.239216</v>
      </c>
      <c r="P662" s="2" t="s">
        <v>87</v>
      </c>
      <c r="Q662" s="2" t="s">
        <v>184</v>
      </c>
      <c r="R662" s="29" t="e">
        <f>IF(INDEX(#REF!,MATCH('data '!$B662,#REF!,0),MATCH('data '!R$3,#REF!,0))=0,"",INDEX(#REF!,MATCH('data '!$B662,#REF!,0),MATCH('data '!R$3,#REF!,0)))</f>
        <v>#REF!</v>
      </c>
      <c r="S662" s="29" t="e">
        <f>IF(INDEX(#REF!,MATCH('data '!$B662,#REF!,0),MATCH('data '!S$3,#REF!,0))=0,"",INDEX(#REF!,MATCH('data '!$B662,#REF!,0),MATCH('data '!S$3,#REF!,0)))</f>
        <v>#REF!</v>
      </c>
      <c r="T662" s="29" t="e">
        <f>IF(INDEX(#REF!,MATCH('data '!$B662,#REF!,0),MATCH('data '!T$3,#REF!,0))=0,"",INDEX(#REF!,MATCH('data '!$B662,#REF!,0),MATCH('data '!T$3,#REF!,0)))</f>
        <v>#REF!</v>
      </c>
      <c r="U662" s="8" t="s">
        <v>25</v>
      </c>
      <c r="V662" s="25" t="s">
        <v>266</v>
      </c>
      <c r="W662" s="25" t="s">
        <v>144</v>
      </c>
      <c r="X662" s="43" t="s">
        <v>25</v>
      </c>
      <c r="Y662" s="43">
        <v>45784</v>
      </c>
      <c r="AA662" s="8">
        <v>45938</v>
      </c>
      <c r="AC662" s="8" t="e">
        <f>VLOOKUP(B662,#REF!,19,0)</f>
        <v>#REF!</v>
      </c>
      <c r="AE662" s="8" t="s">
        <v>497</v>
      </c>
      <c r="AP662" s="8" t="str">
        <f t="shared" si="28"/>
        <v>BP Secured</v>
      </c>
      <c r="AQ662" s="10" t="b" cm="1">
        <f t="array" aca="1" ref="AQ662" ca="1">IF(AM662&gt;0,(TODAY()-AM662),IF(AL662&gt;0,(TODAY()-AL662),IF(AK662&gt;0,(TODAY()-AK662,IF(AI662&gt;0,(TODAY()-AI662),IF(AG662&gt;0,(TODAY()-AG662),IF(AF662&gt;0,(TODAY()-AF662),IF(X662&gt;0,(TODAY()-X662)," "))))))))</f>
        <v>0</v>
      </c>
      <c r="AT662" s="8" t="s">
        <v>155</v>
      </c>
      <c r="AU662" s="8">
        <v>45834</v>
      </c>
      <c r="AV662" s="8">
        <v>45835</v>
      </c>
      <c r="AX662" s="8">
        <v>45838</v>
      </c>
      <c r="BD662" s="2" t="str">
        <f t="shared" si="29"/>
        <v>PO Issued</v>
      </c>
      <c r="BE662" s="2">
        <v>102</v>
      </c>
      <c r="BG662" s="2" t="e">
        <v>#N/A</v>
      </c>
    </row>
    <row r="663" spans="2:59" hidden="1" x14ac:dyDescent="0.25">
      <c r="B663" s="2" t="s">
        <v>3024</v>
      </c>
      <c r="C663" s="2" t="s">
        <v>3025</v>
      </c>
      <c r="D663" s="44" t="s">
        <v>3026</v>
      </c>
      <c r="E663" s="2" t="s">
        <v>11</v>
      </c>
      <c r="F663" s="2" t="s">
        <v>3017</v>
      </c>
      <c r="G663" s="2" t="s">
        <v>1</v>
      </c>
      <c r="H663" s="2" t="s">
        <v>165</v>
      </c>
      <c r="I663" s="2" t="s">
        <v>68</v>
      </c>
      <c r="J663" s="2" t="s">
        <v>239</v>
      </c>
      <c r="K663" s="2" t="s">
        <v>515</v>
      </c>
      <c r="L663" s="2" t="s">
        <v>3027</v>
      </c>
      <c r="M663" s="2" t="s">
        <v>1166</v>
      </c>
      <c r="N663" s="2">
        <v>8.5370760000000008</v>
      </c>
      <c r="O663" s="2">
        <v>126.052142</v>
      </c>
      <c r="P663" s="2" t="s">
        <v>87</v>
      </c>
      <c r="Q663" s="2" t="s">
        <v>184</v>
      </c>
      <c r="R663" s="29" t="e">
        <f>IF(INDEX(#REF!,MATCH('data '!$B663,#REF!,0),MATCH('data '!R$3,#REF!,0))=0,"",INDEX(#REF!,MATCH('data '!$B663,#REF!,0),MATCH('data '!R$3,#REF!,0)))</f>
        <v>#REF!</v>
      </c>
      <c r="S663" s="29" t="e">
        <f>IF(INDEX(#REF!,MATCH('data '!$B663,#REF!,0),MATCH('data '!S$3,#REF!,0))=0,"",INDEX(#REF!,MATCH('data '!$B663,#REF!,0),MATCH('data '!S$3,#REF!,0)))</f>
        <v>#REF!</v>
      </c>
      <c r="T663" s="29" t="e">
        <f>IF(INDEX(#REF!,MATCH('data '!$B663,#REF!,0),MATCH('data '!T$3,#REF!,0))=0,"",INDEX(#REF!,MATCH('data '!$B663,#REF!,0),MATCH('data '!T$3,#REF!,0)))</f>
        <v>#REF!</v>
      </c>
      <c r="U663" s="8" t="s">
        <v>25</v>
      </c>
      <c r="V663" s="25" t="s">
        <v>266</v>
      </c>
      <c r="W663" s="25" t="s">
        <v>144</v>
      </c>
      <c r="X663" s="43" t="s">
        <v>25</v>
      </c>
      <c r="Y663" s="43">
        <v>45763</v>
      </c>
      <c r="AA663" s="8" t="s">
        <v>2220</v>
      </c>
      <c r="AC663" s="8" t="e">
        <f>VLOOKUP(B663,#REF!,19,0)</f>
        <v>#REF!</v>
      </c>
      <c r="AE663" s="8" t="s">
        <v>1178</v>
      </c>
      <c r="AP663" s="8" t="str">
        <f t="shared" si="28"/>
        <v>BP Secured</v>
      </c>
      <c r="AQ663" s="10" t="b" cm="1">
        <f t="array" aca="1" ref="AQ663" ca="1">IF(AM663&gt;0,(TODAY()-AM663),IF(AL663&gt;0,(TODAY()-AL663),IF(AK663&gt;0,(TODAY()-AK663,IF(AI663&gt;0,(TODAY()-AI663),IF(AG663&gt;0,(TODAY()-AG663),IF(AF663&gt;0,(TODAY()-AF663),IF(X663&gt;0,(TODAY()-X663)," "))))))))</f>
        <v>0</v>
      </c>
      <c r="AT663" s="8" t="s">
        <v>155</v>
      </c>
      <c r="AU663" s="8">
        <v>45834</v>
      </c>
      <c r="AV663" s="8">
        <v>45835</v>
      </c>
      <c r="AX663" s="8">
        <v>45838</v>
      </c>
      <c r="BD663" s="2" t="str">
        <f t="shared" si="29"/>
        <v>PO Issued</v>
      </c>
      <c r="BE663" s="2">
        <v>102</v>
      </c>
      <c r="BG663" s="2" t="e">
        <v>#N/A</v>
      </c>
    </row>
    <row r="664" spans="2:59" hidden="1" x14ac:dyDescent="0.25">
      <c r="B664" s="2" t="s">
        <v>3028</v>
      </c>
      <c r="C664" s="2" t="s">
        <v>3029</v>
      </c>
      <c r="D664" s="44" t="s">
        <v>3030</v>
      </c>
      <c r="E664" s="2" t="s">
        <v>11</v>
      </c>
      <c r="F664" s="2" t="s">
        <v>514</v>
      </c>
      <c r="G664" s="2" t="s">
        <v>1</v>
      </c>
      <c r="H664" s="2" t="s">
        <v>165</v>
      </c>
      <c r="I664" s="2" t="s">
        <v>68</v>
      </c>
      <c r="J664" s="2" t="s">
        <v>239</v>
      </c>
      <c r="K664" s="2" t="s">
        <v>515</v>
      </c>
      <c r="L664" s="2" t="s">
        <v>1307</v>
      </c>
      <c r="M664" s="2" t="s">
        <v>519</v>
      </c>
      <c r="N664" s="2">
        <v>8.7603679999999997</v>
      </c>
      <c r="O664" s="2">
        <v>126.236255</v>
      </c>
      <c r="P664" s="2" t="s">
        <v>87</v>
      </c>
      <c r="Q664" s="2" t="s">
        <v>184</v>
      </c>
      <c r="R664" s="29" t="e">
        <f>IF(INDEX(#REF!,MATCH('data '!$B664,#REF!,0),MATCH('data '!R$3,#REF!,0))=0,"",INDEX(#REF!,MATCH('data '!$B664,#REF!,0),MATCH('data '!R$3,#REF!,0)))</f>
        <v>#REF!</v>
      </c>
      <c r="S664" s="29" t="e">
        <f>IF(INDEX(#REF!,MATCH('data '!$B664,#REF!,0),MATCH('data '!S$3,#REF!,0))=0,"",INDEX(#REF!,MATCH('data '!$B664,#REF!,0),MATCH('data '!S$3,#REF!,0)))</f>
        <v>#REF!</v>
      </c>
      <c r="T664" s="29" t="e">
        <f>IF(INDEX(#REF!,MATCH('data '!$B664,#REF!,0),MATCH('data '!T$3,#REF!,0))=0,"",INDEX(#REF!,MATCH('data '!$B664,#REF!,0),MATCH('data '!T$3,#REF!,0)))</f>
        <v>#REF!</v>
      </c>
      <c r="U664" s="8" t="s">
        <v>25</v>
      </c>
      <c r="V664" s="25" t="s">
        <v>266</v>
      </c>
      <c r="W664" s="25" t="s">
        <v>144</v>
      </c>
      <c r="X664" s="9" t="s">
        <v>25</v>
      </c>
      <c r="Y664" s="9">
        <v>45724</v>
      </c>
      <c r="AA664" s="8" t="s">
        <v>520</v>
      </c>
      <c r="AB664" s="8">
        <v>45926</v>
      </c>
      <c r="AC664" s="8" t="e">
        <f>VLOOKUP(B664,#REF!,19,0)</f>
        <v>#REF!</v>
      </c>
      <c r="AE664" s="8" t="s">
        <v>497</v>
      </c>
      <c r="AP664" s="8" t="str">
        <f t="shared" si="28"/>
        <v>BP Secured</v>
      </c>
      <c r="AQ664" s="10" t="b" cm="1">
        <f t="array" aca="1" ref="AQ664" ca="1">IF(AM664&gt;0,(TODAY()-AM664),IF(AL664&gt;0,(TODAY()-AL664),IF(AK664&gt;0,(TODAY()-AK664,IF(AI664&gt;0,(TODAY()-AI664),IF(AG664&gt;0,(TODAY()-AG664),IF(AF664&gt;0,(TODAY()-AF664),IF(X664&gt;0,(TODAY()-X664)," "))))))))</f>
        <v>0</v>
      </c>
      <c r="AT664" s="8" t="s">
        <v>155</v>
      </c>
      <c r="AU664" s="8">
        <v>45770</v>
      </c>
      <c r="AV664" s="8">
        <v>45769</v>
      </c>
      <c r="AX664" s="8">
        <v>45772</v>
      </c>
      <c r="BD664" s="2" t="str">
        <f t="shared" si="29"/>
        <v>PO Issued</v>
      </c>
      <c r="BE664" s="2">
        <v>168</v>
      </c>
      <c r="BG664" s="2" t="e">
        <v>#N/A</v>
      </c>
    </row>
    <row r="665" spans="2:59" hidden="1" x14ac:dyDescent="0.25">
      <c r="B665" s="2" t="s">
        <v>3031</v>
      </c>
      <c r="C665" s="2" t="s">
        <v>3032</v>
      </c>
      <c r="D665" s="44" t="s">
        <v>3033</v>
      </c>
      <c r="E665" s="2" t="s">
        <v>11</v>
      </c>
      <c r="F665" s="2" t="s">
        <v>514</v>
      </c>
      <c r="G665" s="2" t="s">
        <v>1</v>
      </c>
      <c r="H665" s="2" t="s">
        <v>165</v>
      </c>
      <c r="I665" s="2" t="s">
        <v>68</v>
      </c>
      <c r="J665" s="2" t="s">
        <v>239</v>
      </c>
      <c r="K665" s="2" t="s">
        <v>515</v>
      </c>
      <c r="L665" s="2" t="s">
        <v>3034</v>
      </c>
      <c r="M665" s="2">
        <v>0</v>
      </c>
      <c r="N665" s="2">
        <v>9.2822019999999998</v>
      </c>
      <c r="O665" s="2">
        <v>125.943406</v>
      </c>
      <c r="P665" s="2" t="s">
        <v>87</v>
      </c>
      <c r="Q665" s="2" t="s">
        <v>184</v>
      </c>
      <c r="R665" s="29" t="e">
        <f>IF(INDEX(#REF!,MATCH('data '!$B665,#REF!,0),MATCH('data '!R$3,#REF!,0))=0,"",INDEX(#REF!,MATCH('data '!$B665,#REF!,0),MATCH('data '!R$3,#REF!,0)))</f>
        <v>#REF!</v>
      </c>
      <c r="S665" s="29" t="e">
        <f>IF(INDEX(#REF!,MATCH('data '!$B665,#REF!,0),MATCH('data '!S$3,#REF!,0))=0,"",INDEX(#REF!,MATCH('data '!$B665,#REF!,0),MATCH('data '!S$3,#REF!,0)))</f>
        <v>#REF!</v>
      </c>
      <c r="T665" s="29" t="e">
        <f>IF(INDEX(#REF!,MATCH('data '!$B665,#REF!,0),MATCH('data '!T$3,#REF!,0))=0,"",INDEX(#REF!,MATCH('data '!$B665,#REF!,0),MATCH('data '!T$3,#REF!,0)))</f>
        <v>#REF!</v>
      </c>
      <c r="U665" s="8" t="s">
        <v>25</v>
      </c>
      <c r="V665" s="25" t="s">
        <v>266</v>
      </c>
      <c r="W665" s="25" t="s">
        <v>144</v>
      </c>
      <c r="X665" s="43" t="s">
        <v>25</v>
      </c>
      <c r="Y665" s="43">
        <v>45852</v>
      </c>
      <c r="AA665" s="8" t="s">
        <v>3002</v>
      </c>
      <c r="AC665" s="8" t="e">
        <f>VLOOKUP(B665,#REF!,19,0)</f>
        <v>#REF!</v>
      </c>
      <c r="AE665" s="8" t="s">
        <v>1178</v>
      </c>
      <c r="AP665" s="8" t="str">
        <f t="shared" si="28"/>
        <v>BP Secured</v>
      </c>
      <c r="AQ665" s="10" t="b" cm="1">
        <f t="array" aca="1" ref="AQ665" ca="1">IF(AM665&gt;0,(TODAY()-AM665),IF(AL665&gt;0,(TODAY()-AL665),IF(AK665&gt;0,(TODAY()-AK665,IF(AI665&gt;0,(TODAY()-AI665),IF(AG665&gt;0,(TODAY()-AG665),IF(AF665&gt;0,(TODAY()-AF665),IF(X665&gt;0,(TODAY()-X665)," "))))))))</f>
        <v>0</v>
      </c>
      <c r="AT665" s="8" t="s">
        <v>155</v>
      </c>
      <c r="AU665" s="8">
        <v>45910</v>
      </c>
      <c r="AV665" s="8">
        <v>45908</v>
      </c>
      <c r="AX665" s="8">
        <v>45911</v>
      </c>
      <c r="BD665" s="2" t="str">
        <f t="shared" si="29"/>
        <v>PO Issued</v>
      </c>
      <c r="BE665" s="2">
        <v>29</v>
      </c>
      <c r="BG665" s="2" t="e">
        <v>#N/A</v>
      </c>
    </row>
    <row r="666" spans="2:59" hidden="1" x14ac:dyDescent="0.25">
      <c r="B666" s="2" t="s">
        <v>3035</v>
      </c>
      <c r="C666" s="2" t="s">
        <v>3036</v>
      </c>
      <c r="D666" s="44" t="s">
        <v>3037</v>
      </c>
      <c r="E666" s="2" t="s">
        <v>11</v>
      </c>
      <c r="F666" s="2" t="s">
        <v>3017</v>
      </c>
      <c r="G666" s="2" t="s">
        <v>1</v>
      </c>
      <c r="H666" s="2" t="s">
        <v>165</v>
      </c>
      <c r="I666" s="2" t="s">
        <v>68</v>
      </c>
      <c r="J666" s="2" t="s">
        <v>239</v>
      </c>
      <c r="K666" s="2" t="s">
        <v>515</v>
      </c>
      <c r="L666" s="2" t="s">
        <v>3027</v>
      </c>
      <c r="M666" s="2">
        <v>0</v>
      </c>
      <c r="N666" s="2">
        <v>8.5359499999999997</v>
      </c>
      <c r="O666" s="2">
        <v>126.165114</v>
      </c>
      <c r="P666" s="2" t="s">
        <v>87</v>
      </c>
      <c r="Q666" s="2" t="s">
        <v>314</v>
      </c>
      <c r="R666" s="29" t="e">
        <f>IF(INDEX(#REF!,MATCH('data '!$B666,#REF!,0),MATCH('data '!R$3,#REF!,0))=0,"",INDEX(#REF!,MATCH('data '!$B666,#REF!,0),MATCH('data '!R$3,#REF!,0)))</f>
        <v>#REF!</v>
      </c>
      <c r="S666" s="29" t="e">
        <f>IF(INDEX(#REF!,MATCH('data '!$B666,#REF!,0),MATCH('data '!S$3,#REF!,0))=0,"",INDEX(#REF!,MATCH('data '!$B666,#REF!,0),MATCH('data '!S$3,#REF!,0)))</f>
        <v>#REF!</v>
      </c>
      <c r="T666" s="29" t="e">
        <f>IF(INDEX(#REF!,MATCH('data '!$B666,#REF!,0),MATCH('data '!T$3,#REF!,0))=0,"",INDEX(#REF!,MATCH('data '!$B666,#REF!,0),MATCH('data '!T$3,#REF!,0)))</f>
        <v>#REF!</v>
      </c>
      <c r="U666" s="8" t="s">
        <v>25</v>
      </c>
      <c r="V666" s="25" t="s">
        <v>160</v>
      </c>
      <c r="W666" s="25" t="s">
        <v>144</v>
      </c>
      <c r="X666" s="43" t="s">
        <v>25</v>
      </c>
      <c r="Y666" s="43">
        <v>45833</v>
      </c>
      <c r="Z666" s="8">
        <v>45846</v>
      </c>
      <c r="AC666" s="8" t="e">
        <f>VLOOKUP(B666,#REF!,19,0)</f>
        <v>#REF!</v>
      </c>
      <c r="AP666" s="8" t="str">
        <f t="shared" si="28"/>
        <v>BP Secured</v>
      </c>
      <c r="AQ666" s="10" t="b" cm="1">
        <f t="array" aca="1" ref="AQ666" ca="1">IF(AM666&gt;0,(TODAY()-AM666),IF(AL666&gt;0,(TODAY()-AL666),IF(AK666&gt;0,(TODAY()-AK666,IF(AI666&gt;0,(TODAY()-AI666),IF(AG666&gt;0,(TODAY()-AG666),IF(AF666&gt;0,(TODAY()-AF666),IF(X666&gt;0,(TODAY()-X666)," "))))))))</f>
        <v>0</v>
      </c>
      <c r="BD666" s="2" t="str">
        <f t="shared" si="29"/>
        <v>BP Secured</v>
      </c>
      <c r="BE666" s="2" t="e">
        <v>#VALUE!</v>
      </c>
      <c r="BG666" s="2" t="e">
        <v>#N/A</v>
      </c>
    </row>
    <row r="667" spans="2:59" hidden="1" x14ac:dyDescent="0.25">
      <c r="B667" s="2" t="s">
        <v>3038</v>
      </c>
      <c r="C667" s="2" t="s">
        <v>3039</v>
      </c>
      <c r="D667" s="44" t="s">
        <v>3040</v>
      </c>
      <c r="E667" s="2" t="s">
        <v>11</v>
      </c>
      <c r="F667" s="2" t="s">
        <v>514</v>
      </c>
      <c r="G667" s="2" t="s">
        <v>1</v>
      </c>
      <c r="H667" s="2" t="s">
        <v>165</v>
      </c>
      <c r="I667" s="2" t="s">
        <v>68</v>
      </c>
      <c r="J667" s="2" t="s">
        <v>239</v>
      </c>
      <c r="K667" s="2" t="s">
        <v>515</v>
      </c>
      <c r="L667" s="2" t="s">
        <v>3041</v>
      </c>
      <c r="M667" s="2">
        <v>0</v>
      </c>
      <c r="N667" s="2">
        <v>0</v>
      </c>
      <c r="O667" s="2">
        <v>0</v>
      </c>
      <c r="P667" s="2" t="s">
        <v>87</v>
      </c>
      <c r="Q667" s="2" t="s">
        <v>73</v>
      </c>
      <c r="R667" s="29" t="e">
        <f>IF(INDEX(#REF!,MATCH('data '!$B667,#REF!,0),MATCH('data '!R$3,#REF!,0))=0,"",INDEX(#REF!,MATCH('data '!$B667,#REF!,0),MATCH('data '!R$3,#REF!,0)))</f>
        <v>#REF!</v>
      </c>
      <c r="S667" s="29" t="e">
        <f>IF(INDEX(#REF!,MATCH('data '!$B667,#REF!,0),MATCH('data '!S$3,#REF!,0))=0,"",INDEX(#REF!,MATCH('data '!$B667,#REF!,0),MATCH('data '!S$3,#REF!,0)))</f>
        <v>#REF!</v>
      </c>
      <c r="T667" s="29" t="e">
        <f>IF(INDEX(#REF!,MATCH('data '!$B667,#REF!,0),MATCH('data '!T$3,#REF!,0))=0,"",INDEX(#REF!,MATCH('data '!$B667,#REF!,0),MATCH('data '!T$3,#REF!,0)))</f>
        <v>#REF!</v>
      </c>
      <c r="V667" s="25" t="s">
        <v>185</v>
      </c>
      <c r="W667" s="25" t="s">
        <v>144</v>
      </c>
      <c r="X667" s="43" t="s">
        <v>25</v>
      </c>
      <c r="Y667" s="43">
        <v>45926</v>
      </c>
      <c r="AC667" s="8" t="e">
        <f>VLOOKUP(B667,#REF!,19,0)</f>
        <v>#REF!</v>
      </c>
      <c r="AP667" s="8" t="str">
        <f t="shared" si="28"/>
        <v>BP Secured</v>
      </c>
      <c r="AQ667" s="10" t="b" cm="1">
        <f t="array" aca="1" ref="AQ667" ca="1">IF(AM667&gt;0,(TODAY()-AM667),IF(AL667&gt;0,(TODAY()-AL667),IF(AK667&gt;0,(TODAY()-AK667,IF(AI667&gt;0,(TODAY()-AI667),IF(AG667&gt;0,(TODAY()-AG667),IF(AF667&gt;0,(TODAY()-AF667),IF(X667&gt;0,(TODAY()-X667)," "))))))))</f>
        <v>0</v>
      </c>
      <c r="BD667" s="2" t="str">
        <f t="shared" si="29"/>
        <v>BP Secured</v>
      </c>
      <c r="BE667" s="2" t="e">
        <v>#VALUE!</v>
      </c>
      <c r="BG667" s="2" t="e">
        <v>#N/A</v>
      </c>
    </row>
    <row r="668" spans="2:59" hidden="1" x14ac:dyDescent="0.25">
      <c r="B668" s="2" t="s">
        <v>3042</v>
      </c>
      <c r="C668" s="2" t="s">
        <v>3043</v>
      </c>
      <c r="D668" s="44" t="s">
        <v>3044</v>
      </c>
      <c r="E668" s="2" t="s">
        <v>11</v>
      </c>
      <c r="F668" s="2" t="s">
        <v>514</v>
      </c>
      <c r="G668" s="2" t="s">
        <v>1</v>
      </c>
      <c r="H668" s="2" t="s">
        <v>165</v>
      </c>
      <c r="I668" s="2" t="s">
        <v>68</v>
      </c>
      <c r="J668" s="2" t="s">
        <v>239</v>
      </c>
      <c r="K668" s="2" t="s">
        <v>515</v>
      </c>
      <c r="L668" s="2" t="s">
        <v>3027</v>
      </c>
      <c r="M668" s="2">
        <v>0</v>
      </c>
      <c r="N668" s="2">
        <v>8.5595660000000002</v>
      </c>
      <c r="O668" s="2">
        <v>126.117519</v>
      </c>
      <c r="P668" s="2" t="s">
        <v>87</v>
      </c>
      <c r="Q668" s="2" t="s">
        <v>314</v>
      </c>
      <c r="R668" s="29" t="e">
        <f>IF(INDEX(#REF!,MATCH('data '!$B668,#REF!,0),MATCH('data '!R$3,#REF!,0))=0,"",INDEX(#REF!,MATCH('data '!$B668,#REF!,0),MATCH('data '!R$3,#REF!,0)))</f>
        <v>#REF!</v>
      </c>
      <c r="S668" s="29" t="e">
        <f>IF(INDEX(#REF!,MATCH('data '!$B668,#REF!,0),MATCH('data '!S$3,#REF!,0))=0,"",INDEX(#REF!,MATCH('data '!$B668,#REF!,0),MATCH('data '!S$3,#REF!,0)))</f>
        <v>#REF!</v>
      </c>
      <c r="T668" s="29" t="e">
        <f>IF(INDEX(#REF!,MATCH('data '!$B668,#REF!,0),MATCH('data '!T$3,#REF!,0))=0,"",INDEX(#REF!,MATCH('data '!$B668,#REF!,0),MATCH('data '!T$3,#REF!,0)))</f>
        <v>#REF!</v>
      </c>
      <c r="U668" s="8" t="s">
        <v>25</v>
      </c>
      <c r="V668" s="25" t="s">
        <v>87</v>
      </c>
      <c r="W668" s="25" t="s">
        <v>144</v>
      </c>
      <c r="X668" s="43" t="s">
        <v>25</v>
      </c>
      <c r="Y668" s="43">
        <v>45863</v>
      </c>
      <c r="Z668" s="8">
        <v>45846</v>
      </c>
      <c r="AC668" s="8" t="e">
        <f>VLOOKUP(B668,#REF!,19,0)</f>
        <v>#REF!</v>
      </c>
      <c r="AP668" s="8" t="str">
        <f t="shared" si="28"/>
        <v>BP Secured</v>
      </c>
      <c r="AQ668" s="10" t="b" cm="1">
        <f t="array" aca="1" ref="AQ668" ca="1">IF(AM668&gt;0,(TODAY()-AM668),IF(AL668&gt;0,(TODAY()-AL668),IF(AK668&gt;0,(TODAY()-AK668,IF(AI668&gt;0,(TODAY()-AI668),IF(AG668&gt;0,(TODAY()-AG668),IF(AF668&gt;0,(TODAY()-AF668),IF(X668&gt;0,(TODAY()-X668)," "))))))))</f>
        <v>0</v>
      </c>
      <c r="BD668" s="2" t="str">
        <f t="shared" si="29"/>
        <v>BP Secured</v>
      </c>
      <c r="BE668" s="2" t="e">
        <v>#VALUE!</v>
      </c>
      <c r="BG668" s="2" t="e">
        <v>#N/A</v>
      </c>
    </row>
    <row r="669" spans="2:59" hidden="1" x14ac:dyDescent="0.25">
      <c r="B669" s="2" t="s">
        <v>3045</v>
      </c>
      <c r="C669" s="2" t="s">
        <v>3046</v>
      </c>
      <c r="D669" s="44" t="s">
        <v>3047</v>
      </c>
      <c r="E669" s="2" t="s">
        <v>11</v>
      </c>
      <c r="F669" s="2" t="s">
        <v>514</v>
      </c>
      <c r="G669" s="2" t="s">
        <v>1</v>
      </c>
      <c r="H669" s="2" t="s">
        <v>165</v>
      </c>
      <c r="I669" s="2" t="s">
        <v>68</v>
      </c>
      <c r="J669" s="2" t="s">
        <v>239</v>
      </c>
      <c r="K669" s="2" t="s">
        <v>515</v>
      </c>
      <c r="L669" s="2" t="s">
        <v>3048</v>
      </c>
      <c r="M669" s="2" t="s">
        <v>3049</v>
      </c>
      <c r="N669" s="2">
        <v>9.2079740000000001</v>
      </c>
      <c r="O669" s="2">
        <v>126.174262</v>
      </c>
      <c r="P669" s="2" t="s">
        <v>87</v>
      </c>
      <c r="Q669" s="2" t="s">
        <v>184</v>
      </c>
      <c r="R669" s="29" t="e">
        <f>IF(INDEX(#REF!,MATCH('data '!$B669,#REF!,0),MATCH('data '!R$3,#REF!,0))=0,"",INDEX(#REF!,MATCH('data '!$B669,#REF!,0),MATCH('data '!R$3,#REF!,0)))</f>
        <v>#REF!</v>
      </c>
      <c r="S669" s="29" t="e">
        <f>IF(INDEX(#REF!,MATCH('data '!$B669,#REF!,0),MATCH('data '!S$3,#REF!,0))=0,"",INDEX(#REF!,MATCH('data '!$B669,#REF!,0),MATCH('data '!S$3,#REF!,0)))</f>
        <v>#REF!</v>
      </c>
      <c r="T669" s="29" t="e">
        <f>IF(INDEX(#REF!,MATCH('data '!$B669,#REF!,0),MATCH('data '!T$3,#REF!,0))=0,"",INDEX(#REF!,MATCH('data '!$B669,#REF!,0),MATCH('data '!T$3,#REF!,0)))</f>
        <v>#REF!</v>
      </c>
      <c r="U669" s="8" t="s">
        <v>25</v>
      </c>
      <c r="V669" s="25" t="s">
        <v>266</v>
      </c>
      <c r="W669" s="25" t="s">
        <v>144</v>
      </c>
      <c r="X669" s="43" t="s">
        <v>25</v>
      </c>
      <c r="Y669" s="43">
        <v>45813</v>
      </c>
      <c r="AA669" s="8" t="s">
        <v>2981</v>
      </c>
      <c r="AC669" s="8" t="e">
        <f>VLOOKUP(B669,#REF!,19,0)</f>
        <v>#REF!</v>
      </c>
      <c r="AE669" s="8" t="s">
        <v>460</v>
      </c>
      <c r="AP669" s="8" t="str">
        <f t="shared" si="28"/>
        <v>BP Secured</v>
      </c>
      <c r="AQ669" s="10" t="b" cm="1">
        <f t="array" aca="1" ref="AQ669" ca="1">IF(AM669&gt;0,(TODAY()-AM669),IF(AL669&gt;0,(TODAY()-AL669),IF(AK669&gt;0,(TODAY()-AK669,IF(AI669&gt;0,(TODAY()-AI669),IF(AG669&gt;0,(TODAY()-AG669),IF(AF669&gt;0,(TODAY()-AF669),IF(X669&gt;0,(TODAY()-X669)," "))))))))</f>
        <v>0</v>
      </c>
      <c r="AT669" s="8" t="s">
        <v>155</v>
      </c>
      <c r="AU669" s="8">
        <v>45867</v>
      </c>
      <c r="AV669" s="8">
        <v>45873</v>
      </c>
      <c r="AX669" s="8">
        <v>45876</v>
      </c>
      <c r="BD669" s="2" t="str">
        <f t="shared" si="29"/>
        <v>PO Issued</v>
      </c>
      <c r="BE669" s="2">
        <v>64</v>
      </c>
      <c r="BG669" s="2" t="e">
        <v>#N/A</v>
      </c>
    </row>
    <row r="670" spans="2:59" hidden="1" x14ac:dyDescent="0.25">
      <c r="B670" s="2" t="s">
        <v>3050</v>
      </c>
      <c r="C670" s="2" t="s">
        <v>3051</v>
      </c>
      <c r="D670" s="44" t="s">
        <v>3052</v>
      </c>
      <c r="E670" s="2" t="s">
        <v>11</v>
      </c>
      <c r="F670" s="2">
        <v>0</v>
      </c>
      <c r="G670" s="2" t="s">
        <v>1</v>
      </c>
      <c r="H670" s="2" t="s">
        <v>67</v>
      </c>
      <c r="I670" s="2" t="s">
        <v>68</v>
      </c>
      <c r="J670" s="2" t="s">
        <v>330</v>
      </c>
      <c r="K670" s="2" t="s">
        <v>494</v>
      </c>
      <c r="L670" s="2">
        <v>0</v>
      </c>
      <c r="M670" s="2">
        <v>0</v>
      </c>
      <c r="N670" s="2">
        <v>0</v>
      </c>
      <c r="O670" s="2">
        <v>0</v>
      </c>
      <c r="P670" s="2" t="s">
        <v>133</v>
      </c>
      <c r="Q670" s="2">
        <v>0</v>
      </c>
      <c r="R670" s="29" t="e">
        <f>IF(INDEX(#REF!,MATCH('data '!$B670,#REF!,0),MATCH('data '!R$3,#REF!,0))=0,"",INDEX(#REF!,MATCH('data '!$B670,#REF!,0),MATCH('data '!R$3,#REF!,0)))</f>
        <v>#REF!</v>
      </c>
      <c r="S670" s="29" t="e">
        <f>IF(INDEX(#REF!,MATCH('data '!$B670,#REF!,0),MATCH('data '!S$3,#REF!,0))=0,"",INDEX(#REF!,MATCH('data '!$B670,#REF!,0),MATCH('data '!S$3,#REF!,0)))</f>
        <v>#REF!</v>
      </c>
      <c r="T670" s="29" t="e">
        <f>IF(INDEX(#REF!,MATCH('data '!$B670,#REF!,0),MATCH('data '!T$3,#REF!,0))=0,"",INDEX(#REF!,MATCH('data '!$B670,#REF!,0),MATCH('data '!T$3,#REF!,0)))</f>
        <v>#REF!</v>
      </c>
      <c r="V670" s="25" t="s">
        <v>102</v>
      </c>
      <c r="W670" s="25" t="s">
        <v>103</v>
      </c>
      <c r="X670" s="61"/>
      <c r="Y670" s="61"/>
      <c r="AC670" s="8" t="e">
        <f>VLOOKUP(B670,#REF!,19,0)</f>
        <v>#REF!</v>
      </c>
      <c r="AP670" s="8" t="str">
        <f t="shared" si="28"/>
        <v>Not yet endorsed</v>
      </c>
      <c r="AQ670" s="10" t="b" cm="1">
        <f t="array" aca="1" ref="AQ670" ca="1">IF(AM670&gt;0,(TODAY()-AM670),IF(AL670&gt;0,(TODAY()-AL670),IF(AK670&gt;0,(TODAY()-AK670,IF(AI670&gt;0,(TODAY()-AI670),IF(AG670&gt;0,(TODAY()-AG670),IF(AF670&gt;0,(TODAY()-AF670),IF(X670&gt;0,(TODAY()-X670)," "))))))))</f>
        <v>0</v>
      </c>
      <c r="BD670" s="2" t="str">
        <f t="shared" si="29"/>
        <v>Not yet endorsed</v>
      </c>
      <c r="BE670" s="2" t="s">
        <v>75</v>
      </c>
      <c r="BG670" s="2" t="e">
        <v>#N/A</v>
      </c>
    </row>
    <row r="671" spans="2:59" hidden="1" x14ac:dyDescent="0.25">
      <c r="B671" s="2" t="s">
        <v>3053</v>
      </c>
      <c r="C671" s="2" t="s">
        <v>3054</v>
      </c>
      <c r="D671" s="44" t="s">
        <v>3055</v>
      </c>
      <c r="E671" s="2" t="s">
        <v>11</v>
      </c>
      <c r="F671" s="2" t="s">
        <v>3017</v>
      </c>
      <c r="G671" s="2" t="s">
        <v>1</v>
      </c>
      <c r="H671" s="2" t="s">
        <v>165</v>
      </c>
      <c r="I671" s="2" t="s">
        <v>68</v>
      </c>
      <c r="J671" s="2" t="s">
        <v>239</v>
      </c>
      <c r="K671" s="2" t="s">
        <v>515</v>
      </c>
      <c r="L671" s="2" t="s">
        <v>3018</v>
      </c>
      <c r="M671" s="2">
        <v>0</v>
      </c>
      <c r="N671" s="2">
        <v>8.4666910000000009</v>
      </c>
      <c r="O671" s="2">
        <v>126.374651</v>
      </c>
      <c r="P671" s="2" t="s">
        <v>87</v>
      </c>
      <c r="Q671" s="2" t="s">
        <v>73</v>
      </c>
      <c r="R671" s="29" t="e">
        <f>IF(INDEX(#REF!,MATCH('data '!$B671,#REF!,0),MATCH('data '!R$3,#REF!,0))=0,"",INDEX(#REF!,MATCH('data '!$B671,#REF!,0),MATCH('data '!R$3,#REF!,0)))</f>
        <v>#REF!</v>
      </c>
      <c r="S671" s="29" t="e">
        <f>IF(INDEX(#REF!,MATCH('data '!$B671,#REF!,0),MATCH('data '!S$3,#REF!,0))=0,"",INDEX(#REF!,MATCH('data '!$B671,#REF!,0),MATCH('data '!S$3,#REF!,0)))</f>
        <v>#REF!</v>
      </c>
      <c r="T671" s="29" t="e">
        <f>IF(INDEX(#REF!,MATCH('data '!$B671,#REF!,0),MATCH('data '!T$3,#REF!,0))=0,"",INDEX(#REF!,MATCH('data '!$B671,#REF!,0),MATCH('data '!T$3,#REF!,0)))</f>
        <v>#REF!</v>
      </c>
      <c r="V671" s="25" t="s">
        <v>160</v>
      </c>
      <c r="W671" s="25" t="s">
        <v>144</v>
      </c>
      <c r="X671" s="43" t="s">
        <v>25</v>
      </c>
      <c r="Y671" s="43">
        <v>45911</v>
      </c>
      <c r="AC671" s="8" t="e">
        <f>VLOOKUP(B671,#REF!,19,0)</f>
        <v>#REF!</v>
      </c>
      <c r="AP671" s="8" t="str">
        <f t="shared" si="28"/>
        <v>BP Secured</v>
      </c>
      <c r="AQ671" s="10" t="b" cm="1">
        <f t="array" aca="1" ref="AQ671" ca="1">IF(AM671&gt;0,(TODAY()-AM671),IF(AL671&gt;0,(TODAY()-AL671),IF(AK671&gt;0,(TODAY()-AK671,IF(AI671&gt;0,(TODAY()-AI671),IF(AG671&gt;0,(TODAY()-AG671),IF(AF671&gt;0,(TODAY()-AF671),IF(X671&gt;0,(TODAY()-X671)," "))))))))</f>
        <v>0</v>
      </c>
      <c r="BD671" s="2" t="str">
        <f t="shared" si="29"/>
        <v>BP Secured</v>
      </c>
      <c r="BE671" s="2" t="e">
        <v>#VALUE!</v>
      </c>
      <c r="BG671" s="2" t="e">
        <v>#N/A</v>
      </c>
    </row>
    <row r="672" spans="2:59" hidden="1" x14ac:dyDescent="0.25">
      <c r="B672" s="2" t="s">
        <v>3056</v>
      </c>
      <c r="C672" s="2" t="s">
        <v>3057</v>
      </c>
      <c r="D672" s="44" t="s">
        <v>3058</v>
      </c>
      <c r="E672" s="2" t="s">
        <v>11</v>
      </c>
      <c r="F672" s="2" t="s">
        <v>3017</v>
      </c>
      <c r="G672" s="2" t="s">
        <v>1</v>
      </c>
      <c r="H672" s="2" t="s">
        <v>165</v>
      </c>
      <c r="I672" s="2" t="s">
        <v>68</v>
      </c>
      <c r="J672" s="2" t="s">
        <v>239</v>
      </c>
      <c r="K672" s="2" t="s">
        <v>515</v>
      </c>
      <c r="L672" s="2" t="s">
        <v>3059</v>
      </c>
      <c r="M672" s="2" t="s">
        <v>333</v>
      </c>
      <c r="N672" s="2">
        <v>8.158944</v>
      </c>
      <c r="O672" s="2">
        <v>126.43338900000001</v>
      </c>
      <c r="P672" s="2" t="s">
        <v>87</v>
      </c>
      <c r="Q672" s="2" t="s">
        <v>265</v>
      </c>
      <c r="R672" s="29" t="e">
        <f>IF(INDEX(#REF!,MATCH('data '!$B672,#REF!,0),MATCH('data '!R$3,#REF!,0))=0,"",INDEX(#REF!,MATCH('data '!$B672,#REF!,0),MATCH('data '!R$3,#REF!,0)))</f>
        <v>#REF!</v>
      </c>
      <c r="S672" s="29" t="e">
        <f>IF(INDEX(#REF!,MATCH('data '!$B672,#REF!,0),MATCH('data '!S$3,#REF!,0))=0,"",INDEX(#REF!,MATCH('data '!$B672,#REF!,0),MATCH('data '!S$3,#REF!,0)))</f>
        <v>#REF!</v>
      </c>
      <c r="T672" s="29" t="e">
        <f>IF(INDEX(#REF!,MATCH('data '!$B672,#REF!,0),MATCH('data '!T$3,#REF!,0))=0,"",INDEX(#REF!,MATCH('data '!$B672,#REF!,0),MATCH('data '!T$3,#REF!,0)))</f>
        <v>#REF!</v>
      </c>
      <c r="U672" s="8" t="s">
        <v>25</v>
      </c>
      <c r="V672" s="25" t="s">
        <v>266</v>
      </c>
      <c r="W672" s="25" t="s">
        <v>144</v>
      </c>
      <c r="X672" s="43" t="s">
        <v>25</v>
      </c>
      <c r="Y672" s="43">
        <v>45804</v>
      </c>
      <c r="AA672" s="8">
        <v>45877</v>
      </c>
      <c r="AC672" s="8" t="e">
        <f>VLOOKUP(B672,#REF!,19,0)</f>
        <v>#REF!</v>
      </c>
      <c r="AE672" s="8" t="s">
        <v>497</v>
      </c>
      <c r="AP672" s="8" t="str">
        <f t="shared" si="28"/>
        <v>BP Secured</v>
      </c>
      <c r="AQ672" s="10" t="b" cm="1">
        <f t="array" aca="1" ref="AQ672" ca="1">IF(AM672&gt;0,(TODAY()-AM672),IF(AL672&gt;0,(TODAY()-AL672),IF(AK672&gt;0,(TODAY()-AK672,IF(AI672&gt;0,(TODAY()-AI672),IF(AG672&gt;0,(TODAY()-AG672),IF(AF672&gt;0,(TODAY()-AF672),IF(X672&gt;0,(TODAY()-X672)," "))))))))</f>
        <v>0</v>
      </c>
      <c r="AT672" s="8" t="s">
        <v>155</v>
      </c>
      <c r="AU672" s="8">
        <v>45861</v>
      </c>
      <c r="AV672" s="8">
        <v>45858</v>
      </c>
      <c r="AX672" s="8">
        <v>45861</v>
      </c>
      <c r="BD672" s="2" t="str">
        <f t="shared" si="29"/>
        <v>PO Issued</v>
      </c>
      <c r="BE672" s="2">
        <v>79</v>
      </c>
      <c r="BG672" s="2" t="e">
        <v>#N/A</v>
      </c>
    </row>
    <row r="673" spans="2:59" hidden="1" x14ac:dyDescent="0.25">
      <c r="B673" s="2" t="s">
        <v>3060</v>
      </c>
      <c r="C673" s="2" t="s">
        <v>3061</v>
      </c>
      <c r="D673" s="44" t="s">
        <v>3062</v>
      </c>
      <c r="E673" s="2" t="s">
        <v>11</v>
      </c>
      <c r="F673" s="2">
        <v>0</v>
      </c>
      <c r="G673" s="2" t="s">
        <v>1</v>
      </c>
      <c r="H673" s="2" t="s">
        <v>67</v>
      </c>
      <c r="I673" s="2" t="s">
        <v>68</v>
      </c>
      <c r="J673" s="2" t="s">
        <v>330</v>
      </c>
      <c r="K673" s="2" t="s">
        <v>501</v>
      </c>
      <c r="L673" s="2">
        <v>0</v>
      </c>
      <c r="M673" s="2">
        <v>0</v>
      </c>
      <c r="N673" s="2">
        <v>0</v>
      </c>
      <c r="O673" s="2">
        <v>0</v>
      </c>
      <c r="P673" s="2" t="s">
        <v>72</v>
      </c>
      <c r="Q673" s="2">
        <v>0</v>
      </c>
      <c r="R673" s="29" t="e">
        <f>IF(INDEX(#REF!,MATCH('data '!$B673,#REF!,0),MATCH('data '!R$3,#REF!,0))=0,"",INDEX(#REF!,MATCH('data '!$B673,#REF!,0),MATCH('data '!R$3,#REF!,0)))</f>
        <v>#REF!</v>
      </c>
      <c r="S673" s="29" t="e">
        <f>IF(INDEX(#REF!,MATCH('data '!$B673,#REF!,0),MATCH('data '!S$3,#REF!,0))=0,"",INDEX(#REF!,MATCH('data '!$B673,#REF!,0),MATCH('data '!S$3,#REF!,0)))</f>
        <v>#REF!</v>
      </c>
      <c r="T673" s="29" t="e">
        <f>IF(INDEX(#REF!,MATCH('data '!$B673,#REF!,0),MATCH('data '!T$3,#REF!,0))=0,"",INDEX(#REF!,MATCH('data '!$B673,#REF!,0),MATCH('data '!T$3,#REF!,0)))</f>
        <v>#REF!</v>
      </c>
      <c r="V673" s="25" t="s">
        <v>74</v>
      </c>
      <c r="W673" s="25">
        <v>0</v>
      </c>
      <c r="AC673" s="8" t="e">
        <f>VLOOKUP(B673,#REF!,19,0)</f>
        <v>#REF!</v>
      </c>
      <c r="AP673" s="8" t="str">
        <f t="shared" si="28"/>
        <v>Not yet endorsed</v>
      </c>
      <c r="AQ673" s="10" t="b" cm="1">
        <f t="array" aca="1" ref="AQ673" ca="1">IF(AM673&gt;0,(TODAY()-AM673),IF(AL673&gt;0,(TODAY()-AL673),IF(AK673&gt;0,(TODAY()-AK673,IF(AI673&gt;0,(TODAY()-AI673),IF(AG673&gt;0,(TODAY()-AG673),IF(AF673&gt;0,(TODAY()-AF673),IF(X673&gt;0,(TODAY()-X673)," "))))))))</f>
        <v>0</v>
      </c>
      <c r="BD673" s="2" t="str">
        <f t="shared" si="29"/>
        <v>Not yet endorsed</v>
      </c>
      <c r="BE673" s="2" t="s">
        <v>75</v>
      </c>
      <c r="BG673" s="2" t="e">
        <v>#N/A</v>
      </c>
    </row>
    <row r="674" spans="2:59" hidden="1" x14ac:dyDescent="0.25">
      <c r="B674" s="2" t="s">
        <v>3063</v>
      </c>
      <c r="C674" s="2" t="s">
        <v>3064</v>
      </c>
      <c r="D674" s="44" t="s">
        <v>3065</v>
      </c>
      <c r="E674" s="2" t="s">
        <v>11</v>
      </c>
      <c r="F674" s="2">
        <v>0</v>
      </c>
      <c r="G674" s="2" t="s">
        <v>1</v>
      </c>
      <c r="H674" s="2" t="s">
        <v>67</v>
      </c>
      <c r="I674" s="2" t="s">
        <v>68</v>
      </c>
      <c r="J674" s="2" t="s">
        <v>330</v>
      </c>
      <c r="K674" s="2" t="s">
        <v>501</v>
      </c>
      <c r="L674" s="2">
        <v>0</v>
      </c>
      <c r="M674" s="2">
        <v>0</v>
      </c>
      <c r="N674" s="2">
        <v>6.7276400000000001</v>
      </c>
      <c r="O674" s="2">
        <v>124.630821</v>
      </c>
      <c r="P674" s="2" t="s">
        <v>87</v>
      </c>
      <c r="Q674" s="2" t="s">
        <v>227</v>
      </c>
      <c r="R674" s="29" t="e">
        <f>IF(INDEX(#REF!,MATCH('data '!$B674,#REF!,0),MATCH('data '!R$3,#REF!,0))=0,"",INDEX(#REF!,MATCH('data '!$B674,#REF!,0),MATCH('data '!R$3,#REF!,0)))</f>
        <v>#REF!</v>
      </c>
      <c r="S674" s="29" t="e">
        <f>IF(INDEX(#REF!,MATCH('data '!$B674,#REF!,0),MATCH('data '!S$3,#REF!,0))=0,"",INDEX(#REF!,MATCH('data '!$B674,#REF!,0),MATCH('data '!S$3,#REF!,0)))</f>
        <v>#REF!</v>
      </c>
      <c r="T674" s="29" t="e">
        <f>IF(INDEX(#REF!,MATCH('data '!$B674,#REF!,0),MATCH('data '!T$3,#REF!,0))=0,"",INDEX(#REF!,MATCH('data '!$B674,#REF!,0),MATCH('data '!T$3,#REF!,0)))</f>
        <v>#REF!</v>
      </c>
      <c r="V674" s="25" t="s">
        <v>160</v>
      </c>
      <c r="W674" s="25" t="s">
        <v>144</v>
      </c>
      <c r="X674" s="43" t="s">
        <v>25</v>
      </c>
      <c r="Y674" s="43">
        <v>45896</v>
      </c>
      <c r="Z674" s="8">
        <v>45970</v>
      </c>
      <c r="AC674" s="8" t="e">
        <f>VLOOKUP(B674,#REF!,19,0)</f>
        <v>#REF!</v>
      </c>
      <c r="AP674" s="8" t="str">
        <f t="shared" si="28"/>
        <v>BP Secured</v>
      </c>
      <c r="AQ674" s="10" t="b" cm="1">
        <f t="array" aca="1" ref="AQ674" ca="1">IF(AM674&gt;0,(TODAY()-AM674),IF(AL674&gt;0,(TODAY()-AL674),IF(AK674&gt;0,(TODAY()-AK674,IF(AI674&gt;0,(TODAY()-AI674),IF(AG674&gt;0,(TODAY()-AG674),IF(AF674&gt;0,(TODAY()-AF674),IF(X674&gt;0,(TODAY()-X674)," "))))))))</f>
        <v>0</v>
      </c>
      <c r="BD674" s="2" t="str">
        <f t="shared" si="29"/>
        <v>BP Secured</v>
      </c>
      <c r="BE674" s="2" t="e">
        <v>#VALUE!</v>
      </c>
      <c r="BG674" s="2" t="e">
        <v>#N/A</v>
      </c>
    </row>
    <row r="675" spans="2:59" hidden="1" x14ac:dyDescent="0.25">
      <c r="B675" s="2" t="s">
        <v>3066</v>
      </c>
      <c r="C675" s="2" t="s">
        <v>3067</v>
      </c>
      <c r="D675" s="44" t="s">
        <v>3068</v>
      </c>
      <c r="E675" s="2" t="s">
        <v>11</v>
      </c>
      <c r="F675" s="2">
        <v>0</v>
      </c>
      <c r="G675" s="2" t="s">
        <v>1</v>
      </c>
      <c r="H675" s="2" t="s">
        <v>67</v>
      </c>
      <c r="I675" s="2" t="s">
        <v>68</v>
      </c>
      <c r="J675" s="2" t="s">
        <v>330</v>
      </c>
      <c r="K675" s="2" t="s">
        <v>501</v>
      </c>
      <c r="L675" s="2">
        <v>0</v>
      </c>
      <c r="M675" s="2">
        <v>0</v>
      </c>
      <c r="N675" s="2">
        <v>0</v>
      </c>
      <c r="O675" s="2">
        <v>0</v>
      </c>
      <c r="P675" s="2" t="s">
        <v>168</v>
      </c>
      <c r="Q675" s="2">
        <v>0</v>
      </c>
      <c r="R675" s="29" t="e">
        <f>IF(INDEX(#REF!,MATCH('data '!$B675,#REF!,0),MATCH('data '!R$3,#REF!,0))=0,"",INDEX(#REF!,MATCH('data '!$B675,#REF!,0),MATCH('data '!R$3,#REF!,0)))</f>
        <v>#REF!</v>
      </c>
      <c r="S675" s="29" t="e">
        <f>IF(INDEX(#REF!,MATCH('data '!$B675,#REF!,0),MATCH('data '!S$3,#REF!,0))=0,"",INDEX(#REF!,MATCH('data '!$B675,#REF!,0),MATCH('data '!S$3,#REF!,0)))</f>
        <v>#REF!</v>
      </c>
      <c r="T675" s="29" t="e">
        <f>IF(INDEX(#REF!,MATCH('data '!$B675,#REF!,0),MATCH('data '!T$3,#REF!,0))=0,"",INDEX(#REF!,MATCH('data '!$B675,#REF!,0),MATCH('data '!T$3,#REF!,0)))</f>
        <v>#REF!</v>
      </c>
      <c r="V675" s="25" t="s">
        <v>87</v>
      </c>
      <c r="W675" s="25" t="s">
        <v>144</v>
      </c>
      <c r="X675" s="61"/>
      <c r="Y675" s="61"/>
      <c r="AC675" s="8" t="e">
        <f>VLOOKUP(B675,#REF!,19,0)</f>
        <v>#REF!</v>
      </c>
      <c r="AP675" s="8" t="str">
        <f t="shared" si="28"/>
        <v>Not yet endorsed</v>
      </c>
      <c r="AQ675" s="10" t="b" cm="1">
        <f t="array" aca="1" ref="AQ675" ca="1">IF(AM675&gt;0,(TODAY()-AM675),IF(AL675&gt;0,(TODAY()-AL675),IF(AK675&gt;0,(TODAY()-AK675,IF(AI675&gt;0,(TODAY()-AI675),IF(AG675&gt;0,(TODAY()-AG675),IF(AF675&gt;0,(TODAY()-AF675),IF(X675&gt;0,(TODAY()-X675)," "))))))))</f>
        <v>0</v>
      </c>
      <c r="BD675" s="2" t="str">
        <f t="shared" si="29"/>
        <v>Not yet endorsed</v>
      </c>
      <c r="BE675" s="2" t="s">
        <v>75</v>
      </c>
      <c r="BG675" s="2" t="e">
        <v>#N/A</v>
      </c>
    </row>
    <row r="676" spans="2:59" hidden="1" x14ac:dyDescent="0.25">
      <c r="B676" s="2" t="s">
        <v>3069</v>
      </c>
      <c r="C676" s="2" t="s">
        <v>3070</v>
      </c>
      <c r="D676" s="44" t="s">
        <v>3071</v>
      </c>
      <c r="E676" s="2" t="s">
        <v>11</v>
      </c>
      <c r="F676" s="2" t="s">
        <v>3072</v>
      </c>
      <c r="G676" s="2" t="s">
        <v>1</v>
      </c>
      <c r="H676" s="2" t="s">
        <v>67</v>
      </c>
      <c r="I676" s="2" t="s">
        <v>68</v>
      </c>
      <c r="J676" s="2" t="s">
        <v>330</v>
      </c>
      <c r="K676" s="2" t="s">
        <v>501</v>
      </c>
      <c r="L676" s="2">
        <v>0</v>
      </c>
      <c r="M676" s="2">
        <v>0</v>
      </c>
      <c r="N676" s="2">
        <v>6.6335750000000004</v>
      </c>
      <c r="O676" s="2">
        <v>124.59571</v>
      </c>
      <c r="P676" s="2" t="s">
        <v>87</v>
      </c>
      <c r="Q676" s="2" t="s">
        <v>73</v>
      </c>
      <c r="R676" s="29" t="e">
        <f>IF(INDEX(#REF!,MATCH('data '!$B676,#REF!,0),MATCH('data '!R$3,#REF!,0))=0,"",INDEX(#REF!,MATCH('data '!$B676,#REF!,0),MATCH('data '!R$3,#REF!,0)))</f>
        <v>#REF!</v>
      </c>
      <c r="S676" s="29" t="e">
        <f>IF(INDEX(#REF!,MATCH('data '!$B676,#REF!,0),MATCH('data '!S$3,#REF!,0))=0,"",INDEX(#REF!,MATCH('data '!$B676,#REF!,0),MATCH('data '!S$3,#REF!,0)))</f>
        <v>#REF!</v>
      </c>
      <c r="T676" s="29" t="e">
        <f>IF(INDEX(#REF!,MATCH('data '!$B676,#REF!,0),MATCH('data '!T$3,#REF!,0))=0,"",INDEX(#REF!,MATCH('data '!$B676,#REF!,0),MATCH('data '!T$3,#REF!,0)))</f>
        <v>#REF!</v>
      </c>
      <c r="U676" s="8" t="s">
        <v>25</v>
      </c>
      <c r="V676" s="25" t="s">
        <v>87</v>
      </c>
      <c r="W676" s="25" t="s">
        <v>144</v>
      </c>
      <c r="X676" s="43" t="s">
        <v>25</v>
      </c>
      <c r="Y676" s="43">
        <v>45896</v>
      </c>
      <c r="AC676" s="8" t="e">
        <f>VLOOKUP(B676,#REF!,19,0)</f>
        <v>#REF!</v>
      </c>
      <c r="AP676" s="8" t="str">
        <f t="shared" si="28"/>
        <v>BP Secured</v>
      </c>
      <c r="AQ676" s="10" t="b" cm="1">
        <f t="array" aca="1" ref="AQ676" ca="1">IF(AM676&gt;0,(TODAY()-AM676),IF(AL676&gt;0,(TODAY()-AL676),IF(AK676&gt;0,(TODAY()-AK676,IF(AI676&gt;0,(TODAY()-AI676),IF(AG676&gt;0,(TODAY()-AG676),IF(AF676&gt;0,(TODAY()-AF676),IF(X676&gt;0,(TODAY()-X676)," "))))))))</f>
        <v>0</v>
      </c>
      <c r="BD676" s="2" t="str">
        <f t="shared" si="29"/>
        <v>BP Secured</v>
      </c>
      <c r="BE676" s="2" t="e">
        <v>#VALUE!</v>
      </c>
      <c r="BG676" s="2" t="e">
        <v>#N/A</v>
      </c>
    </row>
    <row r="677" spans="2:59" hidden="1" x14ac:dyDescent="0.25">
      <c r="B677" s="2" t="s">
        <v>3073</v>
      </c>
      <c r="C677" s="2" t="s">
        <v>3074</v>
      </c>
      <c r="D677" s="44" t="s">
        <v>3075</v>
      </c>
      <c r="E677" s="2" t="s">
        <v>11</v>
      </c>
      <c r="F677" s="2" t="s">
        <v>3072</v>
      </c>
      <c r="G677" s="2" t="s">
        <v>1</v>
      </c>
      <c r="H677" s="2" t="s">
        <v>67</v>
      </c>
      <c r="I677" s="2" t="s">
        <v>68</v>
      </c>
      <c r="J677" s="2" t="s">
        <v>330</v>
      </c>
      <c r="K677" s="2" t="s">
        <v>501</v>
      </c>
      <c r="L677" s="2">
        <v>0</v>
      </c>
      <c r="M677" s="2">
        <v>0</v>
      </c>
      <c r="N677" s="2">
        <v>6.1198969999999999</v>
      </c>
      <c r="O677" s="2">
        <v>124.35439</v>
      </c>
      <c r="P677" s="2" t="s">
        <v>87</v>
      </c>
      <c r="Q677" s="2" t="s">
        <v>314</v>
      </c>
      <c r="R677" s="29" t="e">
        <f>IF(INDEX(#REF!,MATCH('data '!$B677,#REF!,0),MATCH('data '!R$3,#REF!,0))=0,"",INDEX(#REF!,MATCH('data '!$B677,#REF!,0),MATCH('data '!R$3,#REF!,0)))</f>
        <v>#REF!</v>
      </c>
      <c r="S677" s="29" t="e">
        <f>IF(INDEX(#REF!,MATCH('data '!$B677,#REF!,0),MATCH('data '!S$3,#REF!,0))=0,"",INDEX(#REF!,MATCH('data '!$B677,#REF!,0),MATCH('data '!S$3,#REF!,0)))</f>
        <v>#REF!</v>
      </c>
      <c r="T677" s="29" t="e">
        <f>IF(INDEX(#REF!,MATCH('data '!$B677,#REF!,0),MATCH('data '!T$3,#REF!,0))=0,"",INDEX(#REF!,MATCH('data '!$B677,#REF!,0),MATCH('data '!T$3,#REF!,0)))</f>
        <v>#REF!</v>
      </c>
      <c r="U677" s="8" t="s">
        <v>25</v>
      </c>
      <c r="V677" s="25" t="s">
        <v>160</v>
      </c>
      <c r="W677" s="25" t="s">
        <v>144</v>
      </c>
      <c r="X677" s="43" t="s">
        <v>25</v>
      </c>
      <c r="Y677" s="43">
        <v>45896</v>
      </c>
      <c r="Z677" s="8">
        <v>45970</v>
      </c>
      <c r="AC677" s="8" t="e">
        <f>VLOOKUP(B677,#REF!,19,0)</f>
        <v>#REF!</v>
      </c>
      <c r="AP677" s="8" t="str">
        <f t="shared" si="28"/>
        <v>BP Secured</v>
      </c>
      <c r="AQ677" s="10" t="b" cm="1">
        <f t="array" aca="1" ref="AQ677" ca="1">IF(AM677&gt;0,(TODAY()-AM677),IF(AL677&gt;0,(TODAY()-AL677),IF(AK677&gt;0,(TODAY()-AK677,IF(AI677&gt;0,(TODAY()-AI677),IF(AG677&gt;0,(TODAY()-AG677),IF(AF677&gt;0,(TODAY()-AF677),IF(X677&gt;0,(TODAY()-X677)," "))))))))</f>
        <v>0</v>
      </c>
      <c r="BD677" s="2" t="str">
        <f t="shared" si="29"/>
        <v>BP Secured</v>
      </c>
      <c r="BE677" s="2" t="e">
        <v>#VALUE!</v>
      </c>
      <c r="BG677" s="2" t="e">
        <v>#N/A</v>
      </c>
    </row>
    <row r="678" spans="2:59" hidden="1" x14ac:dyDescent="0.25">
      <c r="B678" s="2" t="s">
        <v>3076</v>
      </c>
      <c r="C678" s="2" t="s">
        <v>3077</v>
      </c>
      <c r="D678" s="44" t="s">
        <v>3078</v>
      </c>
      <c r="E678" s="2" t="s">
        <v>11</v>
      </c>
      <c r="F678" s="2" t="s">
        <v>302</v>
      </c>
      <c r="G678" s="2" t="s">
        <v>1</v>
      </c>
      <c r="H678" s="2" t="s">
        <v>165</v>
      </c>
      <c r="I678" s="2" t="s">
        <v>68</v>
      </c>
      <c r="J678" s="2" t="s">
        <v>173</v>
      </c>
      <c r="K678" s="2" t="s">
        <v>303</v>
      </c>
      <c r="L678" s="2" t="s">
        <v>3079</v>
      </c>
      <c r="M678" s="2" t="s">
        <v>519</v>
      </c>
      <c r="N678" s="2">
        <v>8.3526349999999994</v>
      </c>
      <c r="O678" s="2">
        <v>124.65189100000001</v>
      </c>
      <c r="P678" s="2" t="s">
        <v>87</v>
      </c>
      <c r="Q678" s="2" t="s">
        <v>184</v>
      </c>
      <c r="R678" s="29" t="e">
        <f>IF(INDEX(#REF!,MATCH('data '!$B678,#REF!,0),MATCH('data '!R$3,#REF!,0))=0,"",INDEX(#REF!,MATCH('data '!$B678,#REF!,0),MATCH('data '!R$3,#REF!,0)))</f>
        <v>#REF!</v>
      </c>
      <c r="S678" s="29" t="e">
        <f>IF(INDEX(#REF!,MATCH('data '!$B678,#REF!,0),MATCH('data '!S$3,#REF!,0))=0,"",INDEX(#REF!,MATCH('data '!$B678,#REF!,0),MATCH('data '!S$3,#REF!,0)))</f>
        <v>#REF!</v>
      </c>
      <c r="T678" s="29" t="e">
        <f>IF(INDEX(#REF!,MATCH('data '!$B678,#REF!,0),MATCH('data '!T$3,#REF!,0))=0,"",INDEX(#REF!,MATCH('data '!$B678,#REF!,0),MATCH('data '!T$3,#REF!,0)))</f>
        <v>#REF!</v>
      </c>
      <c r="U678" s="8" t="s">
        <v>25</v>
      </c>
      <c r="V678" s="25" t="s">
        <v>266</v>
      </c>
      <c r="W678" s="25" t="s">
        <v>144</v>
      </c>
      <c r="X678" s="9" t="s">
        <v>25</v>
      </c>
      <c r="Y678" s="9">
        <v>45737</v>
      </c>
      <c r="Z678" s="8">
        <v>45720</v>
      </c>
      <c r="AA678" s="8" t="s">
        <v>3080</v>
      </c>
      <c r="AC678" s="8" t="e">
        <f>VLOOKUP(B678,#REF!,19,0)</f>
        <v>#REF!</v>
      </c>
      <c r="AE678" s="8" t="s">
        <v>307</v>
      </c>
      <c r="AP678" s="8" t="str">
        <f t="shared" si="28"/>
        <v>BP Secured</v>
      </c>
      <c r="AQ678" s="10" t="b" cm="1">
        <f t="array" aca="1" ref="AQ678" ca="1">IF(AM678&gt;0,(TODAY()-AM678),IF(AL678&gt;0,(TODAY()-AL678),IF(AK678&gt;0,(TODAY()-AK678,IF(AI678&gt;0,(TODAY()-AI678),IF(AG678&gt;0,(TODAY()-AG678),IF(AF678&gt;0,(TODAY()-AF678),IF(X678&gt;0,(TODAY()-X678)," "))))))))</f>
        <v>0</v>
      </c>
      <c r="AT678" s="8" t="s">
        <v>155</v>
      </c>
      <c r="AU678" s="8">
        <v>45777</v>
      </c>
      <c r="AV678" s="8">
        <v>45780</v>
      </c>
      <c r="AX678" s="8">
        <v>45783</v>
      </c>
      <c r="BD678" s="2" t="str">
        <f t="shared" si="29"/>
        <v>PO Issued</v>
      </c>
      <c r="BE678" s="2">
        <v>157</v>
      </c>
      <c r="BG678" s="2" t="e">
        <v>#N/A</v>
      </c>
    </row>
    <row r="679" spans="2:59" hidden="1" x14ac:dyDescent="0.25">
      <c r="B679" s="2" t="s">
        <v>3081</v>
      </c>
      <c r="C679" s="2" t="s">
        <v>3082</v>
      </c>
      <c r="D679" s="44" t="s">
        <v>3083</v>
      </c>
      <c r="E679" s="2" t="s">
        <v>11</v>
      </c>
      <c r="F679" s="2" t="s">
        <v>302</v>
      </c>
      <c r="G679" s="2" t="s">
        <v>1</v>
      </c>
      <c r="H679" s="2" t="s">
        <v>165</v>
      </c>
      <c r="I679" s="2" t="s">
        <v>68</v>
      </c>
      <c r="J679" s="2" t="s">
        <v>173</v>
      </c>
      <c r="K679" s="2" t="s">
        <v>303</v>
      </c>
      <c r="L679" s="2" t="s">
        <v>2811</v>
      </c>
      <c r="M679" s="2">
        <v>0</v>
      </c>
      <c r="N679" s="2">
        <v>0</v>
      </c>
      <c r="O679" s="2">
        <v>0</v>
      </c>
      <c r="P679" s="2" t="s">
        <v>82</v>
      </c>
      <c r="Q679" s="2" t="s">
        <v>73</v>
      </c>
      <c r="R679" s="29" t="e">
        <f>IF(INDEX(#REF!,MATCH('data '!$B679,#REF!,0),MATCH('data '!R$3,#REF!,0))=0,"",INDEX(#REF!,MATCH('data '!$B679,#REF!,0),MATCH('data '!R$3,#REF!,0)))</f>
        <v>#REF!</v>
      </c>
      <c r="S679" s="29" t="e">
        <f>IF(INDEX(#REF!,MATCH('data '!$B679,#REF!,0),MATCH('data '!S$3,#REF!,0))=0,"",INDEX(#REF!,MATCH('data '!$B679,#REF!,0),MATCH('data '!S$3,#REF!,0)))</f>
        <v>#REF!</v>
      </c>
      <c r="T679" s="29" t="e">
        <f>IF(INDEX(#REF!,MATCH('data '!$B679,#REF!,0),MATCH('data '!T$3,#REF!,0))=0,"",INDEX(#REF!,MATCH('data '!$B679,#REF!,0),MATCH('data '!T$3,#REF!,0)))</f>
        <v>#REF!</v>
      </c>
      <c r="V679" s="25" t="s">
        <v>87</v>
      </c>
      <c r="W679" s="25" t="s">
        <v>144</v>
      </c>
      <c r="X679" s="61"/>
      <c r="Y679" s="61"/>
      <c r="AC679" s="8" t="e">
        <f>VLOOKUP(B679,#REF!,19,0)</f>
        <v>#REF!</v>
      </c>
      <c r="AP679" s="8" t="str">
        <f t="shared" si="28"/>
        <v>Not yet endorsed</v>
      </c>
      <c r="AQ679" s="10" t="b" cm="1">
        <f t="array" aca="1" ref="AQ679" ca="1">IF(AM679&gt;0,(TODAY()-AM679),IF(AL679&gt;0,(TODAY()-AL679),IF(AK679&gt;0,(TODAY()-AK679,IF(AI679&gt;0,(TODAY()-AI679),IF(AG679&gt;0,(TODAY()-AG679),IF(AF679&gt;0,(TODAY()-AF679),IF(X679&gt;0,(TODAY()-X679)," "))))))))</f>
        <v>0</v>
      </c>
      <c r="BD679" s="2" t="str">
        <f t="shared" si="29"/>
        <v>Not yet endorsed</v>
      </c>
      <c r="BE679" s="2" t="s">
        <v>75</v>
      </c>
      <c r="BG679" s="2" t="e">
        <v>#N/A</v>
      </c>
    </row>
    <row r="680" spans="2:59" hidden="1" x14ac:dyDescent="0.25">
      <c r="B680" s="2" t="s">
        <v>3084</v>
      </c>
      <c r="C680" s="2" t="s">
        <v>3085</v>
      </c>
      <c r="D680" s="44" t="s">
        <v>3086</v>
      </c>
      <c r="E680" s="2" t="s">
        <v>11</v>
      </c>
      <c r="F680" s="2" t="s">
        <v>302</v>
      </c>
      <c r="G680" s="2" t="s">
        <v>1</v>
      </c>
      <c r="H680" s="2" t="s">
        <v>165</v>
      </c>
      <c r="I680" s="2" t="s">
        <v>68</v>
      </c>
      <c r="J680" s="2" t="s">
        <v>173</v>
      </c>
      <c r="K680" s="2" t="s">
        <v>303</v>
      </c>
      <c r="L680" s="2" t="s">
        <v>2811</v>
      </c>
      <c r="M680" s="2">
        <v>0</v>
      </c>
      <c r="N680" s="2">
        <v>0</v>
      </c>
      <c r="O680" s="2">
        <v>0</v>
      </c>
      <c r="P680" s="2" t="s">
        <v>72</v>
      </c>
      <c r="Q680" s="2" t="s">
        <v>73</v>
      </c>
      <c r="R680" s="29" t="e">
        <f>IF(INDEX(#REF!,MATCH('data '!$B680,#REF!,0),MATCH('data '!R$3,#REF!,0))=0,"",INDEX(#REF!,MATCH('data '!$B680,#REF!,0),MATCH('data '!R$3,#REF!,0)))</f>
        <v>#REF!</v>
      </c>
      <c r="S680" s="29" t="e">
        <f>IF(INDEX(#REF!,MATCH('data '!$B680,#REF!,0),MATCH('data '!S$3,#REF!,0))=0,"",INDEX(#REF!,MATCH('data '!$B680,#REF!,0),MATCH('data '!S$3,#REF!,0)))</f>
        <v>#REF!</v>
      </c>
      <c r="T680" s="29" t="e">
        <f>IF(INDEX(#REF!,MATCH('data '!$B680,#REF!,0),MATCH('data '!T$3,#REF!,0))=0,"",INDEX(#REF!,MATCH('data '!$B680,#REF!,0),MATCH('data '!T$3,#REF!,0)))</f>
        <v>#REF!</v>
      </c>
      <c r="V680" s="25" t="s">
        <v>74</v>
      </c>
      <c r="W680" s="25">
        <v>0</v>
      </c>
      <c r="AC680" s="8" t="e">
        <f>VLOOKUP(B680,#REF!,19,0)</f>
        <v>#REF!</v>
      </c>
      <c r="AP680" s="8" t="str">
        <f t="shared" si="28"/>
        <v>Not yet endorsed</v>
      </c>
      <c r="AQ680" s="10" t="b" cm="1">
        <f t="array" aca="1" ref="AQ680" ca="1">IF(AM680&gt;0,(TODAY()-AM680),IF(AL680&gt;0,(TODAY()-AL680),IF(AK680&gt;0,(TODAY()-AK680,IF(AI680&gt;0,(TODAY()-AI680),IF(AG680&gt;0,(TODAY()-AG680),IF(AF680&gt;0,(TODAY()-AF680),IF(X680&gt;0,(TODAY()-X680)," "))))))))</f>
        <v>0</v>
      </c>
      <c r="BD680" s="2" t="str">
        <f t="shared" si="29"/>
        <v>Not yet endorsed</v>
      </c>
      <c r="BE680" s="2" t="s">
        <v>75</v>
      </c>
      <c r="BG680" s="2" t="e">
        <v>#N/A</v>
      </c>
    </row>
    <row r="681" spans="2:59" hidden="1" x14ac:dyDescent="0.25">
      <c r="B681" s="2" t="s">
        <v>3087</v>
      </c>
      <c r="C681" s="2" t="s">
        <v>3088</v>
      </c>
      <c r="D681" s="44" t="s">
        <v>3089</v>
      </c>
      <c r="E681" s="2" t="s">
        <v>11</v>
      </c>
      <c r="F681" s="2" t="s">
        <v>302</v>
      </c>
      <c r="G681" s="2" t="s">
        <v>1</v>
      </c>
      <c r="H681" s="2" t="s">
        <v>165</v>
      </c>
      <c r="I681" s="2" t="s">
        <v>68</v>
      </c>
      <c r="J681" s="2" t="s">
        <v>173</v>
      </c>
      <c r="K681" s="2" t="s">
        <v>303</v>
      </c>
      <c r="L681" s="2" t="s">
        <v>1246</v>
      </c>
      <c r="M681" s="2" t="s">
        <v>639</v>
      </c>
      <c r="N681" s="2">
        <v>8.1997999999999998</v>
      </c>
      <c r="O681" s="2">
        <v>124.9723</v>
      </c>
      <c r="P681" s="2" t="s">
        <v>87</v>
      </c>
      <c r="Q681" s="2" t="s">
        <v>184</v>
      </c>
      <c r="R681" s="29" t="e">
        <f>IF(INDEX(#REF!,MATCH('data '!$B681,#REF!,0),MATCH('data '!R$3,#REF!,0))=0,"",INDEX(#REF!,MATCH('data '!$B681,#REF!,0),MATCH('data '!R$3,#REF!,0)))</f>
        <v>#REF!</v>
      </c>
      <c r="S681" s="29" t="e">
        <f>IF(INDEX(#REF!,MATCH('data '!$B681,#REF!,0),MATCH('data '!S$3,#REF!,0))=0,"",INDEX(#REF!,MATCH('data '!$B681,#REF!,0),MATCH('data '!S$3,#REF!,0)))</f>
        <v>#REF!</v>
      </c>
      <c r="T681" s="29" t="e">
        <f>IF(INDEX(#REF!,MATCH('data '!$B681,#REF!,0),MATCH('data '!T$3,#REF!,0))=0,"",INDEX(#REF!,MATCH('data '!$B681,#REF!,0),MATCH('data '!T$3,#REF!,0)))</f>
        <v>#REF!</v>
      </c>
      <c r="U681" s="8" t="s">
        <v>25</v>
      </c>
      <c r="V681" s="25" t="s">
        <v>266</v>
      </c>
      <c r="W681" s="25" t="s">
        <v>144</v>
      </c>
      <c r="X681" s="9" t="s">
        <v>25</v>
      </c>
      <c r="Y681" s="9">
        <v>45761</v>
      </c>
      <c r="AA681" s="8" t="s">
        <v>2220</v>
      </c>
      <c r="AC681" s="8" t="e">
        <f>VLOOKUP(B681,#REF!,19,0)</f>
        <v>#REF!</v>
      </c>
      <c r="AE681" s="8" t="s">
        <v>1178</v>
      </c>
      <c r="AP681" s="8" t="str">
        <f t="shared" si="28"/>
        <v>BP Secured</v>
      </c>
      <c r="AQ681" s="10" t="b" cm="1">
        <f t="array" aca="1" ref="AQ681" ca="1">IF(AM681&gt;0,(TODAY()-AM681),IF(AL681&gt;0,(TODAY()-AL681),IF(AK681&gt;0,(TODAY()-AK681,IF(AI681&gt;0,(TODAY()-AI681),IF(AG681&gt;0,(TODAY()-AG681),IF(AF681&gt;0,(TODAY()-AF681),IF(X681&gt;0,(TODAY()-X681)," "))))))))</f>
        <v>0</v>
      </c>
      <c r="AT681" s="8" t="s">
        <v>155</v>
      </c>
      <c r="AU681" s="8">
        <v>45834</v>
      </c>
      <c r="AV681" s="8">
        <v>45835</v>
      </c>
      <c r="AX681" s="8">
        <v>45838</v>
      </c>
      <c r="BD681" s="2" t="str">
        <f t="shared" si="29"/>
        <v>PO Issued</v>
      </c>
      <c r="BE681" s="2">
        <v>102</v>
      </c>
      <c r="BG681" s="2" t="e">
        <v>#N/A</v>
      </c>
    </row>
    <row r="682" spans="2:59" hidden="1" x14ac:dyDescent="0.25">
      <c r="B682" s="2" t="s">
        <v>3090</v>
      </c>
      <c r="C682" s="2" t="s">
        <v>3091</v>
      </c>
      <c r="D682" s="44" t="s">
        <v>3092</v>
      </c>
      <c r="E682" s="2" t="s">
        <v>11</v>
      </c>
      <c r="F682" s="2" t="s">
        <v>302</v>
      </c>
      <c r="G682" s="2" t="s">
        <v>1</v>
      </c>
      <c r="H682" s="2" t="s">
        <v>165</v>
      </c>
      <c r="I682" s="2" t="s">
        <v>68</v>
      </c>
      <c r="J682" s="2" t="s">
        <v>173</v>
      </c>
      <c r="K682" s="2" t="s">
        <v>303</v>
      </c>
      <c r="L682" s="2" t="s">
        <v>3093</v>
      </c>
      <c r="M682" s="2">
        <v>0</v>
      </c>
      <c r="N682" s="2">
        <v>0</v>
      </c>
      <c r="O682" s="2">
        <v>0</v>
      </c>
      <c r="P682" s="2" t="s">
        <v>87</v>
      </c>
      <c r="Q682" s="2" t="s">
        <v>73</v>
      </c>
      <c r="R682" s="29" t="e">
        <f>IF(INDEX(#REF!,MATCH('data '!$B682,#REF!,0),MATCH('data '!R$3,#REF!,0))=0,"",INDEX(#REF!,MATCH('data '!$B682,#REF!,0),MATCH('data '!R$3,#REF!,0)))</f>
        <v>#REF!</v>
      </c>
      <c r="S682" s="29" t="e">
        <f>IF(INDEX(#REF!,MATCH('data '!$B682,#REF!,0),MATCH('data '!S$3,#REF!,0))=0,"",INDEX(#REF!,MATCH('data '!$B682,#REF!,0),MATCH('data '!S$3,#REF!,0)))</f>
        <v>#REF!</v>
      </c>
      <c r="T682" s="29" t="e">
        <f>IF(INDEX(#REF!,MATCH('data '!$B682,#REF!,0),MATCH('data '!T$3,#REF!,0))=0,"",INDEX(#REF!,MATCH('data '!$B682,#REF!,0),MATCH('data '!T$3,#REF!,0)))</f>
        <v>#REF!</v>
      </c>
      <c r="U682" s="8" t="s">
        <v>25</v>
      </c>
      <c r="V682" s="25" t="s">
        <v>160</v>
      </c>
      <c r="W682" s="25" t="s">
        <v>144</v>
      </c>
      <c r="X682" s="43" t="s">
        <v>25</v>
      </c>
      <c r="Y682" s="43">
        <v>45924</v>
      </c>
      <c r="AC682" s="8" t="e">
        <f>VLOOKUP(B682,#REF!,19,0)</f>
        <v>#REF!</v>
      </c>
      <c r="AP682" s="8" t="str">
        <f t="shared" si="28"/>
        <v>BP Secured</v>
      </c>
      <c r="AQ682" s="10" t="b" cm="1">
        <f t="array" aca="1" ref="AQ682" ca="1">IF(AM682&gt;0,(TODAY()-AM682),IF(AL682&gt;0,(TODAY()-AL682),IF(AK682&gt;0,(TODAY()-AK682,IF(AI682&gt;0,(TODAY()-AI682),IF(AG682&gt;0,(TODAY()-AG682),IF(AF682&gt;0,(TODAY()-AF682),IF(X682&gt;0,(TODAY()-X682)," "))))))))</f>
        <v>0</v>
      </c>
      <c r="BD682" s="2" t="str">
        <f t="shared" si="29"/>
        <v>BP Secured</v>
      </c>
      <c r="BE682" s="2" t="e">
        <v>#VALUE!</v>
      </c>
      <c r="BG682" s="2" t="e">
        <v>#N/A</v>
      </c>
    </row>
    <row r="683" spans="2:59" hidden="1" x14ac:dyDescent="0.25">
      <c r="B683" s="2" t="s">
        <v>3094</v>
      </c>
      <c r="C683" s="2" t="s">
        <v>3095</v>
      </c>
      <c r="D683" s="44" t="s">
        <v>3096</v>
      </c>
      <c r="E683" s="2" t="s">
        <v>11</v>
      </c>
      <c r="F683" s="2" t="s">
        <v>302</v>
      </c>
      <c r="G683" s="2" t="s">
        <v>1</v>
      </c>
      <c r="H683" s="2" t="s">
        <v>165</v>
      </c>
      <c r="I683" s="2" t="s">
        <v>68</v>
      </c>
      <c r="J683" s="2" t="s">
        <v>173</v>
      </c>
      <c r="K683" s="2" t="s">
        <v>303</v>
      </c>
      <c r="L683" s="2" t="s">
        <v>3093</v>
      </c>
      <c r="M683" s="2" t="s">
        <v>3097</v>
      </c>
      <c r="N683" s="2">
        <v>8.0381999999999998</v>
      </c>
      <c r="O683" s="2">
        <v>125.2867</v>
      </c>
      <c r="P683" s="2" t="s">
        <v>87</v>
      </c>
      <c r="Q683" s="2" t="s">
        <v>184</v>
      </c>
      <c r="R683" s="29" t="e">
        <f>IF(INDEX(#REF!,MATCH('data '!$B683,#REF!,0),MATCH('data '!R$3,#REF!,0))=0,"",INDEX(#REF!,MATCH('data '!$B683,#REF!,0),MATCH('data '!R$3,#REF!,0)))</f>
        <v>#REF!</v>
      </c>
      <c r="S683" s="29" t="e">
        <f>IF(INDEX(#REF!,MATCH('data '!$B683,#REF!,0),MATCH('data '!S$3,#REF!,0))=0,"",INDEX(#REF!,MATCH('data '!$B683,#REF!,0),MATCH('data '!S$3,#REF!,0)))</f>
        <v>#REF!</v>
      </c>
      <c r="T683" s="29" t="e">
        <f>IF(INDEX(#REF!,MATCH('data '!$B683,#REF!,0),MATCH('data '!T$3,#REF!,0))=0,"",INDEX(#REF!,MATCH('data '!$B683,#REF!,0),MATCH('data '!T$3,#REF!,0)))</f>
        <v>#REF!</v>
      </c>
      <c r="U683" s="8" t="s">
        <v>25</v>
      </c>
      <c r="V683" s="25" t="s">
        <v>266</v>
      </c>
      <c r="W683" s="25" t="s">
        <v>144</v>
      </c>
      <c r="X683" s="9" t="s">
        <v>25</v>
      </c>
      <c r="Y683" s="9">
        <v>45743</v>
      </c>
      <c r="Z683" s="8">
        <v>45873</v>
      </c>
      <c r="AA683" s="8" t="s">
        <v>3098</v>
      </c>
      <c r="AC683" s="8" t="e">
        <f>VLOOKUP(B683,#REF!,19,0)</f>
        <v>#REF!</v>
      </c>
      <c r="AE683" s="8" t="s">
        <v>497</v>
      </c>
      <c r="AK683" s="8">
        <v>45769</v>
      </c>
      <c r="AP683" s="8" t="str">
        <f t="shared" si="28"/>
        <v>COOP Surveyed</v>
      </c>
      <c r="AQ683" s="10" t="e" cm="1">
        <f t="array" aca="1" ref="AQ683" ca="1">IF(AM683&gt;0,(TODAY()-AM683),IF(AL683&gt;0,(TODAY()-AL683),IF(AK683&gt;0,(TODAY()-AK683,IF(AI683&gt;0,(TODAY()-AI683),IF(AG683&gt;0,(TODAY()-AG683),IF(AF683&gt;0,(TODAY()-AF683),IF(X683&gt;0,(TODAY()-X683)," "))))))))</f>
        <v>#VALUE!</v>
      </c>
      <c r="AT683" s="8" t="s">
        <v>155</v>
      </c>
      <c r="AU683" s="8">
        <v>45774</v>
      </c>
      <c r="AV683" s="8">
        <v>45773</v>
      </c>
      <c r="AX683" s="8">
        <v>45776</v>
      </c>
      <c r="BD683" s="2" t="str">
        <f t="shared" si="29"/>
        <v>PO Issued</v>
      </c>
      <c r="BE683" s="2">
        <v>164</v>
      </c>
      <c r="BG683" s="2" t="e">
        <v>#N/A</v>
      </c>
    </row>
    <row r="684" spans="2:59" hidden="1" x14ac:dyDescent="0.25">
      <c r="B684" s="2" t="s">
        <v>3099</v>
      </c>
      <c r="C684" s="2" t="s">
        <v>3100</v>
      </c>
      <c r="D684" s="44" t="s">
        <v>3101</v>
      </c>
      <c r="E684" s="2" t="s">
        <v>11</v>
      </c>
      <c r="F684" s="2" t="s">
        <v>1268</v>
      </c>
      <c r="G684" s="2" t="s">
        <v>1</v>
      </c>
      <c r="H684" s="2" t="s">
        <v>165</v>
      </c>
      <c r="I684" s="2" t="s">
        <v>68</v>
      </c>
      <c r="J684" s="2" t="s">
        <v>173</v>
      </c>
      <c r="K684" s="2" t="s">
        <v>303</v>
      </c>
      <c r="L684" s="2" t="s">
        <v>3102</v>
      </c>
      <c r="M684" s="2">
        <v>0</v>
      </c>
      <c r="N684" s="2">
        <v>0</v>
      </c>
      <c r="O684" s="2">
        <v>0</v>
      </c>
      <c r="P684" s="2" t="s">
        <v>702</v>
      </c>
      <c r="Q684" s="2" t="s">
        <v>73</v>
      </c>
      <c r="R684" s="29" t="e">
        <f>IF(INDEX(#REF!,MATCH('data '!$B684,#REF!,0),MATCH('data '!R$3,#REF!,0))=0,"",INDEX(#REF!,MATCH('data '!$B684,#REF!,0),MATCH('data '!R$3,#REF!,0)))</f>
        <v>#REF!</v>
      </c>
      <c r="S684" s="29" t="e">
        <f>IF(INDEX(#REF!,MATCH('data '!$B684,#REF!,0),MATCH('data '!S$3,#REF!,0))=0,"",INDEX(#REF!,MATCH('data '!$B684,#REF!,0),MATCH('data '!S$3,#REF!,0)))</f>
        <v>#REF!</v>
      </c>
      <c r="T684" s="29" t="e">
        <f>IF(INDEX(#REF!,MATCH('data '!$B684,#REF!,0),MATCH('data '!T$3,#REF!,0))=0,"",INDEX(#REF!,MATCH('data '!$B684,#REF!,0),MATCH('data '!T$3,#REF!,0)))</f>
        <v>#REF!</v>
      </c>
      <c r="V684" s="25" t="s">
        <v>133</v>
      </c>
      <c r="W684" s="25" t="s">
        <v>134</v>
      </c>
      <c r="AC684" s="8" t="e">
        <f>VLOOKUP(B684,#REF!,19,0)</f>
        <v>#REF!</v>
      </c>
      <c r="AP684" s="8" t="str">
        <f t="shared" si="28"/>
        <v>Not yet endorsed</v>
      </c>
      <c r="AQ684" s="10" t="b" cm="1">
        <f t="array" aca="1" ref="AQ684" ca="1">IF(AM684&gt;0,(TODAY()-AM684),IF(AL684&gt;0,(TODAY()-AL684),IF(AK684&gt;0,(TODAY()-AK684,IF(AI684&gt;0,(TODAY()-AI684),IF(AG684&gt;0,(TODAY()-AG684),IF(AF684&gt;0,(TODAY()-AF684),IF(X684&gt;0,(TODAY()-X684)," "))))))))</f>
        <v>0</v>
      </c>
      <c r="BD684" s="2" t="str">
        <f t="shared" si="29"/>
        <v>Not yet endorsed</v>
      </c>
      <c r="BE684" s="2" t="s">
        <v>75</v>
      </c>
      <c r="BG684" s="2" t="e">
        <v>#N/A</v>
      </c>
    </row>
    <row r="685" spans="2:59" hidden="1" x14ac:dyDescent="0.25">
      <c r="B685" s="2" t="s">
        <v>3103</v>
      </c>
      <c r="C685" s="2" t="s">
        <v>3104</v>
      </c>
      <c r="D685" s="44" t="s">
        <v>3105</v>
      </c>
      <c r="E685" s="2" t="s">
        <v>11</v>
      </c>
      <c r="F685" s="2" t="s">
        <v>1268</v>
      </c>
      <c r="G685" s="2" t="s">
        <v>1</v>
      </c>
      <c r="H685" s="2" t="s">
        <v>165</v>
      </c>
      <c r="I685" s="2" t="s">
        <v>68</v>
      </c>
      <c r="J685" s="2" t="s">
        <v>173</v>
      </c>
      <c r="K685" s="2" t="s">
        <v>303</v>
      </c>
      <c r="L685" s="2" t="s">
        <v>3102</v>
      </c>
      <c r="M685" s="2">
        <v>0</v>
      </c>
      <c r="N685" s="2">
        <v>0</v>
      </c>
      <c r="O685" s="2">
        <v>0</v>
      </c>
      <c r="P685" s="2" t="s">
        <v>72</v>
      </c>
      <c r="Q685" s="2" t="s">
        <v>73</v>
      </c>
      <c r="R685" s="29" t="e">
        <f>IF(INDEX(#REF!,MATCH('data '!$B685,#REF!,0),MATCH('data '!R$3,#REF!,0))=0,"",INDEX(#REF!,MATCH('data '!$B685,#REF!,0),MATCH('data '!R$3,#REF!,0)))</f>
        <v>#REF!</v>
      </c>
      <c r="S685" s="29" t="e">
        <f>IF(INDEX(#REF!,MATCH('data '!$B685,#REF!,0),MATCH('data '!S$3,#REF!,0))=0,"",INDEX(#REF!,MATCH('data '!$B685,#REF!,0),MATCH('data '!S$3,#REF!,0)))</f>
        <v>#REF!</v>
      </c>
      <c r="T685" s="29" t="e">
        <f>IF(INDEX(#REF!,MATCH('data '!$B685,#REF!,0),MATCH('data '!T$3,#REF!,0))=0,"",INDEX(#REF!,MATCH('data '!$B685,#REF!,0),MATCH('data '!T$3,#REF!,0)))</f>
        <v>#REF!</v>
      </c>
      <c r="V685" s="25" t="s">
        <v>74</v>
      </c>
      <c r="W685" s="25">
        <v>0</v>
      </c>
      <c r="AC685" s="8" t="e">
        <f>VLOOKUP(B685,#REF!,19,0)</f>
        <v>#REF!</v>
      </c>
      <c r="AP685" s="8" t="str">
        <f t="shared" si="28"/>
        <v>Not yet endorsed</v>
      </c>
      <c r="AQ685" s="10" t="b" cm="1">
        <f t="array" aca="1" ref="AQ685" ca="1">IF(AM685&gt;0,(TODAY()-AM685),IF(AL685&gt;0,(TODAY()-AL685),IF(AK685&gt;0,(TODAY()-AK685,IF(AI685&gt;0,(TODAY()-AI685),IF(AG685&gt;0,(TODAY()-AG685),IF(AF685&gt;0,(TODAY()-AF685),IF(X685&gt;0,(TODAY()-X685)," "))))))))</f>
        <v>0</v>
      </c>
      <c r="BD685" s="2" t="str">
        <f t="shared" si="29"/>
        <v>Not yet endorsed</v>
      </c>
      <c r="BE685" s="2" t="s">
        <v>75</v>
      </c>
      <c r="BG685" s="2" t="e">
        <v>#N/A</v>
      </c>
    </row>
    <row r="686" spans="2:59" hidden="1" x14ac:dyDescent="0.25">
      <c r="B686" s="2" t="s">
        <v>3106</v>
      </c>
      <c r="C686" s="2" t="s">
        <v>3107</v>
      </c>
      <c r="D686" s="44" t="s">
        <v>3108</v>
      </c>
      <c r="E686" s="2" t="s">
        <v>11</v>
      </c>
      <c r="F686" s="2">
        <v>0</v>
      </c>
      <c r="G686" s="2" t="s">
        <v>1</v>
      </c>
      <c r="H686" s="2" t="s">
        <v>67</v>
      </c>
      <c r="I686" s="2" t="s">
        <v>68</v>
      </c>
      <c r="J686" s="2" t="s">
        <v>330</v>
      </c>
      <c r="K686" s="2" t="s">
        <v>494</v>
      </c>
      <c r="L686" s="2">
        <v>0</v>
      </c>
      <c r="M686" s="2">
        <v>0</v>
      </c>
      <c r="N686" s="2">
        <v>0</v>
      </c>
      <c r="O686" s="2">
        <v>0</v>
      </c>
      <c r="P686" s="2" t="s">
        <v>125</v>
      </c>
      <c r="Q686" s="2">
        <v>0</v>
      </c>
      <c r="R686" s="29" t="e">
        <f>IF(INDEX(#REF!,MATCH('data '!$B686,#REF!,0),MATCH('data '!R$3,#REF!,0))=0,"",INDEX(#REF!,MATCH('data '!$B686,#REF!,0),MATCH('data '!R$3,#REF!,0)))</f>
        <v>#REF!</v>
      </c>
      <c r="S686" s="29" t="e">
        <f>IF(INDEX(#REF!,MATCH('data '!$B686,#REF!,0),MATCH('data '!S$3,#REF!,0))=0,"",INDEX(#REF!,MATCH('data '!$B686,#REF!,0),MATCH('data '!S$3,#REF!,0)))</f>
        <v>#REF!</v>
      </c>
      <c r="T686" s="29" t="e">
        <f>IF(INDEX(#REF!,MATCH('data '!$B686,#REF!,0),MATCH('data '!T$3,#REF!,0))=0,"",INDEX(#REF!,MATCH('data '!$B686,#REF!,0),MATCH('data '!T$3,#REF!,0)))</f>
        <v>#REF!</v>
      </c>
      <c r="V686" s="25" t="s">
        <v>82</v>
      </c>
      <c r="W686" s="25" t="s">
        <v>83</v>
      </c>
      <c r="AC686" s="8" t="e">
        <f>VLOOKUP(B686,#REF!,19,0)</f>
        <v>#REF!</v>
      </c>
      <c r="AP686" s="8" t="str">
        <f t="shared" si="28"/>
        <v>Not yet endorsed</v>
      </c>
      <c r="AQ686" s="10" t="b" cm="1">
        <f t="array" aca="1" ref="AQ686" ca="1">IF(AM686&gt;0,(TODAY()-AM686),IF(AL686&gt;0,(TODAY()-AL686),IF(AK686&gt;0,(TODAY()-AK686,IF(AI686&gt;0,(TODAY()-AI686),IF(AG686&gt;0,(TODAY()-AG686),IF(AF686&gt;0,(TODAY()-AF686),IF(X686&gt;0,(TODAY()-X686)," "))))))))</f>
        <v>0</v>
      </c>
      <c r="BD686" s="2" t="str">
        <f t="shared" si="29"/>
        <v>Not yet endorsed</v>
      </c>
      <c r="BE686" s="2" t="s">
        <v>75</v>
      </c>
      <c r="BG686" s="2" t="e">
        <v>#N/A</v>
      </c>
    </row>
    <row r="687" spans="2:59" hidden="1" x14ac:dyDescent="0.25">
      <c r="B687" s="2" t="s">
        <v>3109</v>
      </c>
      <c r="C687" s="2" t="s">
        <v>3110</v>
      </c>
      <c r="D687" s="44" t="s">
        <v>3111</v>
      </c>
      <c r="E687" s="2" t="s">
        <v>11</v>
      </c>
      <c r="F687" s="2" t="s">
        <v>1268</v>
      </c>
      <c r="G687" s="2" t="s">
        <v>1</v>
      </c>
      <c r="H687" s="2" t="s">
        <v>165</v>
      </c>
      <c r="I687" s="2" t="s">
        <v>68</v>
      </c>
      <c r="J687" s="2" t="s">
        <v>173</v>
      </c>
      <c r="K687" s="2" t="s">
        <v>303</v>
      </c>
      <c r="L687" s="2" t="s">
        <v>3112</v>
      </c>
      <c r="M687" s="2" t="s">
        <v>333</v>
      </c>
      <c r="N687" s="2">
        <v>7.5327700000000002</v>
      </c>
      <c r="O687" s="2">
        <v>125.02330000000001</v>
      </c>
      <c r="P687" s="2" t="s">
        <v>87</v>
      </c>
      <c r="Q687" s="2" t="s">
        <v>184</v>
      </c>
      <c r="R687" s="29" t="e">
        <f>IF(INDEX(#REF!,MATCH('data '!$B687,#REF!,0),MATCH('data '!R$3,#REF!,0))=0,"",INDEX(#REF!,MATCH('data '!$B687,#REF!,0),MATCH('data '!R$3,#REF!,0)))</f>
        <v>#REF!</v>
      </c>
      <c r="S687" s="29" t="e">
        <f>IF(INDEX(#REF!,MATCH('data '!$B687,#REF!,0),MATCH('data '!S$3,#REF!,0))=0,"",INDEX(#REF!,MATCH('data '!$B687,#REF!,0),MATCH('data '!S$3,#REF!,0)))</f>
        <v>#REF!</v>
      </c>
      <c r="T687" s="29" t="e">
        <f>IF(INDEX(#REF!,MATCH('data '!$B687,#REF!,0),MATCH('data '!T$3,#REF!,0))=0,"",INDEX(#REF!,MATCH('data '!$B687,#REF!,0),MATCH('data '!T$3,#REF!,0)))</f>
        <v>#REF!</v>
      </c>
      <c r="U687" s="8" t="s">
        <v>25</v>
      </c>
      <c r="V687" s="25" t="s">
        <v>185</v>
      </c>
      <c r="W687" s="25" t="s">
        <v>144</v>
      </c>
      <c r="X687" s="43" t="s">
        <v>25</v>
      </c>
      <c r="Y687" s="43">
        <v>45724</v>
      </c>
      <c r="AA687" s="8">
        <v>45783</v>
      </c>
      <c r="AC687" s="8" t="e">
        <f>VLOOKUP(B687,#REF!,19,0)</f>
        <v>#REF!</v>
      </c>
      <c r="AE687" s="8" t="s">
        <v>472</v>
      </c>
      <c r="AP687" s="8" t="str">
        <f t="shared" si="28"/>
        <v>BP Secured</v>
      </c>
      <c r="AQ687" s="10" t="b" cm="1">
        <f t="array" aca="1" ref="AQ687" ca="1">IF(AM687&gt;0,(TODAY()-AM687),IF(AL687&gt;0,(TODAY()-AL687),IF(AK687&gt;0,(TODAY()-AK687,IF(AI687&gt;0,(TODAY()-AI687),IF(AG687&gt;0,(TODAY()-AG687),IF(AF687&gt;0,(TODAY()-AF687),IF(X687&gt;0,(TODAY()-X687)," "))))))))</f>
        <v>0</v>
      </c>
      <c r="AT687" s="8" t="s">
        <v>155</v>
      </c>
      <c r="AU687" s="8">
        <v>45784</v>
      </c>
      <c r="AV687" s="8">
        <v>45783</v>
      </c>
      <c r="AX687" s="8">
        <v>45786</v>
      </c>
      <c r="BD687" s="2" t="str">
        <f t="shared" si="29"/>
        <v>PO Issued</v>
      </c>
      <c r="BE687" s="2">
        <v>154</v>
      </c>
      <c r="BG687" s="2" t="e">
        <v>#N/A</v>
      </c>
    </row>
    <row r="688" spans="2:59" hidden="1" x14ac:dyDescent="0.25">
      <c r="B688" s="2" t="s">
        <v>3113</v>
      </c>
      <c r="C688" s="2" t="s">
        <v>3114</v>
      </c>
      <c r="D688" s="44" t="s">
        <v>3115</v>
      </c>
      <c r="E688" s="2" t="s">
        <v>11</v>
      </c>
      <c r="F688" s="2">
        <v>0</v>
      </c>
      <c r="G688" s="2" t="s">
        <v>1</v>
      </c>
      <c r="H688" s="2" t="s">
        <v>67</v>
      </c>
      <c r="I688" s="2" t="s">
        <v>68</v>
      </c>
      <c r="J688" s="2" t="s">
        <v>330</v>
      </c>
      <c r="K688" s="2" t="s">
        <v>331</v>
      </c>
      <c r="L688" s="2">
        <v>0</v>
      </c>
      <c r="M688" s="2">
        <v>0</v>
      </c>
      <c r="N688" s="2">
        <v>0</v>
      </c>
      <c r="O688" s="2">
        <v>0</v>
      </c>
      <c r="P688" s="2" t="s">
        <v>87</v>
      </c>
      <c r="Q688" s="2">
        <v>0</v>
      </c>
      <c r="R688" s="29" t="e">
        <f>IF(INDEX(#REF!,MATCH('data '!$B688,#REF!,0),MATCH('data '!R$3,#REF!,0))=0,"",INDEX(#REF!,MATCH('data '!$B688,#REF!,0),MATCH('data '!R$3,#REF!,0)))</f>
        <v>#REF!</v>
      </c>
      <c r="S688" s="29" t="e">
        <f>IF(INDEX(#REF!,MATCH('data '!$B688,#REF!,0),MATCH('data '!S$3,#REF!,0))=0,"",INDEX(#REF!,MATCH('data '!$B688,#REF!,0),MATCH('data '!S$3,#REF!,0)))</f>
        <v>#REF!</v>
      </c>
      <c r="T688" s="29" t="e">
        <f>IF(INDEX(#REF!,MATCH('data '!$B688,#REF!,0),MATCH('data '!T$3,#REF!,0))=0,"",INDEX(#REF!,MATCH('data '!$B688,#REF!,0),MATCH('data '!T$3,#REF!,0)))</f>
        <v>#REF!</v>
      </c>
      <c r="V688" s="25" t="s">
        <v>87</v>
      </c>
      <c r="W688" s="25" t="s">
        <v>144</v>
      </c>
      <c r="X688" s="43" t="s">
        <v>25</v>
      </c>
      <c r="Y688" s="43">
        <v>0</v>
      </c>
      <c r="AC688" s="8" t="e">
        <f>VLOOKUP(B688,#REF!,19,0)</f>
        <v>#REF!</v>
      </c>
      <c r="AP688" s="8" t="str">
        <f t="shared" si="28"/>
        <v>BP Secured</v>
      </c>
      <c r="AQ688" s="10" t="b" cm="1">
        <f t="array" aca="1" ref="AQ688" ca="1">IF(AM688&gt;0,(TODAY()-AM688),IF(AL688&gt;0,(TODAY()-AL688),IF(AK688&gt;0,(TODAY()-AK688,IF(AI688&gt;0,(TODAY()-AI688),IF(AG688&gt;0,(TODAY()-AG688),IF(AF688&gt;0,(TODAY()-AF688),IF(X688&gt;0,(TODAY()-X688)," "))))))))</f>
        <v>0</v>
      </c>
      <c r="BD688" s="2" t="str">
        <f t="shared" si="29"/>
        <v>BP Secured</v>
      </c>
      <c r="BE688" s="2" t="e">
        <v>#VALUE!</v>
      </c>
      <c r="BG688" s="2" t="e">
        <v>#N/A</v>
      </c>
    </row>
    <row r="689" spans="2:60" hidden="1" x14ac:dyDescent="0.25">
      <c r="B689" s="2" t="s">
        <v>3116</v>
      </c>
      <c r="C689" s="2" t="s">
        <v>3117</v>
      </c>
      <c r="D689" s="44" t="s">
        <v>3118</v>
      </c>
      <c r="E689" s="2" t="s">
        <v>11</v>
      </c>
      <c r="F689" s="2" t="s">
        <v>3119</v>
      </c>
      <c r="G689" s="2" t="s">
        <v>1</v>
      </c>
      <c r="H689" s="2" t="s">
        <v>165</v>
      </c>
      <c r="I689" s="2" t="s">
        <v>68</v>
      </c>
      <c r="J689" s="2" t="s">
        <v>173</v>
      </c>
      <c r="K689" s="2" t="s">
        <v>710</v>
      </c>
      <c r="L689" s="2" t="s">
        <v>616</v>
      </c>
      <c r="M689" s="2">
        <v>0</v>
      </c>
      <c r="N689" s="2">
        <v>0</v>
      </c>
      <c r="O689" s="2">
        <v>0</v>
      </c>
      <c r="P689" s="2" t="s">
        <v>82</v>
      </c>
      <c r="Q689" s="2" t="s">
        <v>73</v>
      </c>
      <c r="R689" s="29" t="e">
        <f>IF(INDEX(#REF!,MATCH('data '!$B689,#REF!,0),MATCH('data '!R$3,#REF!,0))=0,"",INDEX(#REF!,MATCH('data '!$B689,#REF!,0),MATCH('data '!R$3,#REF!,0)))</f>
        <v>#REF!</v>
      </c>
      <c r="S689" s="29" t="e">
        <f>IF(INDEX(#REF!,MATCH('data '!$B689,#REF!,0),MATCH('data '!S$3,#REF!,0))=0,"",INDEX(#REF!,MATCH('data '!$B689,#REF!,0),MATCH('data '!S$3,#REF!,0)))</f>
        <v>#REF!</v>
      </c>
      <c r="T689" s="29" t="e">
        <f>IF(INDEX(#REF!,MATCH('data '!$B689,#REF!,0),MATCH('data '!T$3,#REF!,0))=0,"",INDEX(#REF!,MATCH('data '!$B689,#REF!,0),MATCH('data '!T$3,#REF!,0)))</f>
        <v>#REF!</v>
      </c>
      <c r="U689" s="8" t="s">
        <v>25</v>
      </c>
      <c r="V689" s="25" t="s">
        <v>87</v>
      </c>
      <c r="W689" s="25" t="s">
        <v>144</v>
      </c>
      <c r="X689" s="61"/>
      <c r="Y689" s="61"/>
      <c r="AC689" s="8" t="e">
        <f>VLOOKUP(B689,#REF!,19,0)</f>
        <v>#REF!</v>
      </c>
      <c r="AE689" s="8" t="s">
        <v>3120</v>
      </c>
      <c r="AF689" s="8">
        <v>45957</v>
      </c>
      <c r="AG689" s="8">
        <v>45957</v>
      </c>
      <c r="AH689" s="8" t="s">
        <v>3121</v>
      </c>
      <c r="AI689" s="8">
        <v>45964</v>
      </c>
      <c r="AJ689" s="8" t="s">
        <v>3122</v>
      </c>
      <c r="AP689" s="8" t="str">
        <f t="shared" si="28"/>
        <v>PO Issued</v>
      </c>
      <c r="AQ689" s="10" t="b" cm="1">
        <f t="array" aca="1" ref="AQ689" ca="1">IF(AM689&gt;0,(TODAY()-AM689),IF(AL689&gt;0,(TODAY()-AL689),IF(AK689&gt;0,(TODAY()-AK689,IF(AI689&gt;0,(TODAY()-AI689),IF(AG689&gt;0,(TODAY()-AG689),IF(AF689&gt;0,(TODAY()-AF689),IF(X689&gt;0,(TODAY()-X689)," "))))))))</f>
        <v>0</v>
      </c>
      <c r="BD689" s="2" t="str">
        <f t="shared" si="29"/>
        <v>Vendor Allocated</v>
      </c>
      <c r="BE689" s="2" t="e">
        <v>#VALUE!</v>
      </c>
      <c r="BG689" s="2" t="e">
        <v>#N/A</v>
      </c>
    </row>
    <row r="690" spans="2:60" hidden="1" x14ac:dyDescent="0.25">
      <c r="B690" s="2" t="s">
        <v>3123</v>
      </c>
      <c r="C690" s="2" t="s">
        <v>3124</v>
      </c>
      <c r="D690" s="44" t="s">
        <v>3125</v>
      </c>
      <c r="E690" s="2" t="s">
        <v>11</v>
      </c>
      <c r="F690" s="2" t="s">
        <v>3119</v>
      </c>
      <c r="G690" s="2" t="s">
        <v>1</v>
      </c>
      <c r="H690" s="2" t="s">
        <v>165</v>
      </c>
      <c r="I690" s="2" t="s">
        <v>68</v>
      </c>
      <c r="J690" s="2" t="s">
        <v>173</v>
      </c>
      <c r="K690" s="2" t="s">
        <v>710</v>
      </c>
      <c r="L690" s="2" t="s">
        <v>616</v>
      </c>
      <c r="M690" s="2">
        <v>0</v>
      </c>
      <c r="N690" s="2">
        <v>8.6098529999999993</v>
      </c>
      <c r="O690" s="2">
        <v>123.685485</v>
      </c>
      <c r="P690" s="2" t="s">
        <v>87</v>
      </c>
      <c r="Q690" s="2" t="s">
        <v>184</v>
      </c>
      <c r="R690" s="29" t="e">
        <f>IF(INDEX(#REF!,MATCH('data '!$B690,#REF!,0),MATCH('data '!R$3,#REF!,0))=0,"",INDEX(#REF!,MATCH('data '!$B690,#REF!,0),MATCH('data '!R$3,#REF!,0)))</f>
        <v>#REF!</v>
      </c>
      <c r="S690" s="29" t="e">
        <f>IF(INDEX(#REF!,MATCH('data '!$B690,#REF!,0),MATCH('data '!S$3,#REF!,0))=0,"",INDEX(#REF!,MATCH('data '!$B690,#REF!,0),MATCH('data '!S$3,#REF!,0)))</f>
        <v>#REF!</v>
      </c>
      <c r="T690" s="29" t="e">
        <f>IF(INDEX(#REF!,MATCH('data '!$B690,#REF!,0),MATCH('data '!T$3,#REF!,0))=0,"",INDEX(#REF!,MATCH('data '!$B690,#REF!,0),MATCH('data '!T$3,#REF!,0)))</f>
        <v>#REF!</v>
      </c>
      <c r="U690" s="8" t="s">
        <v>25</v>
      </c>
      <c r="V690" s="25" t="s">
        <v>266</v>
      </c>
      <c r="W690" s="25" t="s">
        <v>144</v>
      </c>
      <c r="X690" s="43" t="s">
        <v>25</v>
      </c>
      <c r="Y690" s="43">
        <v>45775</v>
      </c>
      <c r="AA690" s="8" t="s">
        <v>3126</v>
      </c>
      <c r="AC690" s="8" t="e">
        <f>VLOOKUP(B690,#REF!,19,0)</f>
        <v>#REF!</v>
      </c>
      <c r="AE690" s="8" t="s">
        <v>497</v>
      </c>
      <c r="AP690" s="8" t="str">
        <f t="shared" si="28"/>
        <v>BP Secured</v>
      </c>
      <c r="AQ690" s="10" t="b" cm="1">
        <f t="array" aca="1" ref="AQ690" ca="1">IF(AM690&gt;0,(TODAY()-AM690),IF(AL690&gt;0,(TODAY()-AL690),IF(AK690&gt;0,(TODAY()-AK690,IF(AI690&gt;0,(TODAY()-AI690),IF(AG690&gt;0,(TODAY()-AG690),IF(AF690&gt;0,(TODAY()-AF690),IF(X690&gt;0,(TODAY()-X690)," "))))))))</f>
        <v>0</v>
      </c>
      <c r="AT690" s="8" t="s">
        <v>155</v>
      </c>
      <c r="AU690" s="8">
        <v>45867</v>
      </c>
      <c r="AV690" s="8">
        <v>45865</v>
      </c>
      <c r="AX690" s="8">
        <v>45868</v>
      </c>
      <c r="BD690" s="2" t="str">
        <f t="shared" si="29"/>
        <v>PO Issued</v>
      </c>
      <c r="BE690" s="2">
        <v>72</v>
      </c>
      <c r="BG690" s="2" t="e">
        <v>#N/A</v>
      </c>
    </row>
    <row r="691" spans="2:60" hidden="1" x14ac:dyDescent="0.25">
      <c r="B691" s="2" t="s">
        <v>3127</v>
      </c>
      <c r="C691" s="2" t="s">
        <v>3128</v>
      </c>
      <c r="D691" s="44" t="s">
        <v>3129</v>
      </c>
      <c r="E691" s="2" t="s">
        <v>6</v>
      </c>
      <c r="F691" s="2" t="s">
        <v>3130</v>
      </c>
      <c r="G691" s="2" t="s">
        <v>1</v>
      </c>
      <c r="H691" s="2" t="s">
        <v>111</v>
      </c>
      <c r="I691" s="2" t="s">
        <v>112</v>
      </c>
      <c r="J691" s="2" t="s">
        <v>344</v>
      </c>
      <c r="K691" s="2" t="s">
        <v>620</v>
      </c>
      <c r="L691" s="2" t="s">
        <v>3131</v>
      </c>
      <c r="M691" s="2">
        <v>0</v>
      </c>
      <c r="N691" s="2">
        <v>0</v>
      </c>
      <c r="O691" s="2">
        <v>0</v>
      </c>
      <c r="P691" s="2" t="s">
        <v>168</v>
      </c>
      <c r="Q691" s="2" t="s">
        <v>73</v>
      </c>
      <c r="R691" s="29" t="e">
        <f>IF(INDEX(#REF!,MATCH('data '!$B691,#REF!,0),MATCH('data '!R$3,#REF!,0))=0,"",INDEX(#REF!,MATCH('data '!$B691,#REF!,0),MATCH('data '!R$3,#REF!,0)))</f>
        <v>#REF!</v>
      </c>
      <c r="S691" s="29" t="e">
        <f>IF(INDEX(#REF!,MATCH('data '!$B691,#REF!,0),MATCH('data '!S$3,#REF!,0))=0,"",INDEX(#REF!,MATCH('data '!$B691,#REF!,0),MATCH('data '!S$3,#REF!,0)))</f>
        <v>#REF!</v>
      </c>
      <c r="T691" s="29" t="e">
        <f>IF(INDEX(#REF!,MATCH('data '!$B691,#REF!,0),MATCH('data '!T$3,#REF!,0))=0,"",INDEX(#REF!,MATCH('data '!$B691,#REF!,0),MATCH('data '!T$3,#REF!,0)))</f>
        <v>#REF!</v>
      </c>
      <c r="U691" s="8" t="s">
        <v>25</v>
      </c>
      <c r="V691" s="25" t="s">
        <v>266</v>
      </c>
      <c r="W691" s="25" t="s">
        <v>144</v>
      </c>
      <c r="X691" s="61"/>
      <c r="Y691" s="61"/>
      <c r="AC691" s="8" t="e">
        <f>VLOOKUP(B691,#REF!,19,0)</f>
        <v>#REF!</v>
      </c>
      <c r="AE691" s="8" t="s">
        <v>621</v>
      </c>
      <c r="AF691" s="8">
        <v>45957</v>
      </c>
      <c r="AG691" s="8">
        <v>45957</v>
      </c>
      <c r="AH691" s="8" t="s">
        <v>622</v>
      </c>
      <c r="AI691" s="8">
        <v>45964</v>
      </c>
      <c r="AJ691" s="8" t="s">
        <v>623</v>
      </c>
      <c r="AP691" s="8" t="str">
        <f t="shared" si="28"/>
        <v>PO Issued</v>
      </c>
      <c r="AQ691" s="10" t="b" cm="1">
        <f t="array" aca="1" ref="AQ691" ca="1">IF(AM691&gt;0,(TODAY()-AM691),IF(AL691&gt;0,(TODAY()-AL691),IF(AK691&gt;0,(TODAY()-AK691,IF(AI691&gt;0,(TODAY()-AI691),IF(AG691&gt;0,(TODAY()-AG691),IF(AF691&gt;0,(TODAY()-AF691),IF(X691&gt;0,(TODAY()-X691)," "))))))))</f>
        <v>0</v>
      </c>
      <c r="BD691" s="2" t="str">
        <f t="shared" si="29"/>
        <v>Vendor Allocated</v>
      </c>
      <c r="BE691" s="2" t="e">
        <v>#VALUE!</v>
      </c>
      <c r="BG691" s="2" t="e">
        <v>#N/A</v>
      </c>
    </row>
    <row r="692" spans="2:60" hidden="1" x14ac:dyDescent="0.25">
      <c r="B692" s="2" t="s">
        <v>3132</v>
      </c>
      <c r="C692" s="2" t="s">
        <v>3133</v>
      </c>
      <c r="D692" s="44" t="s">
        <v>3134</v>
      </c>
      <c r="E692" s="2" t="s">
        <v>6</v>
      </c>
      <c r="F692" s="2" t="s">
        <v>1279</v>
      </c>
      <c r="G692" s="2" t="s">
        <v>1</v>
      </c>
      <c r="H692" s="2" t="s">
        <v>111</v>
      </c>
      <c r="I692" s="2" t="s">
        <v>112</v>
      </c>
      <c r="J692" s="2" t="s">
        <v>344</v>
      </c>
      <c r="K692" s="2" t="s">
        <v>1052</v>
      </c>
      <c r="L692" s="2" t="s">
        <v>3135</v>
      </c>
      <c r="M692" s="2">
        <v>0</v>
      </c>
      <c r="N692" s="2">
        <v>10.464040000000001</v>
      </c>
      <c r="O692" s="2">
        <v>121.98482</v>
      </c>
      <c r="P692" s="2" t="s">
        <v>87</v>
      </c>
      <c r="Q692" s="2" t="s">
        <v>184</v>
      </c>
      <c r="R692" s="29" t="e">
        <f>IF(INDEX(#REF!,MATCH('data '!$B692,#REF!,0),MATCH('data '!R$3,#REF!,0))=0,"",INDEX(#REF!,MATCH('data '!$B692,#REF!,0),MATCH('data '!R$3,#REF!,0)))</f>
        <v>#REF!</v>
      </c>
      <c r="S692" s="29" t="e">
        <f>IF(INDEX(#REF!,MATCH('data '!$B692,#REF!,0),MATCH('data '!S$3,#REF!,0))=0,"",INDEX(#REF!,MATCH('data '!$B692,#REF!,0),MATCH('data '!S$3,#REF!,0)))</f>
        <v>#REF!</v>
      </c>
      <c r="T692" s="29" t="e">
        <f>IF(INDEX(#REF!,MATCH('data '!$B692,#REF!,0),MATCH('data '!T$3,#REF!,0))=0,"",INDEX(#REF!,MATCH('data '!$B692,#REF!,0),MATCH('data '!T$3,#REF!,0)))</f>
        <v>#REF!</v>
      </c>
      <c r="U692" s="8" t="s">
        <v>25</v>
      </c>
      <c r="V692" s="25" t="s">
        <v>266</v>
      </c>
      <c r="W692" s="25" t="s">
        <v>144</v>
      </c>
      <c r="X692" s="9" t="s">
        <v>25</v>
      </c>
      <c r="Y692" s="9">
        <v>45798</v>
      </c>
      <c r="Z692" s="8">
        <v>45722</v>
      </c>
      <c r="AA692" s="8" t="s">
        <v>1972</v>
      </c>
      <c r="AB692" s="8">
        <v>45860</v>
      </c>
      <c r="AC692" s="8" t="e">
        <f>VLOOKUP(B692,#REF!,19,0)</f>
        <v>#REF!</v>
      </c>
      <c r="AE692" s="8" t="s">
        <v>966</v>
      </c>
      <c r="AP692" s="8" t="str">
        <f t="shared" si="28"/>
        <v>BP Secured</v>
      </c>
      <c r="AQ692" s="10" t="b" cm="1">
        <f t="array" aca="1" ref="AQ692" ca="1">IF(AM692&gt;0,(TODAY()-AM692),IF(AL692&gt;0,(TODAY()-AL692),IF(AK692&gt;0,(TODAY()-AK692,IF(AI692&gt;0,(TODAY()-AI692),IF(AG692&gt;0,(TODAY()-AG692),IF(AF692&gt;0,(TODAY()-AF692),IF(X692&gt;0,(TODAY()-X692)," "))))))))</f>
        <v>0</v>
      </c>
      <c r="AT692" s="8" t="s">
        <v>155</v>
      </c>
      <c r="AU692" s="8">
        <v>45835</v>
      </c>
      <c r="AV692" s="8">
        <v>45835</v>
      </c>
      <c r="AX692" s="8">
        <v>45838</v>
      </c>
      <c r="BD692" s="2" t="str">
        <f t="shared" si="29"/>
        <v>PO Issued</v>
      </c>
      <c r="BE692" s="2">
        <v>102</v>
      </c>
      <c r="BG692" s="2" t="e">
        <v>#N/A</v>
      </c>
    </row>
    <row r="693" spans="2:60" hidden="1" x14ac:dyDescent="0.25">
      <c r="B693" s="2" t="s">
        <v>3136</v>
      </c>
      <c r="C693" s="2" t="s">
        <v>3137</v>
      </c>
      <c r="D693" s="44" t="s">
        <v>3138</v>
      </c>
      <c r="E693" s="2" t="s">
        <v>6</v>
      </c>
      <c r="F693" s="2" t="s">
        <v>1287</v>
      </c>
      <c r="G693" s="2" t="s">
        <v>1</v>
      </c>
      <c r="H693" s="2" t="s">
        <v>111</v>
      </c>
      <c r="I693" s="2" t="s">
        <v>112</v>
      </c>
      <c r="J693" s="2" t="s">
        <v>113</v>
      </c>
      <c r="K693" s="2" t="s">
        <v>202</v>
      </c>
      <c r="L693" s="2" t="s">
        <v>3139</v>
      </c>
      <c r="M693" s="2" t="s">
        <v>3140</v>
      </c>
      <c r="N693" s="2">
        <v>9.8712199999999992</v>
      </c>
      <c r="O693" s="2">
        <v>123.85526</v>
      </c>
      <c r="P693" s="2" t="s">
        <v>204</v>
      </c>
      <c r="Q693" s="2" t="s">
        <v>73</v>
      </c>
      <c r="R693" s="29" t="e">
        <f>IF(INDEX(#REF!,MATCH('data '!$B693,#REF!,0),MATCH('data '!R$3,#REF!,0))=0,"",INDEX(#REF!,MATCH('data '!$B693,#REF!,0),MATCH('data '!R$3,#REF!,0)))</f>
        <v>#REF!</v>
      </c>
      <c r="S693" s="29" t="e">
        <f>IF(INDEX(#REF!,MATCH('data '!$B693,#REF!,0),MATCH('data '!S$3,#REF!,0))=0,"",INDEX(#REF!,MATCH('data '!$B693,#REF!,0),MATCH('data '!S$3,#REF!,0)))</f>
        <v>#REF!</v>
      </c>
      <c r="T693" s="29" t="e">
        <f>IF(INDEX(#REF!,MATCH('data '!$B693,#REF!,0),MATCH('data '!T$3,#REF!,0))=0,"",INDEX(#REF!,MATCH('data '!$B693,#REF!,0),MATCH('data '!T$3,#REF!,0)))</f>
        <v>#REF!</v>
      </c>
      <c r="U693" s="8" t="s">
        <v>25</v>
      </c>
      <c r="V693" s="25" t="s">
        <v>160</v>
      </c>
      <c r="W693" s="25" t="s">
        <v>144</v>
      </c>
      <c r="X693" s="9" t="s">
        <v>25</v>
      </c>
      <c r="Y693" s="9">
        <v>45952</v>
      </c>
      <c r="AC693" s="8" t="e">
        <f>VLOOKUP(B693,#REF!,19,0)</f>
        <v>#REF!</v>
      </c>
      <c r="AP693" s="8" t="str">
        <f t="shared" si="28"/>
        <v>BP Secured</v>
      </c>
      <c r="AQ693" s="10" t="b" cm="1">
        <f t="array" aca="1" ref="AQ693" ca="1">IF(AM693&gt;0,(TODAY()-AM693),IF(AL693&gt;0,(TODAY()-AL693),IF(AK693&gt;0,(TODAY()-AK693,IF(AI693&gt;0,(TODAY()-AI693),IF(AG693&gt;0,(TODAY()-AG693),IF(AF693&gt;0,(TODAY()-AF693),IF(X693&gt;0,(TODAY()-X693)," "))))))))</f>
        <v>0</v>
      </c>
      <c r="BD693" s="2" t="str">
        <f t="shared" si="29"/>
        <v>BP Secured</v>
      </c>
      <c r="BE693" s="2" t="e">
        <v>#VALUE!</v>
      </c>
      <c r="BG693" s="2" t="e">
        <v>#N/A</v>
      </c>
    </row>
    <row r="694" spans="2:60" hidden="1" x14ac:dyDescent="0.25">
      <c r="B694" s="2" t="s">
        <v>3141</v>
      </c>
      <c r="C694" s="2" t="s">
        <v>3142</v>
      </c>
      <c r="D694" s="44" t="s">
        <v>3143</v>
      </c>
      <c r="E694" s="2" t="s">
        <v>6</v>
      </c>
      <c r="F694" s="2" t="s">
        <v>1287</v>
      </c>
      <c r="G694" s="2" t="s">
        <v>1</v>
      </c>
      <c r="H694" s="2" t="s">
        <v>111</v>
      </c>
      <c r="I694" s="2" t="s">
        <v>112</v>
      </c>
      <c r="J694" s="2" t="s">
        <v>113</v>
      </c>
      <c r="K694" s="2" t="s">
        <v>202</v>
      </c>
      <c r="L694" s="2" t="s">
        <v>3139</v>
      </c>
      <c r="M694" s="2">
        <v>0</v>
      </c>
      <c r="N694" s="2">
        <v>9.8767300000000002</v>
      </c>
      <c r="O694" s="2">
        <v>123.9024</v>
      </c>
      <c r="P694" s="2" t="s">
        <v>87</v>
      </c>
      <c r="Q694" s="2" t="s">
        <v>184</v>
      </c>
      <c r="R694" s="29" t="e">
        <f>IF(INDEX(#REF!,MATCH('data '!$B694,#REF!,0),MATCH('data '!R$3,#REF!,0))=0,"",INDEX(#REF!,MATCH('data '!$B694,#REF!,0),MATCH('data '!R$3,#REF!,0)))</f>
        <v>#REF!</v>
      </c>
      <c r="S694" s="29" t="e">
        <f>IF(INDEX(#REF!,MATCH('data '!$B694,#REF!,0),MATCH('data '!S$3,#REF!,0))=0,"",INDEX(#REF!,MATCH('data '!$B694,#REF!,0),MATCH('data '!S$3,#REF!,0)))</f>
        <v>#REF!</v>
      </c>
      <c r="T694" s="29" t="e">
        <f>IF(INDEX(#REF!,MATCH('data '!$B694,#REF!,0),MATCH('data '!T$3,#REF!,0))=0,"",INDEX(#REF!,MATCH('data '!$B694,#REF!,0),MATCH('data '!T$3,#REF!,0)))</f>
        <v>#REF!</v>
      </c>
      <c r="U694" s="8" t="s">
        <v>25</v>
      </c>
      <c r="V694" s="25" t="s">
        <v>266</v>
      </c>
      <c r="W694" s="25" t="s">
        <v>144</v>
      </c>
      <c r="X694" s="9" t="s">
        <v>25</v>
      </c>
      <c r="Y694" s="9">
        <v>45777</v>
      </c>
      <c r="Z694" s="8">
        <v>45843</v>
      </c>
      <c r="AA694" s="8" t="s">
        <v>3144</v>
      </c>
      <c r="AB694" s="8">
        <v>45915</v>
      </c>
      <c r="AC694" s="8" t="e">
        <f>VLOOKUP(B694,#REF!,19,0)</f>
        <v>#REF!</v>
      </c>
      <c r="AE694" s="8" t="s">
        <v>1289</v>
      </c>
      <c r="AP694" s="8" t="str">
        <f t="shared" si="28"/>
        <v>BP Secured</v>
      </c>
      <c r="AQ694" s="10" t="b" cm="1">
        <f t="array" aca="1" ref="AQ694" ca="1">IF(AM694&gt;0,(TODAY()-AM694),IF(AL694&gt;0,(TODAY()-AL694),IF(AK694&gt;0,(TODAY()-AK694,IF(AI694&gt;0,(TODAY()-AI694),IF(AG694&gt;0,(TODAY()-AG694),IF(AF694&gt;0,(TODAY()-AF694),IF(X694&gt;0,(TODAY()-X694)," "))))))))</f>
        <v>0</v>
      </c>
      <c r="AT694" s="8" t="s">
        <v>155</v>
      </c>
      <c r="AU694" s="8">
        <v>45846</v>
      </c>
      <c r="AV694" s="8">
        <v>45849</v>
      </c>
      <c r="AX694" s="8">
        <v>45852</v>
      </c>
      <c r="BD694" s="2" t="str">
        <f t="shared" si="29"/>
        <v>PO Issued</v>
      </c>
      <c r="BE694" s="2">
        <v>88</v>
      </c>
      <c r="BG694" s="2" t="e">
        <v>#N/A</v>
      </c>
    </row>
    <row r="695" spans="2:60" hidden="1" x14ac:dyDescent="0.25">
      <c r="B695" s="2" t="s">
        <v>3145</v>
      </c>
      <c r="C695" s="2" t="s">
        <v>3146</v>
      </c>
      <c r="D695" s="44" t="s">
        <v>3147</v>
      </c>
      <c r="E695" s="2" t="s">
        <v>11</v>
      </c>
      <c r="F695" s="2" t="s">
        <v>302</v>
      </c>
      <c r="G695" s="2" t="s">
        <v>1</v>
      </c>
      <c r="H695" s="2" t="s">
        <v>165</v>
      </c>
      <c r="I695" s="2" t="s">
        <v>68</v>
      </c>
      <c r="J695" s="2" t="s">
        <v>173</v>
      </c>
      <c r="K695" s="2" t="s">
        <v>303</v>
      </c>
      <c r="L695" s="2" t="s">
        <v>470</v>
      </c>
      <c r="M695" s="2" t="s">
        <v>639</v>
      </c>
      <c r="N695" s="2">
        <v>8.025048</v>
      </c>
      <c r="O695" s="2">
        <v>124.98311</v>
      </c>
      <c r="P695" s="2" t="s">
        <v>87</v>
      </c>
      <c r="Q695" s="2" t="s">
        <v>184</v>
      </c>
      <c r="R695" s="29" t="e">
        <f>IF(INDEX(#REF!,MATCH('data '!$B695,#REF!,0),MATCH('data '!R$3,#REF!,0))=0,"",INDEX(#REF!,MATCH('data '!$B695,#REF!,0),MATCH('data '!R$3,#REF!,0)))</f>
        <v>#REF!</v>
      </c>
      <c r="S695" s="29" t="e">
        <f>IF(INDEX(#REF!,MATCH('data '!$B695,#REF!,0),MATCH('data '!S$3,#REF!,0))=0,"",INDEX(#REF!,MATCH('data '!$B695,#REF!,0),MATCH('data '!S$3,#REF!,0)))</f>
        <v>#REF!</v>
      </c>
      <c r="T695" s="29" t="e">
        <f>IF(INDEX(#REF!,MATCH('data '!$B695,#REF!,0),MATCH('data '!T$3,#REF!,0))=0,"",INDEX(#REF!,MATCH('data '!$B695,#REF!,0),MATCH('data '!T$3,#REF!,0)))</f>
        <v>#REF!</v>
      </c>
      <c r="U695" s="8" t="s">
        <v>25</v>
      </c>
      <c r="V695" s="25" t="s">
        <v>266</v>
      </c>
      <c r="W695" s="25" t="s">
        <v>144</v>
      </c>
      <c r="X695" s="43" t="s">
        <v>25</v>
      </c>
      <c r="Y695" s="43">
        <v>45736</v>
      </c>
      <c r="Z695" s="8">
        <v>45720</v>
      </c>
      <c r="AA695" s="8" t="s">
        <v>3148</v>
      </c>
      <c r="AB695" s="8">
        <v>45926</v>
      </c>
      <c r="AC695" s="8" t="e">
        <f>VLOOKUP(B695,#REF!,19,0)</f>
        <v>#REF!</v>
      </c>
      <c r="AE695" s="8" t="s">
        <v>472</v>
      </c>
      <c r="AP695" s="8" t="str">
        <f t="shared" si="28"/>
        <v>BP Secured</v>
      </c>
      <c r="AQ695" s="10" t="b" cm="1">
        <f t="array" aca="1" ref="AQ695" ca="1">IF(AM695&gt;0,(TODAY()-AM695),IF(AL695&gt;0,(TODAY()-AL695),IF(AK695&gt;0,(TODAY()-AK695,IF(AI695&gt;0,(TODAY()-AI695),IF(AG695&gt;0,(TODAY()-AG695),IF(AF695&gt;0,(TODAY()-AF695),IF(X695&gt;0,(TODAY()-X695)," "))))))))</f>
        <v>0</v>
      </c>
      <c r="AT695" s="8" t="s">
        <v>155</v>
      </c>
      <c r="AU695" s="8">
        <v>45784</v>
      </c>
      <c r="AV695" s="8">
        <v>45783</v>
      </c>
      <c r="AX695" s="8">
        <v>45786</v>
      </c>
      <c r="BD695" s="2" t="str">
        <f t="shared" si="29"/>
        <v>PO Issued</v>
      </c>
      <c r="BE695" s="2">
        <v>154</v>
      </c>
      <c r="BG695" s="2" t="e">
        <v>#N/A</v>
      </c>
    </row>
    <row r="696" spans="2:60" hidden="1" x14ac:dyDescent="0.25">
      <c r="B696" s="2" t="s">
        <v>3149</v>
      </c>
      <c r="C696" s="2" t="s">
        <v>3150</v>
      </c>
      <c r="D696" s="44" t="s">
        <v>3151</v>
      </c>
      <c r="E696" s="2" t="s">
        <v>11</v>
      </c>
      <c r="F696" s="2" t="s">
        <v>591</v>
      </c>
      <c r="G696" s="2" t="s">
        <v>1</v>
      </c>
      <c r="H696" s="2" t="s">
        <v>165</v>
      </c>
      <c r="I696" s="2" t="s">
        <v>68</v>
      </c>
      <c r="J696" s="2" t="s">
        <v>173</v>
      </c>
      <c r="K696" s="2" t="s">
        <v>592</v>
      </c>
      <c r="L696" s="2" t="s">
        <v>593</v>
      </c>
      <c r="M696" s="2">
        <v>0</v>
      </c>
      <c r="N696" s="2">
        <v>0</v>
      </c>
      <c r="O696" s="2">
        <v>0</v>
      </c>
      <c r="P696" s="2" t="s">
        <v>116</v>
      </c>
      <c r="Q696" s="2" t="s">
        <v>73</v>
      </c>
      <c r="R696" s="29" t="e">
        <f>IF(INDEX(#REF!,MATCH('data '!$B696,#REF!,0),MATCH('data '!R$3,#REF!,0))=0,"",INDEX(#REF!,MATCH('data '!$B696,#REF!,0),MATCH('data '!R$3,#REF!,0)))</f>
        <v>#REF!</v>
      </c>
      <c r="S696" s="29" t="e">
        <f>IF(INDEX(#REF!,MATCH('data '!$B696,#REF!,0),MATCH('data '!S$3,#REF!,0))=0,"",INDEX(#REF!,MATCH('data '!$B696,#REF!,0),MATCH('data '!S$3,#REF!,0)))</f>
        <v>#REF!</v>
      </c>
      <c r="T696" s="29" t="e">
        <f>IF(INDEX(#REF!,MATCH('data '!$B696,#REF!,0),MATCH('data '!T$3,#REF!,0))=0,"",INDEX(#REF!,MATCH('data '!$B696,#REF!,0),MATCH('data '!T$3,#REF!,0)))</f>
        <v>#REF!</v>
      </c>
      <c r="V696" s="25" t="s">
        <v>74</v>
      </c>
      <c r="W696" s="25">
        <v>0</v>
      </c>
      <c r="AC696" s="8" t="e">
        <f>VLOOKUP(B696,#REF!,19,0)</f>
        <v>#REF!</v>
      </c>
      <c r="AP696" s="8" t="str">
        <f t="shared" si="28"/>
        <v>Not yet endorsed</v>
      </c>
      <c r="AQ696" s="10" t="b" cm="1">
        <f t="array" aca="1" ref="AQ696" ca="1">IF(AM696&gt;0,(TODAY()-AM696),IF(AL696&gt;0,(TODAY()-AL696),IF(AK696&gt;0,(TODAY()-AK696,IF(AI696&gt;0,(TODAY()-AI696),IF(AG696&gt;0,(TODAY()-AG696),IF(AF696&gt;0,(TODAY()-AF696),IF(X696&gt;0,(TODAY()-X696)," "))))))))</f>
        <v>0</v>
      </c>
      <c r="BD696" s="2" t="str">
        <f t="shared" si="29"/>
        <v>Not yet endorsed</v>
      </c>
      <c r="BE696" s="2" t="s">
        <v>75</v>
      </c>
      <c r="BG696" s="2" t="e">
        <v>#N/A</v>
      </c>
    </row>
    <row r="697" spans="2:60" hidden="1" x14ac:dyDescent="0.25">
      <c r="B697" s="2" t="s">
        <v>3152</v>
      </c>
      <c r="C697" s="2" t="s">
        <v>3153</v>
      </c>
      <c r="D697" s="44" t="s">
        <v>3154</v>
      </c>
      <c r="E697" s="2" t="s">
        <v>11</v>
      </c>
      <c r="F697" s="2" t="s">
        <v>1268</v>
      </c>
      <c r="G697" s="2" t="s">
        <v>1</v>
      </c>
      <c r="H697" s="2" t="s">
        <v>165</v>
      </c>
      <c r="I697" s="2" t="s">
        <v>68</v>
      </c>
      <c r="J697" s="2" t="s">
        <v>173</v>
      </c>
      <c r="K697" s="2" t="s">
        <v>303</v>
      </c>
      <c r="L697" s="2" t="s">
        <v>1572</v>
      </c>
      <c r="M697" s="2" t="s">
        <v>639</v>
      </c>
      <c r="N697" s="2">
        <v>7.6645899999999996</v>
      </c>
      <c r="O697" s="2">
        <v>125.10921</v>
      </c>
      <c r="P697" s="2" t="s">
        <v>87</v>
      </c>
      <c r="Q697" s="2" t="s">
        <v>184</v>
      </c>
      <c r="R697" s="29" t="e">
        <f>IF(INDEX(#REF!,MATCH('data '!$B697,#REF!,0),MATCH('data '!R$3,#REF!,0))=0,"",INDEX(#REF!,MATCH('data '!$B697,#REF!,0),MATCH('data '!R$3,#REF!,0)))</f>
        <v>#REF!</v>
      </c>
      <c r="S697" s="29" t="e">
        <f>IF(INDEX(#REF!,MATCH('data '!$B697,#REF!,0),MATCH('data '!S$3,#REF!,0))=0,"",INDEX(#REF!,MATCH('data '!$B697,#REF!,0),MATCH('data '!S$3,#REF!,0)))</f>
        <v>#REF!</v>
      </c>
      <c r="T697" s="29" t="e">
        <f>IF(INDEX(#REF!,MATCH('data '!$B697,#REF!,0),MATCH('data '!T$3,#REF!,0))=0,"",INDEX(#REF!,MATCH('data '!$B697,#REF!,0),MATCH('data '!T$3,#REF!,0)))</f>
        <v>#REF!</v>
      </c>
      <c r="U697" s="8" t="s">
        <v>25</v>
      </c>
      <c r="V697" s="25" t="s">
        <v>266</v>
      </c>
      <c r="W697" s="25" t="s">
        <v>144</v>
      </c>
      <c r="X697" s="9" t="s">
        <v>25</v>
      </c>
      <c r="Y697" s="9">
        <v>45728</v>
      </c>
      <c r="AA697" s="8">
        <v>45905</v>
      </c>
      <c r="AB697" s="8">
        <v>45931</v>
      </c>
      <c r="AC697" s="8" t="e">
        <f>VLOOKUP(B697,#REF!,19,0)</f>
        <v>#REF!</v>
      </c>
      <c r="AE697" s="8" t="s">
        <v>472</v>
      </c>
      <c r="AP697" s="8" t="str">
        <f t="shared" si="28"/>
        <v>BP Secured</v>
      </c>
      <c r="AQ697" s="10" t="b" cm="1">
        <f t="array" aca="1" ref="AQ697" ca="1">IF(AM697&gt;0,(TODAY()-AM697),IF(AL697&gt;0,(TODAY()-AL697),IF(AK697&gt;0,(TODAY()-AK697,IF(AI697&gt;0,(TODAY()-AI697),IF(AG697&gt;0,(TODAY()-AG697),IF(AF697&gt;0,(TODAY()-AF697),IF(X697&gt;0,(TODAY()-X697)," "))))))))</f>
        <v>0</v>
      </c>
      <c r="AT697" s="8" t="s">
        <v>155</v>
      </c>
      <c r="AU697" s="8">
        <v>45784</v>
      </c>
      <c r="AV697" s="8">
        <v>45783</v>
      </c>
      <c r="AX697" s="8">
        <v>45786</v>
      </c>
      <c r="BD697" s="2" t="str">
        <f t="shared" si="29"/>
        <v>PO Issued</v>
      </c>
      <c r="BE697" s="2">
        <v>154</v>
      </c>
      <c r="BG697" s="2" t="e">
        <v>#N/A</v>
      </c>
    </row>
    <row r="698" spans="2:60" hidden="1" x14ac:dyDescent="0.25">
      <c r="B698" s="2" t="s">
        <v>3155</v>
      </c>
      <c r="C698" s="2" t="s">
        <v>3156</v>
      </c>
      <c r="D698" s="44" t="s">
        <v>3157</v>
      </c>
      <c r="E698" s="2" t="s">
        <v>5</v>
      </c>
      <c r="F698" s="2" t="s">
        <v>813</v>
      </c>
      <c r="G698" s="2" t="s">
        <v>1</v>
      </c>
      <c r="H698" s="2" t="s">
        <v>120</v>
      </c>
      <c r="I698" s="2" t="s">
        <v>140</v>
      </c>
      <c r="J698" s="2" t="s">
        <v>141</v>
      </c>
      <c r="K698" s="2" t="s">
        <v>370</v>
      </c>
      <c r="L698" s="2" t="s">
        <v>814</v>
      </c>
      <c r="M698" s="2">
        <v>0</v>
      </c>
      <c r="N698" s="2">
        <v>0</v>
      </c>
      <c r="O698" s="2">
        <v>0</v>
      </c>
      <c r="P698" s="2" t="s">
        <v>72</v>
      </c>
      <c r="Q698" s="2" t="s">
        <v>73</v>
      </c>
      <c r="R698" s="29" t="e">
        <f>IF(INDEX(#REF!,MATCH('data '!$B698,#REF!,0),MATCH('data '!R$3,#REF!,0))=0,"",INDEX(#REF!,MATCH('data '!$B698,#REF!,0),MATCH('data '!R$3,#REF!,0)))</f>
        <v>#REF!</v>
      </c>
      <c r="S698" s="29" t="e">
        <f>IF(INDEX(#REF!,MATCH('data '!$B698,#REF!,0),MATCH('data '!S$3,#REF!,0))=0,"",INDEX(#REF!,MATCH('data '!$B698,#REF!,0),MATCH('data '!S$3,#REF!,0)))</f>
        <v>#REF!</v>
      </c>
      <c r="T698" s="29" t="e">
        <f>IF(INDEX(#REF!,MATCH('data '!$B698,#REF!,0),MATCH('data '!T$3,#REF!,0))=0,"",INDEX(#REF!,MATCH('data '!$B698,#REF!,0),MATCH('data '!T$3,#REF!,0)))</f>
        <v>#REF!</v>
      </c>
      <c r="V698" s="25" t="s">
        <v>74</v>
      </c>
      <c r="W698" s="25">
        <v>0</v>
      </c>
      <c r="AC698" s="8" t="e">
        <f>VLOOKUP(B698,#REF!,19,0)</f>
        <v>#REF!</v>
      </c>
      <c r="AE698" s="8" t="s">
        <v>295</v>
      </c>
      <c r="AP698" s="8" t="str">
        <f t="shared" si="28"/>
        <v>Not yet endorsed</v>
      </c>
      <c r="AQ698" s="10" t="b" cm="1">
        <f t="array" aca="1" ref="AQ698" ca="1">IF(AM698&gt;0,(TODAY()-AM698),IF(AL698&gt;0,(TODAY()-AL698),IF(AK698&gt;0,(TODAY()-AK698,IF(AI698&gt;0,(TODAY()-AI698),IF(AG698&gt;0,(TODAY()-AG698),IF(AF698&gt;0,(TODAY()-AF698),IF(X698&gt;0,(TODAY()-X698)," "))))))))</f>
        <v>0</v>
      </c>
      <c r="BD698" s="2" t="str">
        <f t="shared" si="29"/>
        <v>Not yet endorsed</v>
      </c>
      <c r="BE698" s="2" t="s">
        <v>75</v>
      </c>
      <c r="BG698" s="2" t="e">
        <v>#N/A</v>
      </c>
      <c r="BH698" s="2" t="e" vm="1">
        <v>#REF!</v>
      </c>
    </row>
    <row r="699" spans="2:60" hidden="1" x14ac:dyDescent="0.25">
      <c r="B699" s="2" t="s">
        <v>3158</v>
      </c>
      <c r="C699" s="2" t="s">
        <v>3159</v>
      </c>
      <c r="D699" s="44" t="s">
        <v>3160</v>
      </c>
      <c r="E699" s="2" t="s">
        <v>11</v>
      </c>
      <c r="F699" s="2" t="s">
        <v>302</v>
      </c>
      <c r="G699" s="2" t="s">
        <v>1</v>
      </c>
      <c r="H699" s="2" t="s">
        <v>165</v>
      </c>
      <c r="I699" s="2" t="s">
        <v>68</v>
      </c>
      <c r="J699" s="2" t="s">
        <v>173</v>
      </c>
      <c r="K699" s="2" t="s">
        <v>303</v>
      </c>
      <c r="L699" s="2" t="s">
        <v>1002</v>
      </c>
      <c r="M699" s="2" t="s">
        <v>3161</v>
      </c>
      <c r="N699" s="2">
        <v>8.4403000000000006</v>
      </c>
      <c r="O699" s="2">
        <v>124.81789999999999</v>
      </c>
      <c r="P699" s="2" t="s">
        <v>87</v>
      </c>
      <c r="Q699" s="2" t="s">
        <v>184</v>
      </c>
      <c r="R699" s="29" t="e">
        <f>IF(INDEX(#REF!,MATCH('data '!$B699,#REF!,0),MATCH('data '!R$3,#REF!,0))=0,"",INDEX(#REF!,MATCH('data '!$B699,#REF!,0),MATCH('data '!R$3,#REF!,0)))</f>
        <v>#REF!</v>
      </c>
      <c r="S699" s="29" t="e">
        <f>IF(INDEX(#REF!,MATCH('data '!$B699,#REF!,0),MATCH('data '!S$3,#REF!,0))=0,"",INDEX(#REF!,MATCH('data '!$B699,#REF!,0),MATCH('data '!S$3,#REF!,0)))</f>
        <v>#REF!</v>
      </c>
      <c r="T699" s="29" t="e">
        <f>IF(INDEX(#REF!,MATCH('data '!$B699,#REF!,0),MATCH('data '!T$3,#REF!,0))=0,"",INDEX(#REF!,MATCH('data '!$B699,#REF!,0),MATCH('data '!T$3,#REF!,0)))</f>
        <v>#REF!</v>
      </c>
      <c r="U699" s="8" t="s">
        <v>25</v>
      </c>
      <c r="V699" s="25" t="s">
        <v>266</v>
      </c>
      <c r="W699" s="25" t="s">
        <v>144</v>
      </c>
      <c r="X699" s="9" t="s">
        <v>25</v>
      </c>
      <c r="Y699" s="9">
        <v>45762</v>
      </c>
      <c r="AA699" s="8">
        <v>45937</v>
      </c>
      <c r="AC699" s="8" t="e">
        <f>VLOOKUP(B699,#REF!,19,0)</f>
        <v>#REF!</v>
      </c>
      <c r="AE699" s="8" t="s">
        <v>472</v>
      </c>
      <c r="AP699" s="8" t="str">
        <f t="shared" si="28"/>
        <v>BP Secured</v>
      </c>
      <c r="AQ699" s="10" t="b" cm="1">
        <f t="array" aca="1" ref="AQ699" ca="1">IF(AM699&gt;0,(TODAY()-AM699),IF(AL699&gt;0,(TODAY()-AL699),IF(AK699&gt;0,(TODAY()-AK699,IF(AI699&gt;0,(TODAY()-AI699),IF(AG699&gt;0,(TODAY()-AG699),IF(AF699&gt;0,(TODAY()-AF699),IF(X699&gt;0,(TODAY()-X699)," "))))))))</f>
        <v>0</v>
      </c>
      <c r="AT699" s="8" t="s">
        <v>155</v>
      </c>
      <c r="AU699" s="8">
        <v>45791</v>
      </c>
      <c r="AV699" s="8">
        <v>45789</v>
      </c>
      <c r="AX699" s="8">
        <v>45792</v>
      </c>
      <c r="BD699" s="2" t="str">
        <f t="shared" si="29"/>
        <v>PO Issued</v>
      </c>
      <c r="BE699" s="2">
        <v>148</v>
      </c>
      <c r="BG699" s="2" t="e">
        <v>#N/A</v>
      </c>
    </row>
    <row r="700" spans="2:60" hidden="1" x14ac:dyDescent="0.25">
      <c r="B700" s="2" t="s">
        <v>3162</v>
      </c>
      <c r="C700" s="2" t="s">
        <v>3163</v>
      </c>
      <c r="D700" s="44" t="s">
        <v>3164</v>
      </c>
      <c r="E700" s="2" t="s">
        <v>4</v>
      </c>
      <c r="F700" s="2" t="s">
        <v>2209</v>
      </c>
      <c r="G700" s="2" t="s">
        <v>1</v>
      </c>
      <c r="H700" s="2" t="s">
        <v>139</v>
      </c>
      <c r="I700" s="2" t="s">
        <v>140</v>
      </c>
      <c r="J700" s="2" t="s">
        <v>122</v>
      </c>
      <c r="K700" s="2" t="s">
        <v>637</v>
      </c>
      <c r="L700" s="2" t="s">
        <v>3165</v>
      </c>
      <c r="M700" s="2">
        <v>0</v>
      </c>
      <c r="N700" s="2">
        <v>15.467203</v>
      </c>
      <c r="O700" s="2">
        <v>120.653482</v>
      </c>
      <c r="P700" s="2" t="s">
        <v>87</v>
      </c>
      <c r="Q700" s="2" t="s">
        <v>198</v>
      </c>
      <c r="R700" s="29" t="e">
        <f>IF(INDEX(#REF!,MATCH('data '!$B700,#REF!,0),MATCH('data '!R$3,#REF!,0))=0,"",INDEX(#REF!,MATCH('data '!$B700,#REF!,0),MATCH('data '!R$3,#REF!,0)))</f>
        <v>#REF!</v>
      </c>
      <c r="S700" s="29" t="e">
        <f>IF(INDEX(#REF!,MATCH('data '!$B700,#REF!,0),MATCH('data '!S$3,#REF!,0))=0,"",INDEX(#REF!,MATCH('data '!$B700,#REF!,0),MATCH('data '!S$3,#REF!,0)))</f>
        <v>#REF!</v>
      </c>
      <c r="T700" s="29" t="e">
        <f>IF(INDEX(#REF!,MATCH('data '!$B700,#REF!,0),MATCH('data '!T$3,#REF!,0))=0,"",INDEX(#REF!,MATCH('data '!$B700,#REF!,0),MATCH('data '!T$3,#REF!,0)))</f>
        <v>#REF!</v>
      </c>
      <c r="V700" s="25" t="s">
        <v>266</v>
      </c>
      <c r="W700" s="25" t="s">
        <v>144</v>
      </c>
      <c r="X700" s="9" t="s">
        <v>25</v>
      </c>
      <c r="Y700" s="9">
        <v>45854</v>
      </c>
      <c r="Z700" s="8">
        <v>45816</v>
      </c>
      <c r="AC700" s="8" t="e">
        <f>VLOOKUP(B700,#REF!,19,0)</f>
        <v>#REF!</v>
      </c>
      <c r="AE700" s="8" t="s">
        <v>1681</v>
      </c>
      <c r="AF700" s="8">
        <v>45908</v>
      </c>
      <c r="AG700" s="8">
        <v>45908</v>
      </c>
      <c r="AH700" s="8" t="s">
        <v>2031</v>
      </c>
      <c r="AI700" s="8">
        <v>45909</v>
      </c>
      <c r="AJ700" s="8" t="s">
        <v>2032</v>
      </c>
      <c r="AK700" s="8">
        <v>45923</v>
      </c>
      <c r="AL700" s="8">
        <v>45924</v>
      </c>
      <c r="AM700" s="8">
        <v>45954</v>
      </c>
      <c r="AP700" s="8" t="str">
        <f t="shared" si="28"/>
        <v>Tempo Energized</v>
      </c>
      <c r="AR700" s="10" t="s">
        <v>3166</v>
      </c>
      <c r="AS700" s="8" t="s">
        <v>3167</v>
      </c>
      <c r="AT700" s="8">
        <v>45943</v>
      </c>
      <c r="AU700" s="8">
        <v>45950</v>
      </c>
      <c r="AV700" s="8">
        <v>45950</v>
      </c>
      <c r="AW700" s="8" t="s">
        <v>3168</v>
      </c>
      <c r="AX700" s="8">
        <v>45967</v>
      </c>
      <c r="AY700" s="8" t="s">
        <v>3169</v>
      </c>
      <c r="BD700" s="2" t="str">
        <f t="shared" si="29"/>
        <v>PO Issued</v>
      </c>
      <c r="BF700" s="2" t="s">
        <v>2147</v>
      </c>
      <c r="BG700" s="2" t="e">
        <v>#N/A</v>
      </c>
      <c r="BH700" s="2" t="s">
        <v>2252</v>
      </c>
    </row>
    <row r="701" spans="2:60" hidden="1" x14ac:dyDescent="0.25">
      <c r="B701" s="2" t="s">
        <v>3170</v>
      </c>
      <c r="C701" s="2" t="s">
        <v>3171</v>
      </c>
      <c r="D701" s="44" t="s">
        <v>3172</v>
      </c>
      <c r="E701" s="2" t="s">
        <v>11</v>
      </c>
      <c r="F701" s="2" t="s">
        <v>591</v>
      </c>
      <c r="G701" s="2" t="s">
        <v>1</v>
      </c>
      <c r="H701" s="2" t="s">
        <v>165</v>
      </c>
      <c r="I701" s="2" t="s">
        <v>68</v>
      </c>
      <c r="J701" s="2" t="s">
        <v>173</v>
      </c>
      <c r="K701" s="2" t="s">
        <v>592</v>
      </c>
      <c r="L701" s="2" t="s">
        <v>593</v>
      </c>
      <c r="M701" s="2">
        <v>0</v>
      </c>
      <c r="N701" s="2">
        <v>8.4680499999999999</v>
      </c>
      <c r="O701" s="2">
        <v>124.59067</v>
      </c>
      <c r="P701" s="2" t="s">
        <v>87</v>
      </c>
      <c r="Q701" s="2" t="s">
        <v>227</v>
      </c>
      <c r="R701" s="29" t="e">
        <f>IF(INDEX(#REF!,MATCH('data '!$B701,#REF!,0),MATCH('data '!R$3,#REF!,0))=0,"",INDEX(#REF!,MATCH('data '!$B701,#REF!,0),MATCH('data '!R$3,#REF!,0)))</f>
        <v>#REF!</v>
      </c>
      <c r="S701" s="29" t="e">
        <f>IF(INDEX(#REF!,MATCH('data '!$B701,#REF!,0),MATCH('data '!S$3,#REF!,0))=0,"",INDEX(#REF!,MATCH('data '!$B701,#REF!,0),MATCH('data '!S$3,#REF!,0)))</f>
        <v>#REF!</v>
      </c>
      <c r="T701" s="29" t="e">
        <f>IF(INDEX(#REF!,MATCH('data '!$B701,#REF!,0),MATCH('data '!T$3,#REF!,0))=0,"",INDEX(#REF!,MATCH('data '!$B701,#REF!,0),MATCH('data '!T$3,#REF!,0)))</f>
        <v>#REF!</v>
      </c>
      <c r="U701" s="8" t="s">
        <v>25</v>
      </c>
      <c r="V701" s="25" t="s">
        <v>87</v>
      </c>
      <c r="W701" s="25" t="s">
        <v>144</v>
      </c>
      <c r="X701" s="43" t="s">
        <v>25</v>
      </c>
      <c r="Y701" s="43">
        <v>45891</v>
      </c>
      <c r="Z701" s="8">
        <v>45909</v>
      </c>
      <c r="AC701" s="8" t="e">
        <f>VLOOKUP(B701,#REF!,19,0)</f>
        <v>#REF!</v>
      </c>
      <c r="AP701" s="8" t="str">
        <f t="shared" si="28"/>
        <v>BP Secured</v>
      </c>
      <c r="AQ701" s="10" t="b" cm="1">
        <f t="array" aca="1" ref="AQ701" ca="1">IF(AM701&gt;0,(TODAY()-AM701),IF(AL701&gt;0,(TODAY()-AL701),IF(AK701&gt;0,(TODAY()-AK701,IF(AI701&gt;0,(TODAY()-AI701),IF(AG701&gt;0,(TODAY()-AG701),IF(AF701&gt;0,(TODAY()-AF701),IF(X701&gt;0,(TODAY()-X701)," "))))))))</f>
        <v>0</v>
      </c>
      <c r="BD701" s="2" t="str">
        <f t="shared" si="29"/>
        <v>BP Secured</v>
      </c>
      <c r="BE701" s="2" t="e">
        <v>#VALUE!</v>
      </c>
      <c r="BG701" s="2" t="e">
        <v>#N/A</v>
      </c>
    </row>
    <row r="702" spans="2:60" hidden="1" x14ac:dyDescent="0.25">
      <c r="B702" s="2" t="s">
        <v>3173</v>
      </c>
      <c r="C702" s="2" t="s">
        <v>3174</v>
      </c>
      <c r="D702" s="44" t="s">
        <v>3175</v>
      </c>
      <c r="E702" s="2" t="s">
        <v>11</v>
      </c>
      <c r="F702" s="2" t="s">
        <v>1232</v>
      </c>
      <c r="G702" s="2" t="s">
        <v>1</v>
      </c>
      <c r="H702" s="2" t="s">
        <v>165</v>
      </c>
      <c r="I702" s="2" t="s">
        <v>68</v>
      </c>
      <c r="J702" s="2" t="s">
        <v>173</v>
      </c>
      <c r="K702" s="2" t="s">
        <v>1233</v>
      </c>
      <c r="L702" s="2" t="s">
        <v>2893</v>
      </c>
      <c r="M702" s="2">
        <v>0</v>
      </c>
      <c r="N702" s="2">
        <v>0</v>
      </c>
      <c r="O702" s="2">
        <v>0</v>
      </c>
      <c r="P702" s="2" t="s">
        <v>116</v>
      </c>
      <c r="Q702" s="2" t="s">
        <v>73</v>
      </c>
      <c r="R702" s="29" t="e">
        <f>IF(INDEX(#REF!,MATCH('data '!$B702,#REF!,0),MATCH('data '!R$3,#REF!,0))=0,"",INDEX(#REF!,MATCH('data '!$B702,#REF!,0),MATCH('data '!R$3,#REF!,0)))</f>
        <v>#REF!</v>
      </c>
      <c r="S702" s="29" t="e">
        <f>IF(INDEX(#REF!,MATCH('data '!$B702,#REF!,0),MATCH('data '!S$3,#REF!,0))=0,"",INDEX(#REF!,MATCH('data '!$B702,#REF!,0),MATCH('data '!S$3,#REF!,0)))</f>
        <v>#REF!</v>
      </c>
      <c r="T702" s="29" t="e">
        <f>IF(INDEX(#REF!,MATCH('data '!$B702,#REF!,0),MATCH('data '!T$3,#REF!,0))=0,"",INDEX(#REF!,MATCH('data '!$B702,#REF!,0),MATCH('data '!T$3,#REF!,0)))</f>
        <v>#REF!</v>
      </c>
      <c r="U702" s="8" t="s">
        <v>25</v>
      </c>
      <c r="V702" s="25" t="s">
        <v>656</v>
      </c>
      <c r="W702" s="25">
        <v>0</v>
      </c>
      <c r="AC702" s="8" t="e">
        <f>VLOOKUP(B702,#REF!,19,0)</f>
        <v>#REF!</v>
      </c>
      <c r="AP702" s="8" t="str">
        <f t="shared" si="28"/>
        <v>Not yet endorsed</v>
      </c>
      <c r="AQ702" s="10" t="b" cm="1">
        <f t="array" aca="1" ref="AQ702" ca="1">IF(AM702&gt;0,(TODAY()-AM702),IF(AL702&gt;0,(TODAY()-AL702),IF(AK702&gt;0,(TODAY()-AK702,IF(AI702&gt;0,(TODAY()-AI702),IF(AG702&gt;0,(TODAY()-AG702),IF(AF702&gt;0,(TODAY()-AF702),IF(X702&gt;0,(TODAY()-X702)," "))))))))</f>
        <v>0</v>
      </c>
      <c r="BD702" s="2" t="str">
        <f t="shared" si="29"/>
        <v>TSSR Approved</v>
      </c>
      <c r="BE702" s="2" t="e">
        <v>#VALUE!</v>
      </c>
      <c r="BG702" s="2" t="e">
        <v>#N/A</v>
      </c>
    </row>
    <row r="703" spans="2:60" hidden="1" x14ac:dyDescent="0.25">
      <c r="B703" s="2" t="s">
        <v>3176</v>
      </c>
      <c r="C703" s="2" t="s">
        <v>3177</v>
      </c>
      <c r="D703" s="44" t="s">
        <v>3178</v>
      </c>
      <c r="E703" s="2" t="s">
        <v>11</v>
      </c>
      <c r="F703" s="2" t="s">
        <v>302</v>
      </c>
      <c r="G703" s="2" t="s">
        <v>1</v>
      </c>
      <c r="H703" s="2" t="s">
        <v>165</v>
      </c>
      <c r="I703" s="2" t="s">
        <v>68</v>
      </c>
      <c r="J703" s="2" t="s">
        <v>173</v>
      </c>
      <c r="K703" s="2" t="s">
        <v>303</v>
      </c>
      <c r="L703" s="2" t="s">
        <v>1002</v>
      </c>
      <c r="M703" s="2" t="s">
        <v>3179</v>
      </c>
      <c r="N703" s="2">
        <v>8.3851180000000003</v>
      </c>
      <c r="O703" s="2">
        <v>124.807877</v>
      </c>
      <c r="P703" s="2" t="s">
        <v>87</v>
      </c>
      <c r="Q703" s="2" t="s">
        <v>184</v>
      </c>
      <c r="R703" s="29" t="e">
        <f>IF(INDEX(#REF!,MATCH('data '!$B703,#REF!,0),MATCH('data '!R$3,#REF!,0))=0,"",INDEX(#REF!,MATCH('data '!$B703,#REF!,0),MATCH('data '!R$3,#REF!,0)))</f>
        <v>#REF!</v>
      </c>
      <c r="S703" s="29" t="e">
        <f>IF(INDEX(#REF!,MATCH('data '!$B703,#REF!,0),MATCH('data '!S$3,#REF!,0))=0,"",INDEX(#REF!,MATCH('data '!$B703,#REF!,0),MATCH('data '!S$3,#REF!,0)))</f>
        <v>#REF!</v>
      </c>
      <c r="T703" s="29" t="e">
        <f>IF(INDEX(#REF!,MATCH('data '!$B703,#REF!,0),MATCH('data '!T$3,#REF!,0))=0,"",INDEX(#REF!,MATCH('data '!$B703,#REF!,0),MATCH('data '!T$3,#REF!,0)))</f>
        <v>#REF!</v>
      </c>
      <c r="U703" s="8" t="s">
        <v>25</v>
      </c>
      <c r="V703" s="25" t="s">
        <v>185</v>
      </c>
      <c r="W703" s="25" t="s">
        <v>144</v>
      </c>
      <c r="X703" s="9" t="s">
        <v>25</v>
      </c>
      <c r="Y703" s="9">
        <v>45804</v>
      </c>
      <c r="Z703" s="8">
        <v>45753</v>
      </c>
      <c r="AA703" s="8">
        <v>45998</v>
      </c>
      <c r="AC703" s="8" t="e">
        <f>VLOOKUP(B703,#REF!,19,0)</f>
        <v>#REF!</v>
      </c>
      <c r="AE703" s="8" t="s">
        <v>472</v>
      </c>
      <c r="AP703" s="8" t="str">
        <f t="shared" si="28"/>
        <v>BP Secured</v>
      </c>
      <c r="AQ703" s="10" t="b" cm="1">
        <f t="array" aca="1" ref="AQ703" ca="1">IF(AM703&gt;0,(TODAY()-AM703),IF(AL703&gt;0,(TODAY()-AL703),IF(AK703&gt;0,(TODAY()-AK703,IF(AI703&gt;0,(TODAY()-AI703),IF(AG703&gt;0,(TODAY()-AG703),IF(AF703&gt;0,(TODAY()-AF703),IF(X703&gt;0,(TODAY()-X703)," "))))))))</f>
        <v>0</v>
      </c>
      <c r="AT703" s="8" t="s">
        <v>155</v>
      </c>
      <c r="AU703" s="8">
        <v>45845</v>
      </c>
      <c r="AV703" s="8">
        <v>45844</v>
      </c>
      <c r="AX703" s="8">
        <v>45847</v>
      </c>
      <c r="BD703" s="2" t="str">
        <f t="shared" si="29"/>
        <v>PO Issued</v>
      </c>
      <c r="BE703" s="2">
        <v>93</v>
      </c>
      <c r="BG703" s="2" t="e">
        <v>#N/A</v>
      </c>
    </row>
    <row r="704" spans="2:60" hidden="1" x14ac:dyDescent="0.25">
      <c r="B704" s="2" t="s">
        <v>3180</v>
      </c>
      <c r="C704" s="2" t="s">
        <v>3181</v>
      </c>
      <c r="D704" s="44" t="s">
        <v>3182</v>
      </c>
      <c r="E704" s="2" t="s">
        <v>11</v>
      </c>
      <c r="F704" s="2" t="s">
        <v>591</v>
      </c>
      <c r="G704" s="2" t="s">
        <v>1</v>
      </c>
      <c r="H704" s="2" t="s">
        <v>165</v>
      </c>
      <c r="I704" s="2" t="s">
        <v>68</v>
      </c>
      <c r="J704" s="2" t="s">
        <v>173</v>
      </c>
      <c r="K704" s="2" t="s">
        <v>592</v>
      </c>
      <c r="L704" s="2" t="s">
        <v>593</v>
      </c>
      <c r="M704" s="2">
        <v>0</v>
      </c>
      <c r="N704" s="2">
        <v>0</v>
      </c>
      <c r="O704" s="2">
        <v>0</v>
      </c>
      <c r="P704" s="2" t="s">
        <v>82</v>
      </c>
      <c r="Q704" s="2" t="s">
        <v>73</v>
      </c>
      <c r="R704" s="29" t="e">
        <f>IF(INDEX(#REF!,MATCH('data '!$B704,#REF!,0),MATCH('data '!R$3,#REF!,0))=0,"",INDEX(#REF!,MATCH('data '!$B704,#REF!,0),MATCH('data '!R$3,#REF!,0)))</f>
        <v>#REF!</v>
      </c>
      <c r="S704" s="29" t="e">
        <f>IF(INDEX(#REF!,MATCH('data '!$B704,#REF!,0),MATCH('data '!S$3,#REF!,0))=0,"",INDEX(#REF!,MATCH('data '!$B704,#REF!,0),MATCH('data '!S$3,#REF!,0)))</f>
        <v>#REF!</v>
      </c>
      <c r="T704" s="29" t="e">
        <f>IF(INDEX(#REF!,MATCH('data '!$B704,#REF!,0),MATCH('data '!T$3,#REF!,0))=0,"",INDEX(#REF!,MATCH('data '!$B704,#REF!,0),MATCH('data '!T$3,#REF!,0)))</f>
        <v>#REF!</v>
      </c>
      <c r="U704" s="8" t="s">
        <v>25</v>
      </c>
      <c r="V704" s="25" t="s">
        <v>88</v>
      </c>
      <c r="W704" s="25" t="s">
        <v>89</v>
      </c>
      <c r="AC704" s="8" t="e">
        <f>VLOOKUP(B704,#REF!,19,0)</f>
        <v>#REF!</v>
      </c>
      <c r="AP704" s="8" t="str">
        <f t="shared" si="28"/>
        <v>Not yet endorsed</v>
      </c>
      <c r="AQ704" s="10" t="b" cm="1">
        <f t="array" aca="1" ref="AQ704" ca="1">IF(AM704&gt;0,(TODAY()-AM704),IF(AL704&gt;0,(TODAY()-AL704),IF(AK704&gt;0,(TODAY()-AK704,IF(AI704&gt;0,(TODAY()-AI704),IF(AG704&gt;0,(TODAY()-AG704),IF(AF704&gt;0,(TODAY()-AF704),IF(X704&gt;0,(TODAY()-X704)," "))))))))</f>
        <v>0</v>
      </c>
      <c r="BD704" s="2" t="str">
        <f t="shared" si="29"/>
        <v>TSSR Approved</v>
      </c>
      <c r="BE704" s="2" t="e">
        <v>#VALUE!</v>
      </c>
      <c r="BG704" s="2" t="e">
        <v>#N/A</v>
      </c>
    </row>
    <row r="705" spans="2:60" hidden="1" x14ac:dyDescent="0.25">
      <c r="B705" s="2" t="s">
        <v>3183</v>
      </c>
      <c r="C705" s="2" t="s">
        <v>3184</v>
      </c>
      <c r="D705" s="44" t="s">
        <v>3185</v>
      </c>
      <c r="E705" s="2" t="s">
        <v>11</v>
      </c>
      <c r="F705" s="2" t="s">
        <v>591</v>
      </c>
      <c r="G705" s="2" t="s">
        <v>1</v>
      </c>
      <c r="H705" s="2" t="s">
        <v>165</v>
      </c>
      <c r="I705" s="2" t="s">
        <v>68</v>
      </c>
      <c r="J705" s="2" t="s">
        <v>173</v>
      </c>
      <c r="K705" s="2" t="s">
        <v>592</v>
      </c>
      <c r="L705" s="2" t="s">
        <v>593</v>
      </c>
      <c r="M705" s="2">
        <v>0</v>
      </c>
      <c r="N705" s="2">
        <v>8.4239481400000003</v>
      </c>
      <c r="O705" s="2">
        <v>124.6718022</v>
      </c>
      <c r="P705" s="2" t="s">
        <v>87</v>
      </c>
      <c r="Q705" s="2" t="s">
        <v>227</v>
      </c>
      <c r="R705" s="29" t="e">
        <f>IF(INDEX(#REF!,MATCH('data '!$B705,#REF!,0),MATCH('data '!R$3,#REF!,0))=0,"",INDEX(#REF!,MATCH('data '!$B705,#REF!,0),MATCH('data '!R$3,#REF!,0)))</f>
        <v>#REF!</v>
      </c>
      <c r="S705" s="29" t="e">
        <f>IF(INDEX(#REF!,MATCH('data '!$B705,#REF!,0),MATCH('data '!S$3,#REF!,0))=0,"",INDEX(#REF!,MATCH('data '!$B705,#REF!,0),MATCH('data '!S$3,#REF!,0)))</f>
        <v>#REF!</v>
      </c>
      <c r="T705" s="29" t="e">
        <f>IF(INDEX(#REF!,MATCH('data '!$B705,#REF!,0),MATCH('data '!T$3,#REF!,0))=0,"",INDEX(#REF!,MATCH('data '!$B705,#REF!,0),MATCH('data '!T$3,#REF!,0)))</f>
        <v>#REF!</v>
      </c>
      <c r="U705" s="8" t="s">
        <v>25</v>
      </c>
      <c r="V705" s="25" t="s">
        <v>383</v>
      </c>
      <c r="W705" s="25" t="s">
        <v>144</v>
      </c>
      <c r="X705" s="43" t="s">
        <v>25</v>
      </c>
      <c r="Y705" s="43">
        <v>45894</v>
      </c>
      <c r="AC705" s="8" t="e">
        <f>VLOOKUP(B705,#REF!,19,0)</f>
        <v>#REF!</v>
      </c>
      <c r="AP705" s="8" t="str">
        <f t="shared" si="28"/>
        <v>BP Secured</v>
      </c>
      <c r="AQ705" s="10" t="b" cm="1">
        <f t="array" aca="1" ref="AQ705" ca="1">IF(AM705&gt;0,(TODAY()-AM705),IF(AL705&gt;0,(TODAY()-AL705),IF(AK705&gt;0,(TODAY()-AK705,IF(AI705&gt;0,(TODAY()-AI705),IF(AG705&gt;0,(TODAY()-AG705),IF(AF705&gt;0,(TODAY()-AF705),IF(X705&gt;0,(TODAY()-X705)," "))))))))</f>
        <v>0</v>
      </c>
      <c r="BD705" s="2" t="str">
        <f t="shared" si="29"/>
        <v>BP Secured</v>
      </c>
      <c r="BE705" s="2" t="e">
        <v>#VALUE!</v>
      </c>
      <c r="BG705" s="2" t="e">
        <v>#N/A</v>
      </c>
    </row>
    <row r="706" spans="2:60" hidden="1" x14ac:dyDescent="0.25">
      <c r="B706" s="2" t="s">
        <v>3186</v>
      </c>
      <c r="C706" s="2" t="s">
        <v>3187</v>
      </c>
      <c r="D706" s="44" t="s">
        <v>3188</v>
      </c>
      <c r="E706" s="2" t="s">
        <v>11</v>
      </c>
      <c r="F706" s="2" t="s">
        <v>591</v>
      </c>
      <c r="G706" s="2" t="s">
        <v>1</v>
      </c>
      <c r="H706" s="2" t="s">
        <v>165</v>
      </c>
      <c r="I706" s="2" t="s">
        <v>68</v>
      </c>
      <c r="J706" s="2" t="s">
        <v>173</v>
      </c>
      <c r="K706" s="2" t="s">
        <v>592</v>
      </c>
      <c r="L706" s="2" t="s">
        <v>593</v>
      </c>
      <c r="M706" s="2">
        <v>0</v>
      </c>
      <c r="N706" s="2">
        <v>8.4910999999999994</v>
      </c>
      <c r="O706" s="2">
        <v>124.59924700000001</v>
      </c>
      <c r="P706" s="2" t="s">
        <v>88</v>
      </c>
      <c r="Q706" s="2" t="s">
        <v>73</v>
      </c>
      <c r="R706" s="29" t="e">
        <f>IF(INDEX(#REF!,MATCH('data '!$B706,#REF!,0),MATCH('data '!R$3,#REF!,0))=0,"",INDEX(#REF!,MATCH('data '!$B706,#REF!,0),MATCH('data '!R$3,#REF!,0)))</f>
        <v>#REF!</v>
      </c>
      <c r="S706" s="29" t="e">
        <f>IF(INDEX(#REF!,MATCH('data '!$B706,#REF!,0),MATCH('data '!S$3,#REF!,0))=0,"",INDEX(#REF!,MATCH('data '!$B706,#REF!,0),MATCH('data '!S$3,#REF!,0)))</f>
        <v>#REF!</v>
      </c>
      <c r="T706" s="29" t="e">
        <f>IF(INDEX(#REF!,MATCH('data '!$B706,#REF!,0),MATCH('data '!T$3,#REF!,0))=0,"",INDEX(#REF!,MATCH('data '!$B706,#REF!,0),MATCH('data '!T$3,#REF!,0)))</f>
        <v>#REF!</v>
      </c>
      <c r="U706" s="8" t="s">
        <v>25</v>
      </c>
      <c r="V706" s="25" t="s">
        <v>88</v>
      </c>
      <c r="W706" s="25" t="s">
        <v>89</v>
      </c>
      <c r="AC706" s="8" t="e">
        <f>VLOOKUP(B706,#REF!,19,0)</f>
        <v>#REF!</v>
      </c>
      <c r="AP706" s="8" t="str">
        <f t="shared" si="28"/>
        <v>Not yet endorsed</v>
      </c>
      <c r="AQ706" s="10" t="b" cm="1">
        <f t="array" aca="1" ref="AQ706" ca="1">IF(AM706&gt;0,(TODAY()-AM706),IF(AL706&gt;0,(TODAY()-AL706),IF(AK706&gt;0,(TODAY()-AK706,IF(AI706&gt;0,(TODAY()-AI706),IF(AG706&gt;0,(TODAY()-AG706),IF(AF706&gt;0,(TODAY()-AF706),IF(X706&gt;0,(TODAY()-X706)," "))))))))</f>
        <v>0</v>
      </c>
      <c r="BD706" s="2" t="str">
        <f t="shared" si="29"/>
        <v>TSSR Approved</v>
      </c>
      <c r="BE706" s="2" t="e">
        <v>#VALUE!</v>
      </c>
      <c r="BG706" s="2" t="e">
        <v>#N/A</v>
      </c>
    </row>
    <row r="707" spans="2:60" hidden="1" x14ac:dyDescent="0.25">
      <c r="B707" s="2" t="s">
        <v>3189</v>
      </c>
      <c r="C707" s="2" t="s">
        <v>3190</v>
      </c>
      <c r="D707" s="44" t="s">
        <v>3191</v>
      </c>
      <c r="E707" s="2" t="s">
        <v>11</v>
      </c>
      <c r="F707" s="2" t="s">
        <v>591</v>
      </c>
      <c r="G707" s="2" t="s">
        <v>1</v>
      </c>
      <c r="H707" s="2" t="s">
        <v>165</v>
      </c>
      <c r="I707" s="2" t="s">
        <v>68</v>
      </c>
      <c r="J707" s="2" t="s">
        <v>173</v>
      </c>
      <c r="K707" s="2" t="s">
        <v>592</v>
      </c>
      <c r="L707" s="2" t="s">
        <v>593</v>
      </c>
      <c r="M707" s="2">
        <v>0</v>
      </c>
      <c r="N707" s="2">
        <v>0</v>
      </c>
      <c r="O707" s="2">
        <v>0</v>
      </c>
      <c r="P707" s="2" t="s">
        <v>116</v>
      </c>
      <c r="Q707" s="2" t="s">
        <v>73</v>
      </c>
      <c r="R707" s="29" t="e">
        <f>IF(INDEX(#REF!,MATCH('data '!$B707,#REF!,0),MATCH('data '!R$3,#REF!,0))=0,"",INDEX(#REF!,MATCH('data '!$B707,#REF!,0),MATCH('data '!R$3,#REF!,0)))</f>
        <v>#REF!</v>
      </c>
      <c r="S707" s="29" t="e">
        <f>IF(INDEX(#REF!,MATCH('data '!$B707,#REF!,0),MATCH('data '!S$3,#REF!,0))=0,"",INDEX(#REF!,MATCH('data '!$B707,#REF!,0),MATCH('data '!S$3,#REF!,0)))</f>
        <v>#REF!</v>
      </c>
      <c r="T707" s="29" t="e">
        <f>IF(INDEX(#REF!,MATCH('data '!$B707,#REF!,0),MATCH('data '!T$3,#REF!,0))=0,"",INDEX(#REF!,MATCH('data '!$B707,#REF!,0),MATCH('data '!T$3,#REF!,0)))</f>
        <v>#REF!</v>
      </c>
      <c r="V707" s="25" t="s">
        <v>74</v>
      </c>
      <c r="W707" s="25">
        <v>0</v>
      </c>
      <c r="AC707" s="8" t="e">
        <f>VLOOKUP(B707,#REF!,19,0)</f>
        <v>#REF!</v>
      </c>
      <c r="AP707" s="8" t="str">
        <f t="shared" si="28"/>
        <v>Not yet endorsed</v>
      </c>
      <c r="AQ707" s="10" t="b" cm="1">
        <f t="array" aca="1" ref="AQ707" ca="1">IF(AM707&gt;0,(TODAY()-AM707),IF(AL707&gt;0,(TODAY()-AL707),IF(AK707&gt;0,(TODAY()-AK707,IF(AI707&gt;0,(TODAY()-AI707),IF(AG707&gt;0,(TODAY()-AG707),IF(AF707&gt;0,(TODAY()-AF707),IF(X707&gt;0,(TODAY()-X707)," "))))))))</f>
        <v>0</v>
      </c>
      <c r="BD707" s="2" t="str">
        <f t="shared" si="29"/>
        <v>Not yet endorsed</v>
      </c>
      <c r="BE707" s="2" t="s">
        <v>75</v>
      </c>
      <c r="BG707" s="2" t="e">
        <v>#N/A</v>
      </c>
    </row>
    <row r="708" spans="2:60" hidden="1" x14ac:dyDescent="0.25">
      <c r="B708" s="2" t="s">
        <v>3192</v>
      </c>
      <c r="C708" s="2" t="s">
        <v>3193</v>
      </c>
      <c r="D708" s="44" t="s">
        <v>3194</v>
      </c>
      <c r="E708" s="2" t="s">
        <v>4</v>
      </c>
      <c r="F708" s="2" t="s">
        <v>1118</v>
      </c>
      <c r="G708" s="2" t="s">
        <v>1</v>
      </c>
      <c r="H708" s="2" t="s">
        <v>139</v>
      </c>
      <c r="I708" s="2" t="s">
        <v>140</v>
      </c>
      <c r="J708" s="2" t="s">
        <v>122</v>
      </c>
      <c r="K708" s="2" t="s">
        <v>359</v>
      </c>
      <c r="L708" s="2" t="s">
        <v>2412</v>
      </c>
      <c r="M708" s="2" t="s">
        <v>3195</v>
      </c>
      <c r="N708" s="2">
        <v>15.33924</v>
      </c>
      <c r="O708" s="2">
        <v>120.65385999999999</v>
      </c>
      <c r="P708" s="2" t="s">
        <v>87</v>
      </c>
      <c r="Q708" s="2" t="s">
        <v>265</v>
      </c>
      <c r="R708" s="29" t="e">
        <f>IF(INDEX(#REF!,MATCH('data '!$B708,#REF!,0),MATCH('data '!R$3,#REF!,0))=0,"",INDEX(#REF!,MATCH('data '!$B708,#REF!,0),MATCH('data '!R$3,#REF!,0)))</f>
        <v>#REF!</v>
      </c>
      <c r="S708" s="29" t="e">
        <f>IF(INDEX(#REF!,MATCH('data '!$B708,#REF!,0),MATCH('data '!S$3,#REF!,0))=0,"",INDEX(#REF!,MATCH('data '!$B708,#REF!,0),MATCH('data '!S$3,#REF!,0)))</f>
        <v>#REF!</v>
      </c>
      <c r="T708" s="29" t="e">
        <f>IF(INDEX(#REF!,MATCH('data '!$B708,#REF!,0),MATCH('data '!T$3,#REF!,0))=0,"",INDEX(#REF!,MATCH('data '!$B708,#REF!,0),MATCH('data '!T$3,#REF!,0)))</f>
        <v>#REF!</v>
      </c>
      <c r="U708" s="8" t="s">
        <v>25</v>
      </c>
      <c r="V708" s="25" t="s">
        <v>266</v>
      </c>
      <c r="W708" s="25" t="s">
        <v>144</v>
      </c>
      <c r="X708" s="9" t="s">
        <v>25</v>
      </c>
      <c r="Y708" s="9">
        <v>45735</v>
      </c>
      <c r="AA708" s="8" t="s">
        <v>3196</v>
      </c>
      <c r="AB708" s="8">
        <v>45854</v>
      </c>
      <c r="AC708" s="8" t="e">
        <f>VLOOKUP(B708,#REF!,19,0)</f>
        <v>#REF!</v>
      </c>
      <c r="AE708" s="8" t="s">
        <v>547</v>
      </c>
      <c r="AF708" s="8">
        <v>45742</v>
      </c>
      <c r="AH708" s="8" t="s">
        <v>362</v>
      </c>
      <c r="AP708" s="8" t="str">
        <f t="shared" ref="AP708:AP771" si="30">IF(AM708&gt;0,"Tempo Energized",IF(AL708&gt;0,"Tempo Permit Released",IF(AK708&gt;0,"COOP Surveyed",IF(AI708&gt;0,"PO Issued",IF(AG708&gt;0,"PQ Raised",IF(AF708&gt;0,"Vendor Allocated",IF(X708&gt;0,"BP Secured","Not yet endorsed")))))))</f>
        <v>Vendor Allocated</v>
      </c>
      <c r="AQ708" s="10" t="b" cm="1">
        <f t="array" aca="1" ref="AQ708" ca="1">IF(AM708&gt;0,(TODAY()-AM708),IF(AL708&gt;0,(TODAY()-AL708),IF(AK708&gt;0,(TODAY()-AK708,IF(AI708&gt;0,(TODAY()-AI708),IF(AG708&gt;0,(TODAY()-AG708),IF(AF708&gt;0,(TODAY()-AF708),IF(X708&gt;0,(TODAY()-X708)," "))))))))</f>
        <v>0</v>
      </c>
      <c r="AT708" s="8">
        <v>45981</v>
      </c>
      <c r="AU708" s="11"/>
      <c r="AV708" s="11"/>
      <c r="AW708" s="11"/>
      <c r="AX708" s="11"/>
      <c r="AY708" s="11"/>
      <c r="BD708" s="2" t="str">
        <f t="shared" ref="BD708:BD771" si="31">IF(BC708&gt;0,"Permanent Energized",IF(BB708&gt;0,"Bill deposit Paid",IF(BA708&gt;0,"Line Construction Completed",IF(AZ708&gt;0,"Line Construction Started",IF(AX708&gt;0,"PO Issued",IF(AV708&gt;0,"PQ Raised",IF(AU708&gt;0,"BoQ Approved",IF(AT708&gt;0,"BoQ Submitted",IF(AF708&gt;0,"Vendor Allocated",IF(X708&gt;0,"BP Secured",IF(U708&gt;0,"TSSR Approved","Not yet endorsed")))))))))))</f>
        <v>BoQ Submitted</v>
      </c>
      <c r="BE708" s="2">
        <v>198</v>
      </c>
      <c r="BF708" s="8" t="s">
        <v>3197</v>
      </c>
      <c r="BG708" s="2" t="e">
        <v>#N/A</v>
      </c>
      <c r="BH708" s="2" t="s">
        <v>3198</v>
      </c>
    </row>
    <row r="709" spans="2:60" hidden="1" x14ac:dyDescent="0.25">
      <c r="B709" s="2" t="s">
        <v>3199</v>
      </c>
      <c r="C709" s="2" t="s">
        <v>3200</v>
      </c>
      <c r="D709" s="44" t="s">
        <v>3201</v>
      </c>
      <c r="E709" s="2" t="s">
        <v>5</v>
      </c>
      <c r="F709" s="2" t="s">
        <v>1336</v>
      </c>
      <c r="G709" s="2" t="s">
        <v>1</v>
      </c>
      <c r="H709" s="2" t="s">
        <v>139</v>
      </c>
      <c r="I709" s="2" t="s">
        <v>140</v>
      </c>
      <c r="J709" s="2" t="s">
        <v>209</v>
      </c>
      <c r="K709" s="2" t="s">
        <v>1853</v>
      </c>
      <c r="L709" s="2" t="s">
        <v>1854</v>
      </c>
      <c r="M709" s="2" t="s">
        <v>333</v>
      </c>
      <c r="N709" s="2">
        <v>16.845199999999998</v>
      </c>
      <c r="O709" s="2">
        <v>121.5003</v>
      </c>
      <c r="P709" s="2" t="s">
        <v>87</v>
      </c>
      <c r="Q709" s="2" t="s">
        <v>219</v>
      </c>
      <c r="R709" s="29" t="e">
        <f>IF(INDEX(#REF!,MATCH('data '!$B709,#REF!,0),MATCH('data '!R$3,#REF!,0))=0,"",INDEX(#REF!,MATCH('data '!$B709,#REF!,0),MATCH('data '!R$3,#REF!,0)))</f>
        <v>#REF!</v>
      </c>
      <c r="S709" s="29" t="e">
        <f>IF(INDEX(#REF!,MATCH('data '!$B709,#REF!,0),MATCH('data '!S$3,#REF!,0))=0,"",INDEX(#REF!,MATCH('data '!$B709,#REF!,0),MATCH('data '!S$3,#REF!,0)))</f>
        <v>#REF!</v>
      </c>
      <c r="T709" s="29" t="e">
        <f>IF(INDEX(#REF!,MATCH('data '!$B709,#REF!,0),MATCH('data '!T$3,#REF!,0))=0,"",INDEX(#REF!,MATCH('data '!$B709,#REF!,0),MATCH('data '!T$3,#REF!,0)))</f>
        <v>#REF!</v>
      </c>
      <c r="U709" s="8" t="s">
        <v>25</v>
      </c>
      <c r="V709" s="25" t="s">
        <v>383</v>
      </c>
      <c r="W709" s="25" t="s">
        <v>144</v>
      </c>
      <c r="X709" s="9" t="s">
        <v>25</v>
      </c>
      <c r="Y709" s="9">
        <v>45878</v>
      </c>
      <c r="AC709" s="8" t="e">
        <f>VLOOKUP(B709,#REF!,19,0)</f>
        <v>#REF!</v>
      </c>
      <c r="AE709" s="8" t="s">
        <v>212</v>
      </c>
      <c r="AF709" s="8">
        <v>45908</v>
      </c>
      <c r="AG709" s="8">
        <v>45908</v>
      </c>
      <c r="AH709" s="8" t="s">
        <v>507</v>
      </c>
      <c r="AI709" s="8">
        <v>45909</v>
      </c>
      <c r="AJ709" s="8" t="s">
        <v>508</v>
      </c>
      <c r="AK709" s="8">
        <v>45916</v>
      </c>
      <c r="AP709" s="8" t="str">
        <f t="shared" si="30"/>
        <v>COOP Surveyed</v>
      </c>
      <c r="AS709" s="8" t="s">
        <v>1784</v>
      </c>
      <c r="AT709" s="11"/>
      <c r="AU709" s="11"/>
      <c r="AV709" s="11"/>
      <c r="AW709" s="11"/>
      <c r="AX709" s="11"/>
      <c r="AY709" s="11"/>
      <c r="BD709" s="2" t="str">
        <f t="shared" si="31"/>
        <v>Vendor Allocated</v>
      </c>
      <c r="BE709" s="2">
        <v>32</v>
      </c>
      <c r="BF709" s="2" t="s">
        <v>510</v>
      </c>
      <c r="BG709" s="2" t="e">
        <v>#N/A</v>
      </c>
      <c r="BH709" s="2" t="e" vm="1">
        <v>#REF!</v>
      </c>
    </row>
    <row r="710" spans="2:60" hidden="1" x14ac:dyDescent="0.25">
      <c r="B710" s="2" t="s">
        <v>3202</v>
      </c>
      <c r="C710" s="2" t="s">
        <v>3203</v>
      </c>
      <c r="D710" s="44" t="s">
        <v>3204</v>
      </c>
      <c r="E710" s="2" t="s">
        <v>11</v>
      </c>
      <c r="F710" s="2" t="s">
        <v>216</v>
      </c>
      <c r="G710" s="2" t="s">
        <v>1</v>
      </c>
      <c r="H710" s="2" t="s">
        <v>165</v>
      </c>
      <c r="I710" s="2" t="s">
        <v>68</v>
      </c>
      <c r="J710" s="2" t="s">
        <v>69</v>
      </c>
      <c r="K710" s="2" t="s">
        <v>217</v>
      </c>
      <c r="L710" s="2" t="s">
        <v>985</v>
      </c>
      <c r="M710" s="2">
        <v>0</v>
      </c>
      <c r="N710" s="2">
        <v>0</v>
      </c>
      <c r="O710" s="2">
        <v>0</v>
      </c>
      <c r="P710" s="2" t="s">
        <v>82</v>
      </c>
      <c r="Q710" s="2" t="s">
        <v>73</v>
      </c>
      <c r="R710" s="29" t="e">
        <f>IF(INDEX(#REF!,MATCH('data '!$B710,#REF!,0),MATCH('data '!R$3,#REF!,0))=0,"",INDEX(#REF!,MATCH('data '!$B710,#REF!,0),MATCH('data '!R$3,#REF!,0)))</f>
        <v>#REF!</v>
      </c>
      <c r="S710" s="29" t="e">
        <f>IF(INDEX(#REF!,MATCH('data '!$B710,#REF!,0),MATCH('data '!S$3,#REF!,0))=0,"",INDEX(#REF!,MATCH('data '!$B710,#REF!,0),MATCH('data '!S$3,#REF!,0)))</f>
        <v>#REF!</v>
      </c>
      <c r="T710" s="29" t="e">
        <f>IF(INDEX(#REF!,MATCH('data '!$B710,#REF!,0),MATCH('data '!T$3,#REF!,0))=0,"",INDEX(#REF!,MATCH('data '!$B710,#REF!,0),MATCH('data '!T$3,#REF!,0)))</f>
        <v>#REF!</v>
      </c>
      <c r="V710" s="25" t="s">
        <v>133</v>
      </c>
      <c r="W710" s="25" t="s">
        <v>134</v>
      </c>
      <c r="AC710" s="8" t="e">
        <f>VLOOKUP(B710,#REF!,19,0)</f>
        <v>#REF!</v>
      </c>
      <c r="AP710" s="8" t="str">
        <f t="shared" si="30"/>
        <v>Not yet endorsed</v>
      </c>
      <c r="AQ710" s="10" t="b" cm="1">
        <f t="array" aca="1" ref="AQ710" ca="1">IF(AM710&gt;0,(TODAY()-AM710),IF(AL710&gt;0,(TODAY()-AL710),IF(AK710&gt;0,(TODAY()-AK710,IF(AI710&gt;0,(TODAY()-AI710),IF(AG710&gt;0,(TODAY()-AG710),IF(AF710&gt;0,(TODAY()-AF710),IF(X710&gt;0,(TODAY()-X710)," "))))))))</f>
        <v>0</v>
      </c>
      <c r="BD710" s="2" t="str">
        <f t="shared" si="31"/>
        <v>Not yet endorsed</v>
      </c>
      <c r="BE710" s="2" t="s">
        <v>75</v>
      </c>
      <c r="BG710" s="2" t="e">
        <v>#N/A</v>
      </c>
    </row>
    <row r="711" spans="2:60" hidden="1" x14ac:dyDescent="0.25">
      <c r="B711" s="2" t="s">
        <v>3205</v>
      </c>
      <c r="C711" s="2" t="s">
        <v>3206</v>
      </c>
      <c r="D711" s="44" t="s">
        <v>3207</v>
      </c>
      <c r="E711" s="2" t="s">
        <v>4</v>
      </c>
      <c r="F711" s="2" t="s">
        <v>3208</v>
      </c>
      <c r="G711" s="2" t="s">
        <v>1</v>
      </c>
      <c r="H711" s="2" t="s">
        <v>120</v>
      </c>
      <c r="I711" s="2" t="s">
        <v>140</v>
      </c>
      <c r="J711" s="2" t="s">
        <v>122</v>
      </c>
      <c r="K711" s="2" t="s">
        <v>2079</v>
      </c>
      <c r="L711" s="2" t="s">
        <v>3209</v>
      </c>
      <c r="M711" s="2">
        <v>0</v>
      </c>
      <c r="N711" s="2">
        <v>0</v>
      </c>
      <c r="O711" s="2">
        <v>0</v>
      </c>
      <c r="P711" s="2" t="s">
        <v>133</v>
      </c>
      <c r="Q711" s="2" t="s">
        <v>73</v>
      </c>
      <c r="R711" s="29" t="e">
        <f>IF(INDEX(#REF!,MATCH('data '!$B711,#REF!,0),MATCH('data '!R$3,#REF!,0))=0,"",INDEX(#REF!,MATCH('data '!$B711,#REF!,0),MATCH('data '!R$3,#REF!,0)))</f>
        <v>#REF!</v>
      </c>
      <c r="S711" s="29" t="e">
        <f>IF(INDEX(#REF!,MATCH('data '!$B711,#REF!,0),MATCH('data '!S$3,#REF!,0))=0,"",INDEX(#REF!,MATCH('data '!$B711,#REF!,0),MATCH('data '!S$3,#REF!,0)))</f>
        <v>#REF!</v>
      </c>
      <c r="T711" s="29" t="e">
        <f>IF(INDEX(#REF!,MATCH('data '!$B711,#REF!,0),MATCH('data '!T$3,#REF!,0))=0,"",INDEX(#REF!,MATCH('data '!$B711,#REF!,0),MATCH('data '!T$3,#REF!,0)))</f>
        <v>#REF!</v>
      </c>
      <c r="V711" s="25" t="s">
        <v>168</v>
      </c>
      <c r="W711" s="25" t="s">
        <v>176</v>
      </c>
      <c r="AC711" s="8" t="e">
        <f>VLOOKUP(B711,#REF!,19,0)</f>
        <v>#REF!</v>
      </c>
      <c r="AE711" s="8" t="s">
        <v>547</v>
      </c>
      <c r="AF711" s="21">
        <v>45938</v>
      </c>
      <c r="AP711" s="8" t="str">
        <f t="shared" si="30"/>
        <v>Vendor Allocated</v>
      </c>
      <c r="AQ711" s="10" t="b" cm="1">
        <f t="array" aca="1" ref="AQ711" ca="1">IF(AM711&gt;0,(TODAY()-AM711),IF(AL711&gt;0,(TODAY()-AL711),IF(AK711&gt;0,(TODAY()-AK711,IF(AI711&gt;0,(TODAY()-AI711),IF(AG711&gt;0,(TODAY()-AG711),IF(AF711&gt;0,(TODAY()-AF711),IF(X711&gt;0,(TODAY()-X711)," "))))))))</f>
        <v>0</v>
      </c>
      <c r="BD711" s="2" t="str">
        <f t="shared" si="31"/>
        <v>Vendor Allocated</v>
      </c>
      <c r="BE711" s="2">
        <v>2</v>
      </c>
      <c r="BG711" s="2" t="s">
        <v>1636</v>
      </c>
    </row>
    <row r="712" spans="2:60" hidden="1" x14ac:dyDescent="0.25">
      <c r="B712" s="2" t="s">
        <v>3210</v>
      </c>
      <c r="C712" s="2" t="s">
        <v>3211</v>
      </c>
      <c r="D712" s="44" t="s">
        <v>3212</v>
      </c>
      <c r="E712" s="2" t="s">
        <v>4</v>
      </c>
      <c r="F712" s="2" t="s">
        <v>358</v>
      </c>
      <c r="G712" s="2" t="s">
        <v>1</v>
      </c>
      <c r="H712" s="2" t="s">
        <v>139</v>
      </c>
      <c r="I712" s="2" t="s">
        <v>140</v>
      </c>
      <c r="J712" s="2" t="s">
        <v>122</v>
      </c>
      <c r="K712" s="2" t="s">
        <v>359</v>
      </c>
      <c r="L712" s="2" t="s">
        <v>3213</v>
      </c>
      <c r="M712" s="2">
        <v>0</v>
      </c>
      <c r="N712" s="2">
        <v>0</v>
      </c>
      <c r="O712" s="2">
        <v>0</v>
      </c>
      <c r="P712" s="2" t="s">
        <v>125</v>
      </c>
      <c r="Q712" s="2" t="s">
        <v>73</v>
      </c>
      <c r="R712" s="29" t="e">
        <f>IF(INDEX(#REF!,MATCH('data '!$B712,#REF!,0),MATCH('data '!R$3,#REF!,0))=0,"",INDEX(#REF!,MATCH('data '!$B712,#REF!,0),MATCH('data '!R$3,#REF!,0)))</f>
        <v>#REF!</v>
      </c>
      <c r="S712" s="29" t="e">
        <f>IF(INDEX(#REF!,MATCH('data '!$B712,#REF!,0),MATCH('data '!S$3,#REF!,0))=0,"",INDEX(#REF!,MATCH('data '!$B712,#REF!,0),MATCH('data '!S$3,#REF!,0)))</f>
        <v>#REF!</v>
      </c>
      <c r="T712" s="29" t="e">
        <f>IF(INDEX(#REF!,MATCH('data '!$B712,#REF!,0),MATCH('data '!T$3,#REF!,0))=0,"",INDEX(#REF!,MATCH('data '!$B712,#REF!,0),MATCH('data '!T$3,#REF!,0)))</f>
        <v>#REF!</v>
      </c>
      <c r="V712" s="25" t="s">
        <v>789</v>
      </c>
      <c r="W712" s="25">
        <v>0</v>
      </c>
      <c r="AC712" s="8" t="e">
        <f>VLOOKUP(B712,#REF!,19,0)</f>
        <v>#REF!</v>
      </c>
      <c r="AP712" s="8" t="str">
        <f t="shared" si="30"/>
        <v>Not yet endorsed</v>
      </c>
      <c r="AQ712" s="10" t="b" cm="1">
        <f t="array" aca="1" ref="AQ712" ca="1">IF(AM712&gt;0,(TODAY()-AM712),IF(AL712&gt;0,(TODAY()-AL712),IF(AK712&gt;0,(TODAY()-AK712,IF(AI712&gt;0,(TODAY()-AI712),IF(AG712&gt;0,(TODAY()-AG712),IF(AF712&gt;0,(TODAY()-AF712),IF(X712&gt;0,(TODAY()-X712)," "))))))))</f>
        <v>0</v>
      </c>
      <c r="BD712" s="2" t="str">
        <f t="shared" si="31"/>
        <v>Not yet endorsed</v>
      </c>
      <c r="BE712" s="2" t="s">
        <v>75</v>
      </c>
      <c r="BG712" s="2" t="e">
        <v>#N/A</v>
      </c>
    </row>
    <row r="713" spans="2:60" x14ac:dyDescent="0.25">
      <c r="B713" s="2" t="s">
        <v>3214</v>
      </c>
      <c r="C713" s="2" t="s">
        <v>3215</v>
      </c>
      <c r="D713" s="44" t="s">
        <v>3216</v>
      </c>
      <c r="E713" s="2" t="s">
        <v>3</v>
      </c>
      <c r="F713" s="2" t="s">
        <v>223</v>
      </c>
      <c r="G713" s="2" t="s">
        <v>1</v>
      </c>
      <c r="H713" s="2" t="s">
        <v>139</v>
      </c>
      <c r="I713" s="2" t="s">
        <v>140</v>
      </c>
      <c r="J713" s="2" t="s">
        <v>209</v>
      </c>
      <c r="K713" s="2" t="s">
        <v>505</v>
      </c>
      <c r="L713" s="2" t="s">
        <v>3217</v>
      </c>
      <c r="M713" s="2">
        <v>0</v>
      </c>
      <c r="N713" s="2">
        <v>0</v>
      </c>
      <c r="O713" s="2">
        <v>0</v>
      </c>
      <c r="P713" s="2" t="s">
        <v>407</v>
      </c>
      <c r="Q713" s="2" t="s">
        <v>73</v>
      </c>
      <c r="R713" s="29" t="e">
        <f>IF(INDEX(#REF!,MATCH('data '!$B713,#REF!,0),MATCH('data '!R$3,#REF!,0))=0,"",INDEX(#REF!,MATCH('data '!$B713,#REF!,0),MATCH('data '!R$3,#REF!,0)))</f>
        <v>#REF!</v>
      </c>
      <c r="S713" s="29" t="e">
        <f>IF(INDEX(#REF!,MATCH('data '!$B713,#REF!,0),MATCH('data '!S$3,#REF!,0))=0,"",INDEX(#REF!,MATCH('data '!$B713,#REF!,0),MATCH('data '!S$3,#REF!,0)))</f>
        <v>#REF!</v>
      </c>
      <c r="T713" s="29" t="e">
        <f>IF(INDEX(#REF!,MATCH('data '!$B713,#REF!,0),MATCH('data '!T$3,#REF!,0))=0,"",INDEX(#REF!,MATCH('data '!$B713,#REF!,0),MATCH('data '!T$3,#REF!,0)))</f>
        <v>#REF!</v>
      </c>
      <c r="U713" s="8" t="s">
        <v>25</v>
      </c>
      <c r="V713" s="25" t="s">
        <v>74</v>
      </c>
      <c r="W713" s="25">
        <v>0</v>
      </c>
      <c r="AC713" s="8" t="e">
        <f>VLOOKUP(B713,#REF!,19,0)</f>
        <v>#REF!</v>
      </c>
      <c r="AE713" s="8" t="s">
        <v>228</v>
      </c>
      <c r="AF713" s="21">
        <v>45938</v>
      </c>
      <c r="AP713" s="8" t="str">
        <f t="shared" si="30"/>
        <v>Vendor Allocated</v>
      </c>
      <c r="AQ713" s="10" t="b" cm="1">
        <f t="array" aca="1" ref="AQ713" ca="1">IF(AM713&gt;0,(TODAY()-AM713),IF(AL713&gt;0,(TODAY()-AL713),IF(AK713&gt;0,(TODAY()-AK713,IF(AI713&gt;0,(TODAY()-AI713),IF(AG713&gt;0,(TODAY()-AG713),IF(AF713&gt;0,(TODAY()-AF713),IF(X713&gt;0,(TODAY()-X713)," "))))))))</f>
        <v>0</v>
      </c>
      <c r="BD713" s="2" t="str">
        <f t="shared" si="31"/>
        <v>Vendor Allocated</v>
      </c>
      <c r="BE713" s="2">
        <v>2</v>
      </c>
      <c r="BG713" s="2" t="s">
        <v>1717</v>
      </c>
      <c r="BH713" s="2" t="e" vm="1">
        <v>#REF!</v>
      </c>
    </row>
    <row r="714" spans="2:60" hidden="1" x14ac:dyDescent="0.25">
      <c r="B714" s="2" t="s">
        <v>3218</v>
      </c>
      <c r="C714" s="2" t="s">
        <v>3219</v>
      </c>
      <c r="D714" s="44" t="s">
        <v>3220</v>
      </c>
      <c r="E714" s="2" t="s">
        <v>11</v>
      </c>
      <c r="F714" s="2" t="s">
        <v>1371</v>
      </c>
      <c r="G714" s="2" t="s">
        <v>1</v>
      </c>
      <c r="H714" s="2" t="s">
        <v>165</v>
      </c>
      <c r="I714" s="2" t="s">
        <v>68</v>
      </c>
      <c r="J714" s="2" t="s">
        <v>69</v>
      </c>
      <c r="K714" s="2" t="s">
        <v>1372</v>
      </c>
      <c r="L714" s="2" t="s">
        <v>3221</v>
      </c>
      <c r="M714" s="2">
        <v>0</v>
      </c>
      <c r="N714" s="2">
        <v>7.5816505169999999</v>
      </c>
      <c r="O714" s="2">
        <v>124.07324749999999</v>
      </c>
      <c r="P714" s="2" t="s">
        <v>87</v>
      </c>
      <c r="Q714" s="2" t="s">
        <v>227</v>
      </c>
      <c r="R714" s="29" t="e">
        <f>IF(INDEX(#REF!,MATCH('data '!$B714,#REF!,0),MATCH('data '!R$3,#REF!,0))=0,"",INDEX(#REF!,MATCH('data '!$B714,#REF!,0),MATCH('data '!R$3,#REF!,0)))</f>
        <v>#REF!</v>
      </c>
      <c r="S714" s="29" t="e">
        <f>IF(INDEX(#REF!,MATCH('data '!$B714,#REF!,0),MATCH('data '!S$3,#REF!,0))=0,"",INDEX(#REF!,MATCH('data '!$B714,#REF!,0),MATCH('data '!S$3,#REF!,0)))</f>
        <v>#REF!</v>
      </c>
      <c r="T714" s="29" t="e">
        <f>IF(INDEX(#REF!,MATCH('data '!$B714,#REF!,0),MATCH('data '!T$3,#REF!,0))=0,"",INDEX(#REF!,MATCH('data '!$B714,#REF!,0),MATCH('data '!T$3,#REF!,0)))</f>
        <v>#REF!</v>
      </c>
      <c r="U714" s="8" t="s">
        <v>25</v>
      </c>
      <c r="V714" s="25" t="s">
        <v>87</v>
      </c>
      <c r="W714" s="25" t="s">
        <v>144</v>
      </c>
      <c r="X714" s="43" t="s">
        <v>25</v>
      </c>
      <c r="Y714" s="43">
        <v>45894</v>
      </c>
      <c r="AC714" s="8" t="e">
        <f>VLOOKUP(B714,#REF!,19,0)</f>
        <v>#REF!</v>
      </c>
      <c r="AE714" s="8" t="s">
        <v>472</v>
      </c>
      <c r="AP714" s="8" t="str">
        <f t="shared" si="30"/>
        <v>BP Secured</v>
      </c>
      <c r="AQ714" s="10" t="b" cm="1">
        <f t="array" aca="1" ref="AQ714" ca="1">IF(AM714&gt;0,(TODAY()-AM714),IF(AL714&gt;0,(TODAY()-AL714),IF(AK714&gt;0,(TODAY()-AK714,IF(AI714&gt;0,(TODAY()-AI714),IF(AG714&gt;0,(TODAY()-AG714),IF(AF714&gt;0,(TODAY()-AF714),IF(X714&gt;0,(TODAY()-X714)," "))))))))</f>
        <v>0</v>
      </c>
      <c r="AT714" s="8">
        <v>45926</v>
      </c>
      <c r="AU714" s="8">
        <v>45932</v>
      </c>
      <c r="BD714" s="2" t="str">
        <f t="shared" si="31"/>
        <v>BoQ Approved</v>
      </c>
      <c r="BE714" s="2">
        <v>8</v>
      </c>
      <c r="BG714" s="2" t="e">
        <v>#N/A</v>
      </c>
    </row>
    <row r="715" spans="2:60" hidden="1" x14ac:dyDescent="0.25">
      <c r="B715" s="2" t="s">
        <v>3222</v>
      </c>
      <c r="C715" s="2" t="s">
        <v>3223</v>
      </c>
      <c r="D715" s="44" t="s">
        <v>3224</v>
      </c>
      <c r="E715" s="2" t="s">
        <v>11</v>
      </c>
      <c r="F715" s="2" t="s">
        <v>869</v>
      </c>
      <c r="G715" s="2" t="s">
        <v>1</v>
      </c>
      <c r="H715" s="2" t="s">
        <v>165</v>
      </c>
      <c r="I715" s="2" t="s">
        <v>68</v>
      </c>
      <c r="J715" s="2" t="s">
        <v>181</v>
      </c>
      <c r="K715" s="2" t="s">
        <v>697</v>
      </c>
      <c r="L715" s="2" t="s">
        <v>3225</v>
      </c>
      <c r="M715" s="2" t="s">
        <v>3224</v>
      </c>
      <c r="N715" s="2">
        <v>7.7077710000000002</v>
      </c>
      <c r="O715" s="2">
        <v>122.14595300000001</v>
      </c>
      <c r="P715" s="2" t="s">
        <v>87</v>
      </c>
      <c r="Q715" s="2" t="s">
        <v>73</v>
      </c>
      <c r="R715" s="29" t="e">
        <f>IF(INDEX(#REF!,MATCH('data '!$B715,#REF!,0),MATCH('data '!R$3,#REF!,0))=0,"",INDEX(#REF!,MATCH('data '!$B715,#REF!,0),MATCH('data '!R$3,#REF!,0)))</f>
        <v>#REF!</v>
      </c>
      <c r="S715" s="29" t="e">
        <f>IF(INDEX(#REF!,MATCH('data '!$B715,#REF!,0),MATCH('data '!S$3,#REF!,0))=0,"",INDEX(#REF!,MATCH('data '!$B715,#REF!,0),MATCH('data '!S$3,#REF!,0)))</f>
        <v>#REF!</v>
      </c>
      <c r="T715" s="29" t="e">
        <f>IF(INDEX(#REF!,MATCH('data '!$B715,#REF!,0),MATCH('data '!T$3,#REF!,0))=0,"",INDEX(#REF!,MATCH('data '!$B715,#REF!,0),MATCH('data '!T$3,#REF!,0)))</f>
        <v>#REF!</v>
      </c>
      <c r="U715" s="8" t="s">
        <v>25</v>
      </c>
      <c r="V715" s="25" t="s">
        <v>160</v>
      </c>
      <c r="W715" s="25" t="s">
        <v>144</v>
      </c>
      <c r="X715" s="43" t="s">
        <v>25</v>
      </c>
      <c r="Y715" s="43">
        <v>45932</v>
      </c>
      <c r="AC715" s="8" t="e">
        <f>VLOOKUP(B715,#REF!,19,0)</f>
        <v>#REF!</v>
      </c>
      <c r="AP715" s="8" t="str">
        <f t="shared" si="30"/>
        <v>BP Secured</v>
      </c>
      <c r="AQ715" s="10" t="b" cm="1">
        <f t="array" aca="1" ref="AQ715" ca="1">IF(AM715&gt;0,(TODAY()-AM715),IF(AL715&gt;0,(TODAY()-AL715),IF(AK715&gt;0,(TODAY()-AK715,IF(AI715&gt;0,(TODAY()-AI715),IF(AG715&gt;0,(TODAY()-AG715),IF(AF715&gt;0,(TODAY()-AF715),IF(X715&gt;0,(TODAY()-X715)," "))))))))</f>
        <v>0</v>
      </c>
      <c r="BD715" s="2" t="str">
        <f t="shared" si="31"/>
        <v>BP Secured</v>
      </c>
      <c r="BE715" s="2" t="e">
        <v>#VALUE!</v>
      </c>
      <c r="BG715" s="2" t="e">
        <v>#N/A</v>
      </c>
    </row>
    <row r="716" spans="2:60" hidden="1" x14ac:dyDescent="0.25">
      <c r="B716" s="2" t="s">
        <v>3226</v>
      </c>
      <c r="C716" s="2" t="s">
        <v>3227</v>
      </c>
      <c r="D716" s="44" t="s">
        <v>3228</v>
      </c>
      <c r="E716" s="2" t="s">
        <v>11</v>
      </c>
      <c r="F716" s="2" t="s">
        <v>1232</v>
      </c>
      <c r="G716" s="2" t="s">
        <v>1</v>
      </c>
      <c r="H716" s="2" t="s">
        <v>165</v>
      </c>
      <c r="I716" s="2" t="s">
        <v>68</v>
      </c>
      <c r="J716" s="2" t="s">
        <v>173</v>
      </c>
      <c r="K716" s="2" t="s">
        <v>1233</v>
      </c>
      <c r="L716" s="2" t="s">
        <v>3229</v>
      </c>
      <c r="M716" s="2">
        <v>0</v>
      </c>
      <c r="N716" s="2">
        <v>0</v>
      </c>
      <c r="O716" s="2">
        <v>0</v>
      </c>
      <c r="P716" s="2" t="s">
        <v>1830</v>
      </c>
      <c r="Q716" s="2" t="s">
        <v>73</v>
      </c>
      <c r="R716" s="29" t="e">
        <f>IF(INDEX(#REF!,MATCH('data '!$B716,#REF!,0),MATCH('data '!R$3,#REF!,0))=0,"",INDEX(#REF!,MATCH('data '!$B716,#REF!,0),MATCH('data '!R$3,#REF!,0)))</f>
        <v>#REF!</v>
      </c>
      <c r="S716" s="29" t="e">
        <f>IF(INDEX(#REF!,MATCH('data '!$B716,#REF!,0),MATCH('data '!S$3,#REF!,0))=0,"",INDEX(#REF!,MATCH('data '!$B716,#REF!,0),MATCH('data '!S$3,#REF!,0)))</f>
        <v>#REF!</v>
      </c>
      <c r="T716" s="29" t="e">
        <f>IF(INDEX(#REF!,MATCH('data '!$B716,#REF!,0),MATCH('data '!T$3,#REF!,0))=0,"",INDEX(#REF!,MATCH('data '!$B716,#REF!,0),MATCH('data '!T$3,#REF!,0)))</f>
        <v>#REF!</v>
      </c>
      <c r="U716" s="8" t="s">
        <v>25</v>
      </c>
      <c r="V716" s="25" t="s">
        <v>490</v>
      </c>
      <c r="W716" s="25">
        <v>0</v>
      </c>
      <c r="AC716" s="8" t="e">
        <f>VLOOKUP(B716,#REF!,19,0)</f>
        <v>#REF!</v>
      </c>
      <c r="AP716" s="8" t="str">
        <f t="shared" si="30"/>
        <v>Not yet endorsed</v>
      </c>
      <c r="AQ716" s="10" t="b" cm="1">
        <f t="array" aca="1" ref="AQ716" ca="1">IF(AM716&gt;0,(TODAY()-AM716),IF(AL716&gt;0,(TODAY()-AL716),IF(AK716&gt;0,(TODAY()-AK716,IF(AI716&gt;0,(TODAY()-AI716),IF(AG716&gt;0,(TODAY()-AG716),IF(AF716&gt;0,(TODAY()-AF716),IF(X716&gt;0,(TODAY()-X716)," "))))))))</f>
        <v>0</v>
      </c>
      <c r="BD716" s="2" t="str">
        <f t="shared" si="31"/>
        <v>TSSR Approved</v>
      </c>
      <c r="BE716" s="2" t="e">
        <v>#VALUE!</v>
      </c>
      <c r="BG716" s="2" t="e">
        <v>#N/A</v>
      </c>
    </row>
    <row r="717" spans="2:60" hidden="1" x14ac:dyDescent="0.25">
      <c r="B717" s="2" t="s">
        <v>3230</v>
      </c>
      <c r="C717" s="2" t="s">
        <v>3231</v>
      </c>
      <c r="D717" s="44" t="s">
        <v>3232</v>
      </c>
      <c r="E717" s="2" t="s">
        <v>11</v>
      </c>
      <c r="F717" s="2" t="s">
        <v>1232</v>
      </c>
      <c r="G717" s="2" t="s">
        <v>1</v>
      </c>
      <c r="H717" s="2" t="s">
        <v>165</v>
      </c>
      <c r="I717" s="2" t="s">
        <v>68</v>
      </c>
      <c r="J717" s="2" t="s">
        <v>173</v>
      </c>
      <c r="K717" s="2" t="s">
        <v>1233</v>
      </c>
      <c r="L717" s="2" t="s">
        <v>2893</v>
      </c>
      <c r="M717" s="2">
        <v>0</v>
      </c>
      <c r="N717" s="2">
        <v>7.9169</v>
      </c>
      <c r="O717" s="2">
        <v>123.77330000000001</v>
      </c>
      <c r="P717" s="2" t="s">
        <v>87</v>
      </c>
      <c r="Q717" s="2" t="s">
        <v>184</v>
      </c>
      <c r="R717" s="29" t="e">
        <f>IF(INDEX(#REF!,MATCH('data '!$B717,#REF!,0),MATCH('data '!R$3,#REF!,0))=0,"",INDEX(#REF!,MATCH('data '!$B717,#REF!,0),MATCH('data '!R$3,#REF!,0)))</f>
        <v>#REF!</v>
      </c>
      <c r="S717" s="29" t="e">
        <f>IF(INDEX(#REF!,MATCH('data '!$B717,#REF!,0),MATCH('data '!S$3,#REF!,0))=0,"",INDEX(#REF!,MATCH('data '!$B717,#REF!,0),MATCH('data '!S$3,#REF!,0)))</f>
        <v>#REF!</v>
      </c>
      <c r="T717" s="29" t="e">
        <f>IF(INDEX(#REF!,MATCH('data '!$B717,#REF!,0),MATCH('data '!T$3,#REF!,0))=0,"",INDEX(#REF!,MATCH('data '!$B717,#REF!,0),MATCH('data '!T$3,#REF!,0)))</f>
        <v>#REF!</v>
      </c>
      <c r="U717" s="8" t="s">
        <v>25</v>
      </c>
      <c r="V717" s="25" t="s">
        <v>266</v>
      </c>
      <c r="W717" s="25" t="s">
        <v>144</v>
      </c>
      <c r="X717" s="43" t="s">
        <v>25</v>
      </c>
      <c r="Y717" s="43">
        <v>45813</v>
      </c>
      <c r="AC717" s="8" t="e">
        <f>VLOOKUP(B717,#REF!,19,0)</f>
        <v>#REF!</v>
      </c>
      <c r="AE717" s="8" t="s">
        <v>497</v>
      </c>
      <c r="AP717" s="8" t="str">
        <f t="shared" si="30"/>
        <v>BP Secured</v>
      </c>
      <c r="AQ717" s="10" t="b" cm="1">
        <f t="array" aca="1" ref="AQ717" ca="1">IF(AM717&gt;0,(TODAY()-AM717),IF(AL717&gt;0,(TODAY()-AL717),IF(AK717&gt;0,(TODAY()-AK717,IF(AI717&gt;0,(TODAY()-AI717),IF(AG717&gt;0,(TODAY()-AG717),IF(AF717&gt;0,(TODAY()-AF717),IF(X717&gt;0,(TODAY()-X717)," "))))))))</f>
        <v>0</v>
      </c>
      <c r="AT717" s="8" t="s">
        <v>155</v>
      </c>
      <c r="AU717" s="8">
        <v>45897</v>
      </c>
      <c r="AV717" s="8">
        <v>45899</v>
      </c>
      <c r="AX717" s="8">
        <v>45902</v>
      </c>
      <c r="BD717" s="2" t="str">
        <f t="shared" si="31"/>
        <v>PO Issued</v>
      </c>
      <c r="BE717" s="2">
        <v>38</v>
      </c>
      <c r="BG717" s="2" t="e">
        <v>#N/A</v>
      </c>
    </row>
    <row r="718" spans="2:60" x14ac:dyDescent="0.25">
      <c r="B718" s="2" t="s">
        <v>3233</v>
      </c>
      <c r="C718" s="2" t="s">
        <v>3234</v>
      </c>
      <c r="D718" s="44" t="s">
        <v>3235</v>
      </c>
      <c r="E718" s="2" t="s">
        <v>3</v>
      </c>
      <c r="F718" s="2" t="s">
        <v>223</v>
      </c>
      <c r="G718" s="2" t="s">
        <v>1</v>
      </c>
      <c r="H718" s="2" t="s">
        <v>139</v>
      </c>
      <c r="I718" s="2" t="s">
        <v>140</v>
      </c>
      <c r="J718" s="2" t="s">
        <v>224</v>
      </c>
      <c r="K718" s="2" t="s">
        <v>225</v>
      </c>
      <c r="L718" s="2" t="s">
        <v>226</v>
      </c>
      <c r="M718" s="2">
        <v>0</v>
      </c>
      <c r="N718" s="2">
        <v>18.042400000000001</v>
      </c>
      <c r="O718" s="2">
        <v>121.64190000000001</v>
      </c>
      <c r="P718" s="2" t="s">
        <v>87</v>
      </c>
      <c r="Q718" s="2" t="s">
        <v>265</v>
      </c>
      <c r="R718" s="29" t="e">
        <f>IF(INDEX(#REF!,MATCH('data '!$B718,#REF!,0),MATCH('data '!R$3,#REF!,0))=0,"",INDEX(#REF!,MATCH('data '!$B718,#REF!,0),MATCH('data '!R$3,#REF!,0)))</f>
        <v>#REF!</v>
      </c>
      <c r="S718" s="29" t="e">
        <f>IF(INDEX(#REF!,MATCH('data '!$B718,#REF!,0),MATCH('data '!S$3,#REF!,0))=0,"",INDEX(#REF!,MATCH('data '!$B718,#REF!,0),MATCH('data '!S$3,#REF!,0)))</f>
        <v>#REF!</v>
      </c>
      <c r="T718" s="29" t="e">
        <f>IF(INDEX(#REF!,MATCH('data '!$B718,#REF!,0),MATCH('data '!T$3,#REF!,0))=0,"",INDEX(#REF!,MATCH('data '!$B718,#REF!,0),MATCH('data '!T$3,#REF!,0)))</f>
        <v>#REF!</v>
      </c>
      <c r="U718" s="8" t="s">
        <v>25</v>
      </c>
      <c r="V718" s="25" t="s">
        <v>266</v>
      </c>
      <c r="W718" s="25" t="s">
        <v>144</v>
      </c>
      <c r="X718" s="9" t="s">
        <v>25</v>
      </c>
      <c r="Y718" s="9">
        <v>45819</v>
      </c>
      <c r="AC718" s="8" t="e">
        <f>VLOOKUP(B718,#REF!,19,0)</f>
        <v>#REF!</v>
      </c>
      <c r="AE718" s="8" t="s">
        <v>228</v>
      </c>
      <c r="AF718" s="8">
        <v>45908</v>
      </c>
      <c r="AG718" s="8">
        <v>45946</v>
      </c>
      <c r="AH718" s="8" t="s">
        <v>1649</v>
      </c>
      <c r="AI718" s="8">
        <v>45950</v>
      </c>
      <c r="AJ718" s="8" t="s">
        <v>1650</v>
      </c>
      <c r="AP718" s="8" t="str">
        <f t="shared" si="30"/>
        <v>PO Issued</v>
      </c>
      <c r="AQ718" s="10" t="b" cm="1">
        <f t="array" aca="1" ref="AQ718" ca="1">IF(AM718&gt;0,(TODAY()-AM718),IF(AL718&gt;0,(TODAY()-AL718),IF(AK718&gt;0,(TODAY()-AK718,IF(AI718&gt;0,(TODAY()-AI718),IF(AG718&gt;0,(TODAY()-AG718),IF(AF718&gt;0,(TODAY()-AF718),IF(X718&gt;0,(TODAY()-X718)," "))))))))</f>
        <v>0</v>
      </c>
      <c r="AT718" s="8">
        <v>45957</v>
      </c>
      <c r="AU718" s="8">
        <v>45967</v>
      </c>
      <c r="AV718" s="8">
        <v>45967</v>
      </c>
      <c r="AW718" s="8" t="s">
        <v>1757</v>
      </c>
      <c r="AX718" s="8">
        <v>45971</v>
      </c>
      <c r="AY718" s="8" t="s">
        <v>1758</v>
      </c>
      <c r="BD718" s="2" t="str">
        <f t="shared" si="31"/>
        <v>PO Issued</v>
      </c>
      <c r="BE718" s="2">
        <v>25</v>
      </c>
      <c r="BG718" s="2" t="e">
        <v>#N/A</v>
      </c>
      <c r="BH718" s="2" t="e" vm="1">
        <v>#REF!</v>
      </c>
    </row>
    <row r="719" spans="2:60" hidden="1" x14ac:dyDescent="0.25">
      <c r="B719" s="2" t="s">
        <v>3236</v>
      </c>
      <c r="C719" s="2" t="s">
        <v>3237</v>
      </c>
      <c r="D719" s="44" t="s">
        <v>3238</v>
      </c>
      <c r="E719" s="2" t="s">
        <v>11</v>
      </c>
      <c r="F719" s="2" t="s">
        <v>1268</v>
      </c>
      <c r="G719" s="2" t="s">
        <v>1</v>
      </c>
      <c r="H719" s="2" t="s">
        <v>165</v>
      </c>
      <c r="I719" s="2" t="s">
        <v>68</v>
      </c>
      <c r="J719" s="2" t="s">
        <v>173</v>
      </c>
      <c r="K719" s="2" t="s">
        <v>303</v>
      </c>
      <c r="L719" s="2" t="s">
        <v>3102</v>
      </c>
      <c r="M719" s="2">
        <v>0</v>
      </c>
      <c r="N719" s="2">
        <v>0</v>
      </c>
      <c r="O719" s="2">
        <v>0</v>
      </c>
      <c r="P719" s="2" t="s">
        <v>72</v>
      </c>
      <c r="Q719" s="2" t="s">
        <v>73</v>
      </c>
      <c r="R719" s="29" t="e">
        <f>IF(INDEX(#REF!,MATCH('data '!$B719,#REF!,0),MATCH('data '!R$3,#REF!,0))=0,"",INDEX(#REF!,MATCH('data '!$B719,#REF!,0),MATCH('data '!R$3,#REF!,0)))</f>
        <v>#REF!</v>
      </c>
      <c r="S719" s="29" t="e">
        <f>IF(INDEX(#REF!,MATCH('data '!$B719,#REF!,0),MATCH('data '!S$3,#REF!,0))=0,"",INDEX(#REF!,MATCH('data '!$B719,#REF!,0),MATCH('data '!S$3,#REF!,0)))</f>
        <v>#REF!</v>
      </c>
      <c r="T719" s="29" t="e">
        <f>IF(INDEX(#REF!,MATCH('data '!$B719,#REF!,0),MATCH('data '!T$3,#REF!,0))=0,"",INDEX(#REF!,MATCH('data '!$B719,#REF!,0),MATCH('data '!T$3,#REF!,0)))</f>
        <v>#REF!</v>
      </c>
      <c r="V719" s="25" t="s">
        <v>74</v>
      </c>
      <c r="W719" s="25">
        <v>0</v>
      </c>
      <c r="AC719" s="8" t="e">
        <f>VLOOKUP(B719,#REF!,19,0)</f>
        <v>#REF!</v>
      </c>
      <c r="AP719" s="8" t="str">
        <f t="shared" si="30"/>
        <v>Not yet endorsed</v>
      </c>
      <c r="AQ719" s="10" t="b" cm="1">
        <f t="array" aca="1" ref="AQ719" ca="1">IF(AM719&gt;0,(TODAY()-AM719),IF(AL719&gt;0,(TODAY()-AL719),IF(AK719&gt;0,(TODAY()-AK719,IF(AI719&gt;0,(TODAY()-AI719),IF(AG719&gt;0,(TODAY()-AG719),IF(AF719&gt;0,(TODAY()-AF719),IF(X719&gt;0,(TODAY()-X719)," "))))))))</f>
        <v>0</v>
      </c>
      <c r="BD719" s="2" t="str">
        <f t="shared" si="31"/>
        <v>Not yet endorsed</v>
      </c>
      <c r="BE719" s="2" t="s">
        <v>75</v>
      </c>
      <c r="BG719" s="2" t="e">
        <v>#N/A</v>
      </c>
    </row>
    <row r="720" spans="2:60" hidden="1" x14ac:dyDescent="0.25">
      <c r="B720" s="2" t="s">
        <v>3239</v>
      </c>
      <c r="C720" s="2" t="s">
        <v>3240</v>
      </c>
      <c r="D720" s="44" t="s">
        <v>3241</v>
      </c>
      <c r="E720" s="2" t="s">
        <v>11</v>
      </c>
      <c r="F720" s="2" t="s">
        <v>696</v>
      </c>
      <c r="G720" s="2" t="s">
        <v>1</v>
      </c>
      <c r="H720" s="2" t="s">
        <v>165</v>
      </c>
      <c r="I720" s="2" t="s">
        <v>68</v>
      </c>
      <c r="J720" s="2" t="s">
        <v>181</v>
      </c>
      <c r="K720" s="2" t="s">
        <v>697</v>
      </c>
      <c r="L720" s="2" t="s">
        <v>1221</v>
      </c>
      <c r="M720" s="2">
        <v>0</v>
      </c>
      <c r="N720" s="2">
        <v>8.6395</v>
      </c>
      <c r="O720" s="2">
        <v>123.4177</v>
      </c>
      <c r="P720" s="2" t="s">
        <v>87</v>
      </c>
      <c r="Q720" s="2" t="s">
        <v>314</v>
      </c>
      <c r="R720" s="29" t="e">
        <f>IF(INDEX(#REF!,MATCH('data '!$B720,#REF!,0),MATCH('data '!R$3,#REF!,0))=0,"",INDEX(#REF!,MATCH('data '!$B720,#REF!,0),MATCH('data '!R$3,#REF!,0)))</f>
        <v>#REF!</v>
      </c>
      <c r="S720" s="29" t="e">
        <f>IF(INDEX(#REF!,MATCH('data '!$B720,#REF!,0),MATCH('data '!S$3,#REF!,0))=0,"",INDEX(#REF!,MATCH('data '!$B720,#REF!,0),MATCH('data '!S$3,#REF!,0)))</f>
        <v>#REF!</v>
      </c>
      <c r="T720" s="29" t="e">
        <f>IF(INDEX(#REF!,MATCH('data '!$B720,#REF!,0),MATCH('data '!T$3,#REF!,0))=0,"",INDEX(#REF!,MATCH('data '!$B720,#REF!,0),MATCH('data '!T$3,#REF!,0)))</f>
        <v>#REF!</v>
      </c>
      <c r="U720" s="8" t="s">
        <v>25</v>
      </c>
      <c r="V720" s="25" t="s">
        <v>160</v>
      </c>
      <c r="W720" s="25" t="s">
        <v>144</v>
      </c>
      <c r="X720" s="43" t="s">
        <v>25</v>
      </c>
      <c r="Y720" s="43">
        <v>45911</v>
      </c>
      <c r="AC720" s="8" t="e">
        <f>VLOOKUP(B720,#REF!,19,0)</f>
        <v>#REF!</v>
      </c>
      <c r="AP720" s="8" t="str">
        <f t="shared" si="30"/>
        <v>BP Secured</v>
      </c>
      <c r="AQ720" s="10" t="b" cm="1">
        <f t="array" aca="1" ref="AQ720" ca="1">IF(AM720&gt;0,(TODAY()-AM720),IF(AL720&gt;0,(TODAY()-AL720),IF(AK720&gt;0,(TODAY()-AK720,IF(AI720&gt;0,(TODAY()-AI720),IF(AG720&gt;0,(TODAY()-AG720),IF(AF720&gt;0,(TODAY()-AF720),IF(X720&gt;0,(TODAY()-X720)," "))))))))</f>
        <v>0</v>
      </c>
      <c r="BD720" s="2" t="str">
        <f t="shared" si="31"/>
        <v>BP Secured</v>
      </c>
      <c r="BE720" s="2" t="e">
        <v>#VALUE!</v>
      </c>
      <c r="BG720" s="2" t="e">
        <v>#N/A</v>
      </c>
    </row>
    <row r="721" spans="2:60" hidden="1" x14ac:dyDescent="0.25">
      <c r="B721" s="2" t="s">
        <v>3242</v>
      </c>
      <c r="C721" s="2" t="s">
        <v>3243</v>
      </c>
      <c r="D721" s="44" t="s">
        <v>3244</v>
      </c>
      <c r="E721" s="2" t="s">
        <v>11</v>
      </c>
      <c r="F721" s="2" t="s">
        <v>514</v>
      </c>
      <c r="G721" s="2" t="s">
        <v>1</v>
      </c>
      <c r="H721" s="2" t="s">
        <v>165</v>
      </c>
      <c r="I721" s="2" t="s">
        <v>68</v>
      </c>
      <c r="J721" s="2" t="s">
        <v>239</v>
      </c>
      <c r="K721" s="2" t="s">
        <v>515</v>
      </c>
      <c r="L721" s="2" t="s">
        <v>3041</v>
      </c>
      <c r="M721" s="2">
        <v>0</v>
      </c>
      <c r="N721" s="2">
        <v>0</v>
      </c>
      <c r="O721" s="2">
        <v>0</v>
      </c>
      <c r="P721" s="2" t="s">
        <v>116</v>
      </c>
      <c r="Q721" s="2" t="s">
        <v>73</v>
      </c>
      <c r="R721" s="29" t="e">
        <f>IF(INDEX(#REF!,MATCH('data '!$B721,#REF!,0),MATCH('data '!R$3,#REF!,0))=0,"",INDEX(#REF!,MATCH('data '!$B721,#REF!,0),MATCH('data '!R$3,#REF!,0)))</f>
        <v>#REF!</v>
      </c>
      <c r="S721" s="29" t="e">
        <f>IF(INDEX(#REF!,MATCH('data '!$B721,#REF!,0),MATCH('data '!S$3,#REF!,0))=0,"",INDEX(#REF!,MATCH('data '!$B721,#REF!,0),MATCH('data '!S$3,#REF!,0)))</f>
        <v>#REF!</v>
      </c>
      <c r="T721" s="29" t="e">
        <f>IF(INDEX(#REF!,MATCH('data '!$B721,#REF!,0),MATCH('data '!T$3,#REF!,0))=0,"",INDEX(#REF!,MATCH('data '!$B721,#REF!,0),MATCH('data '!T$3,#REF!,0)))</f>
        <v>#REF!</v>
      </c>
      <c r="U721" s="8" t="s">
        <v>25</v>
      </c>
      <c r="V721" s="25" t="s">
        <v>88</v>
      </c>
      <c r="W721" s="25" t="s">
        <v>89</v>
      </c>
      <c r="AC721" s="8" t="e">
        <f>VLOOKUP(B721,#REF!,19,0)</f>
        <v>#REF!</v>
      </c>
      <c r="AE721" s="8" t="s">
        <v>307</v>
      </c>
      <c r="AP721" s="8" t="str">
        <f t="shared" si="30"/>
        <v>Not yet endorsed</v>
      </c>
      <c r="AQ721" s="10" t="b" cm="1">
        <f t="array" aca="1" ref="AQ721" ca="1">IF(AM721&gt;0,(TODAY()-AM721),IF(AL721&gt;0,(TODAY()-AL721),IF(AK721&gt;0,(TODAY()-AK721,IF(AI721&gt;0,(TODAY()-AI721),IF(AG721&gt;0,(TODAY()-AG721),IF(AF721&gt;0,(TODAY()-AF721),IF(X721&gt;0,(TODAY()-X721)," "))))))))</f>
        <v>0</v>
      </c>
      <c r="AT721" s="8" t="s">
        <v>155</v>
      </c>
      <c r="AU721" s="8">
        <v>45911</v>
      </c>
      <c r="AV721" s="8">
        <v>45912</v>
      </c>
      <c r="AX721" s="8">
        <v>45915</v>
      </c>
      <c r="BD721" s="2" t="str">
        <f t="shared" si="31"/>
        <v>PO Issued</v>
      </c>
      <c r="BE721" s="2">
        <v>25</v>
      </c>
      <c r="BG721" s="2" t="e">
        <v>#N/A</v>
      </c>
    </row>
    <row r="722" spans="2:60" hidden="1" x14ac:dyDescent="0.25">
      <c r="B722" s="2" t="s">
        <v>3245</v>
      </c>
      <c r="C722" s="2" t="s">
        <v>3246</v>
      </c>
      <c r="D722" s="44" t="s">
        <v>3247</v>
      </c>
      <c r="E722" s="2" t="s">
        <v>11</v>
      </c>
      <c r="F722" s="2" t="s">
        <v>216</v>
      </c>
      <c r="G722" s="2" t="s">
        <v>1</v>
      </c>
      <c r="H722" s="2" t="s">
        <v>165</v>
      </c>
      <c r="I722" s="2" t="s">
        <v>68</v>
      </c>
      <c r="J722" s="2" t="s">
        <v>69</v>
      </c>
      <c r="K722" s="2" t="s">
        <v>217</v>
      </c>
      <c r="L722" s="2" t="s">
        <v>985</v>
      </c>
      <c r="M722" s="2">
        <v>0</v>
      </c>
      <c r="N722" s="2">
        <v>0</v>
      </c>
      <c r="O722" s="2">
        <v>0</v>
      </c>
      <c r="P722" s="2" t="s">
        <v>88</v>
      </c>
      <c r="Q722" s="2" t="s">
        <v>73</v>
      </c>
      <c r="R722" s="29" t="e">
        <f>IF(INDEX(#REF!,MATCH('data '!$B722,#REF!,0),MATCH('data '!R$3,#REF!,0))=0,"",INDEX(#REF!,MATCH('data '!$B722,#REF!,0),MATCH('data '!R$3,#REF!,0)))</f>
        <v>#REF!</v>
      </c>
      <c r="S722" s="29" t="e">
        <f>IF(INDEX(#REF!,MATCH('data '!$B722,#REF!,0),MATCH('data '!S$3,#REF!,0))=0,"",INDEX(#REF!,MATCH('data '!$B722,#REF!,0),MATCH('data '!S$3,#REF!,0)))</f>
        <v>#REF!</v>
      </c>
      <c r="T722" s="29" t="e">
        <f>IF(INDEX(#REF!,MATCH('data '!$B722,#REF!,0),MATCH('data '!T$3,#REF!,0))=0,"",INDEX(#REF!,MATCH('data '!$B722,#REF!,0),MATCH('data '!T$3,#REF!,0)))</f>
        <v>#REF!</v>
      </c>
      <c r="V722" s="25" t="s">
        <v>87</v>
      </c>
      <c r="W722" s="25" t="s">
        <v>144</v>
      </c>
      <c r="X722" s="61"/>
      <c r="Y722" s="61"/>
      <c r="AC722" s="8" t="e">
        <f>VLOOKUP(B722,#REF!,19,0)</f>
        <v>#REF!</v>
      </c>
      <c r="AP722" s="8" t="str">
        <f t="shared" si="30"/>
        <v>Not yet endorsed</v>
      </c>
      <c r="AQ722" s="10" t="b" cm="1">
        <f t="array" aca="1" ref="AQ722" ca="1">IF(AM722&gt;0,(TODAY()-AM722),IF(AL722&gt;0,(TODAY()-AL722),IF(AK722&gt;0,(TODAY()-AK722,IF(AI722&gt;0,(TODAY()-AI722),IF(AG722&gt;0,(TODAY()-AG722),IF(AF722&gt;0,(TODAY()-AF722),IF(X722&gt;0,(TODAY()-X722)," "))))))))</f>
        <v>0</v>
      </c>
      <c r="BD722" s="2" t="str">
        <f t="shared" si="31"/>
        <v>Not yet endorsed</v>
      </c>
      <c r="BE722" s="2" t="s">
        <v>75</v>
      </c>
      <c r="BG722" s="2" t="e">
        <v>#N/A</v>
      </c>
    </row>
    <row r="723" spans="2:60" hidden="1" x14ac:dyDescent="0.25">
      <c r="B723" s="2" t="s">
        <v>3248</v>
      </c>
      <c r="C723" s="2" t="s">
        <v>3249</v>
      </c>
      <c r="D723" s="44" t="s">
        <v>3250</v>
      </c>
      <c r="E723" s="2" t="s">
        <v>11</v>
      </c>
      <c r="F723" s="2" t="s">
        <v>869</v>
      </c>
      <c r="G723" s="2" t="s">
        <v>1</v>
      </c>
      <c r="H723" s="2" t="s">
        <v>165</v>
      </c>
      <c r="I723" s="2" t="s">
        <v>68</v>
      </c>
      <c r="J723" s="2" t="s">
        <v>181</v>
      </c>
      <c r="K723" s="2" t="s">
        <v>870</v>
      </c>
      <c r="L723" s="2" t="s">
        <v>871</v>
      </c>
      <c r="M723" s="2">
        <v>0</v>
      </c>
      <c r="N723" s="2">
        <v>0</v>
      </c>
      <c r="O723" s="2">
        <v>0</v>
      </c>
      <c r="P723" s="2" t="s">
        <v>482</v>
      </c>
      <c r="Q723" s="2" t="s">
        <v>73</v>
      </c>
      <c r="R723" s="29" t="e">
        <f>IF(INDEX(#REF!,MATCH('data '!$B723,#REF!,0),MATCH('data '!R$3,#REF!,0))=0,"",INDEX(#REF!,MATCH('data '!$B723,#REF!,0),MATCH('data '!R$3,#REF!,0)))</f>
        <v>#REF!</v>
      </c>
      <c r="S723" s="29" t="e">
        <f>IF(INDEX(#REF!,MATCH('data '!$B723,#REF!,0),MATCH('data '!S$3,#REF!,0))=0,"",INDEX(#REF!,MATCH('data '!$B723,#REF!,0),MATCH('data '!S$3,#REF!,0)))</f>
        <v>#REF!</v>
      </c>
      <c r="T723" s="29" t="e">
        <f>IF(INDEX(#REF!,MATCH('data '!$B723,#REF!,0),MATCH('data '!T$3,#REF!,0))=0,"",INDEX(#REF!,MATCH('data '!$B723,#REF!,0),MATCH('data '!T$3,#REF!,0)))</f>
        <v>#REF!</v>
      </c>
      <c r="V723" s="25" t="s">
        <v>249</v>
      </c>
      <c r="W723" s="25">
        <v>0</v>
      </c>
      <c r="AC723" s="8" t="e">
        <f>VLOOKUP(B723,#REF!,19,0)</f>
        <v>#REF!</v>
      </c>
      <c r="AP723" s="8" t="str">
        <f t="shared" si="30"/>
        <v>Not yet endorsed</v>
      </c>
      <c r="AQ723" s="10" t="b" cm="1">
        <f t="array" aca="1" ref="AQ723" ca="1">IF(AM723&gt;0,(TODAY()-AM723),IF(AL723&gt;0,(TODAY()-AL723),IF(AK723&gt;0,(TODAY()-AK723,IF(AI723&gt;0,(TODAY()-AI723),IF(AG723&gt;0,(TODAY()-AG723),IF(AF723&gt;0,(TODAY()-AF723),IF(X723&gt;0,(TODAY()-X723)," "))))))))</f>
        <v>0</v>
      </c>
      <c r="BD723" s="2" t="str">
        <f t="shared" si="31"/>
        <v>Not yet endorsed</v>
      </c>
      <c r="BE723" s="2" t="s">
        <v>75</v>
      </c>
      <c r="BG723" s="2" t="e">
        <v>#N/A</v>
      </c>
    </row>
    <row r="724" spans="2:60" hidden="1" x14ac:dyDescent="0.25">
      <c r="B724" s="2" t="s">
        <v>3251</v>
      </c>
      <c r="C724" s="2" t="s">
        <v>3252</v>
      </c>
      <c r="D724" s="44" t="s">
        <v>3253</v>
      </c>
      <c r="E724" s="2" t="s">
        <v>11</v>
      </c>
      <c r="F724" s="2" t="s">
        <v>450</v>
      </c>
      <c r="G724" s="2" t="s">
        <v>1</v>
      </c>
      <c r="H724" s="2" t="s">
        <v>165</v>
      </c>
      <c r="I724" s="2" t="s">
        <v>68</v>
      </c>
      <c r="J724" s="2" t="s">
        <v>239</v>
      </c>
      <c r="K724" s="2" t="s">
        <v>451</v>
      </c>
      <c r="L724" s="2" t="s">
        <v>2795</v>
      </c>
      <c r="M724" s="2" t="s">
        <v>3254</v>
      </c>
      <c r="N724" s="2">
        <v>8.5186510000000002</v>
      </c>
      <c r="O724" s="2">
        <v>125.96429999999999</v>
      </c>
      <c r="P724" s="2" t="s">
        <v>87</v>
      </c>
      <c r="Q724" s="2" t="s">
        <v>184</v>
      </c>
      <c r="R724" s="29" t="e">
        <f>IF(INDEX(#REF!,MATCH('data '!$B724,#REF!,0),MATCH('data '!R$3,#REF!,0))=0,"",INDEX(#REF!,MATCH('data '!$B724,#REF!,0),MATCH('data '!R$3,#REF!,0)))</f>
        <v>#REF!</v>
      </c>
      <c r="S724" s="29" t="e">
        <f>IF(INDEX(#REF!,MATCH('data '!$B724,#REF!,0),MATCH('data '!S$3,#REF!,0))=0,"",INDEX(#REF!,MATCH('data '!$B724,#REF!,0),MATCH('data '!S$3,#REF!,0)))</f>
        <v>#REF!</v>
      </c>
      <c r="T724" s="29" t="e">
        <f>IF(INDEX(#REF!,MATCH('data '!$B724,#REF!,0),MATCH('data '!T$3,#REF!,0))=0,"",INDEX(#REF!,MATCH('data '!$B724,#REF!,0),MATCH('data '!T$3,#REF!,0)))</f>
        <v>#REF!</v>
      </c>
      <c r="U724" s="8" t="s">
        <v>25</v>
      </c>
      <c r="V724" s="25" t="s">
        <v>266</v>
      </c>
      <c r="W724" s="25" t="s">
        <v>144</v>
      </c>
      <c r="X724" s="9" t="s">
        <v>25</v>
      </c>
      <c r="Y724" s="9">
        <v>45792</v>
      </c>
      <c r="AA724" s="8" t="s">
        <v>3126</v>
      </c>
      <c r="AC724" s="8" t="e">
        <f>VLOOKUP(B724,#REF!,19,0)</f>
        <v>#REF!</v>
      </c>
      <c r="AE724" s="8" t="s">
        <v>460</v>
      </c>
      <c r="AK724" s="8">
        <v>45867</v>
      </c>
      <c r="AP724" s="8" t="str">
        <f t="shared" si="30"/>
        <v>COOP Surveyed</v>
      </c>
      <c r="AQ724" s="10" t="e" cm="1">
        <f t="array" aca="1" ref="AQ724" ca="1">IF(AM724&gt;0,(TODAY()-AM724),IF(AL724&gt;0,(TODAY()-AL724),IF(AK724&gt;0,(TODAY()-AK724,IF(AI724&gt;0,(TODAY()-AI724),IF(AG724&gt;0,(TODAY()-AG724),IF(AF724&gt;0,(TODAY()-AF724),IF(X724&gt;0,(TODAY()-X724)," "))))))))</f>
        <v>#VALUE!</v>
      </c>
      <c r="AT724" s="8" t="s">
        <v>155</v>
      </c>
      <c r="AU724" s="8">
        <v>45824</v>
      </c>
      <c r="AV724" s="8">
        <v>45825</v>
      </c>
      <c r="AX724" s="8">
        <v>45828</v>
      </c>
      <c r="BD724" s="2" t="str">
        <f t="shared" si="31"/>
        <v>PO Issued</v>
      </c>
      <c r="BE724" s="2">
        <v>112</v>
      </c>
      <c r="BG724" s="2" t="e">
        <v>#N/A</v>
      </c>
    </row>
    <row r="725" spans="2:60" hidden="1" x14ac:dyDescent="0.25">
      <c r="B725" s="2" t="s">
        <v>3255</v>
      </c>
      <c r="C725" s="2" t="s">
        <v>3256</v>
      </c>
      <c r="D725" s="44" t="s">
        <v>3257</v>
      </c>
      <c r="E725" s="2" t="s">
        <v>11</v>
      </c>
      <c r="F725" s="2" t="s">
        <v>709</v>
      </c>
      <c r="G725" s="2" t="s">
        <v>1</v>
      </c>
      <c r="H725" s="2" t="s">
        <v>165</v>
      </c>
      <c r="I725" s="2" t="s">
        <v>68</v>
      </c>
      <c r="J725" s="2" t="s">
        <v>173</v>
      </c>
      <c r="K725" s="2" t="s">
        <v>710</v>
      </c>
      <c r="L725" s="2" t="s">
        <v>711</v>
      </c>
      <c r="M725" s="2">
        <v>0</v>
      </c>
      <c r="N725" s="2">
        <v>0</v>
      </c>
      <c r="O725" s="2">
        <v>0</v>
      </c>
      <c r="P725" s="2" t="s">
        <v>482</v>
      </c>
      <c r="Q725" s="2" t="s">
        <v>73</v>
      </c>
      <c r="R725" s="29" t="e">
        <f>IF(INDEX(#REF!,MATCH('data '!$B725,#REF!,0),MATCH('data '!R$3,#REF!,0))=0,"",INDEX(#REF!,MATCH('data '!$B725,#REF!,0),MATCH('data '!R$3,#REF!,0)))</f>
        <v>#REF!</v>
      </c>
      <c r="S725" s="29" t="e">
        <f>IF(INDEX(#REF!,MATCH('data '!$B725,#REF!,0),MATCH('data '!S$3,#REF!,0))=0,"",INDEX(#REF!,MATCH('data '!$B725,#REF!,0),MATCH('data '!S$3,#REF!,0)))</f>
        <v>#REF!</v>
      </c>
      <c r="T725" s="29" t="e">
        <f>IF(INDEX(#REF!,MATCH('data '!$B725,#REF!,0),MATCH('data '!T$3,#REF!,0))=0,"",INDEX(#REF!,MATCH('data '!$B725,#REF!,0),MATCH('data '!T$3,#REF!,0)))</f>
        <v>#REF!</v>
      </c>
      <c r="V725" s="25" t="s">
        <v>249</v>
      </c>
      <c r="W725" s="25">
        <v>0</v>
      </c>
      <c r="AC725" s="8" t="e">
        <f>VLOOKUP(B725,#REF!,19,0)</f>
        <v>#REF!</v>
      </c>
      <c r="AP725" s="8" t="str">
        <f t="shared" si="30"/>
        <v>Not yet endorsed</v>
      </c>
      <c r="AQ725" s="10" t="b" cm="1">
        <f t="array" aca="1" ref="AQ725" ca="1">IF(AM725&gt;0,(TODAY()-AM725),IF(AL725&gt;0,(TODAY()-AL725),IF(AK725&gt;0,(TODAY()-AK725,IF(AI725&gt;0,(TODAY()-AI725),IF(AG725&gt;0,(TODAY()-AG725),IF(AF725&gt;0,(TODAY()-AF725),IF(X725&gt;0,(TODAY()-X725)," "))))))))</f>
        <v>0</v>
      </c>
      <c r="BD725" s="2" t="str">
        <f t="shared" si="31"/>
        <v>Not yet endorsed</v>
      </c>
      <c r="BE725" s="2" t="s">
        <v>75</v>
      </c>
      <c r="BG725" s="2" t="e">
        <v>#N/A</v>
      </c>
    </row>
    <row r="726" spans="2:60" hidden="1" x14ac:dyDescent="0.25">
      <c r="B726" s="2" t="s">
        <v>3258</v>
      </c>
      <c r="C726" s="2" t="s">
        <v>3259</v>
      </c>
      <c r="D726" s="44" t="s">
        <v>3260</v>
      </c>
      <c r="E726" s="2" t="s">
        <v>11</v>
      </c>
      <c r="F726" s="2" t="s">
        <v>1268</v>
      </c>
      <c r="G726" s="2" t="s">
        <v>1</v>
      </c>
      <c r="H726" s="2" t="s">
        <v>165</v>
      </c>
      <c r="I726" s="2" t="s">
        <v>68</v>
      </c>
      <c r="J726" s="2" t="s">
        <v>173</v>
      </c>
      <c r="K726" s="2" t="s">
        <v>303</v>
      </c>
      <c r="L726" s="2" t="s">
        <v>3102</v>
      </c>
      <c r="M726" s="2">
        <v>0</v>
      </c>
      <c r="N726" s="2">
        <v>0</v>
      </c>
      <c r="O726" s="2">
        <v>0</v>
      </c>
      <c r="P726" s="2" t="s">
        <v>72</v>
      </c>
      <c r="Q726" s="2" t="s">
        <v>73</v>
      </c>
      <c r="R726" s="29" t="e">
        <f>IF(INDEX(#REF!,MATCH('data '!$B726,#REF!,0),MATCH('data '!R$3,#REF!,0))=0,"",INDEX(#REF!,MATCH('data '!$B726,#REF!,0),MATCH('data '!R$3,#REF!,0)))</f>
        <v>#REF!</v>
      </c>
      <c r="S726" s="29" t="e">
        <f>IF(INDEX(#REF!,MATCH('data '!$B726,#REF!,0),MATCH('data '!S$3,#REF!,0))=0,"",INDEX(#REF!,MATCH('data '!$B726,#REF!,0),MATCH('data '!S$3,#REF!,0)))</f>
        <v>#REF!</v>
      </c>
      <c r="T726" s="29" t="e">
        <f>IF(INDEX(#REF!,MATCH('data '!$B726,#REF!,0),MATCH('data '!T$3,#REF!,0))=0,"",INDEX(#REF!,MATCH('data '!$B726,#REF!,0),MATCH('data '!T$3,#REF!,0)))</f>
        <v>#REF!</v>
      </c>
      <c r="V726" s="25" t="s">
        <v>74</v>
      </c>
      <c r="W726" s="25">
        <v>0</v>
      </c>
      <c r="AC726" s="8" t="e">
        <f>VLOOKUP(B726,#REF!,19,0)</f>
        <v>#REF!</v>
      </c>
      <c r="AP726" s="8" t="str">
        <f t="shared" si="30"/>
        <v>Not yet endorsed</v>
      </c>
      <c r="AQ726" s="10" t="b" cm="1">
        <f t="array" aca="1" ref="AQ726" ca="1">IF(AM726&gt;0,(TODAY()-AM726),IF(AL726&gt;0,(TODAY()-AL726),IF(AK726&gt;0,(TODAY()-AK726,IF(AI726&gt;0,(TODAY()-AI726),IF(AG726&gt;0,(TODAY()-AG726),IF(AF726&gt;0,(TODAY()-AF726),IF(X726&gt;0,(TODAY()-X726)," "))))))))</f>
        <v>0</v>
      </c>
      <c r="BD726" s="2" t="str">
        <f t="shared" si="31"/>
        <v>Not yet endorsed</v>
      </c>
      <c r="BE726" s="2" t="s">
        <v>75</v>
      </c>
      <c r="BG726" s="2" t="e">
        <v>#N/A</v>
      </c>
    </row>
    <row r="727" spans="2:60" hidden="1" x14ac:dyDescent="0.25">
      <c r="B727" s="2" t="s">
        <v>3261</v>
      </c>
      <c r="C727" s="2" t="s">
        <v>3262</v>
      </c>
      <c r="D727" s="44" t="s">
        <v>3263</v>
      </c>
      <c r="E727" s="2" t="s">
        <v>11</v>
      </c>
      <c r="F727" s="2" t="s">
        <v>3119</v>
      </c>
      <c r="G727" s="2" t="s">
        <v>1</v>
      </c>
      <c r="H727" s="2" t="s">
        <v>165</v>
      </c>
      <c r="I727" s="2" t="s">
        <v>68</v>
      </c>
      <c r="J727" s="2" t="s">
        <v>173</v>
      </c>
      <c r="K727" s="2" t="s">
        <v>710</v>
      </c>
      <c r="L727" s="2" t="s">
        <v>3264</v>
      </c>
      <c r="M727" s="2">
        <v>0</v>
      </c>
      <c r="N727" s="2">
        <v>8.5581119999999995</v>
      </c>
      <c r="O727" s="2">
        <v>123.63601199999999</v>
      </c>
      <c r="P727" s="2" t="s">
        <v>87</v>
      </c>
      <c r="Q727" s="2" t="s">
        <v>227</v>
      </c>
      <c r="R727" s="29" t="e">
        <f>IF(INDEX(#REF!,MATCH('data '!$B727,#REF!,0),MATCH('data '!R$3,#REF!,0))=0,"",INDEX(#REF!,MATCH('data '!$B727,#REF!,0),MATCH('data '!R$3,#REF!,0)))</f>
        <v>#REF!</v>
      </c>
      <c r="S727" s="29" t="e">
        <f>IF(INDEX(#REF!,MATCH('data '!$B727,#REF!,0),MATCH('data '!S$3,#REF!,0))=0,"",INDEX(#REF!,MATCH('data '!$B727,#REF!,0),MATCH('data '!S$3,#REF!,0)))</f>
        <v>#REF!</v>
      </c>
      <c r="T727" s="29" t="e">
        <f>IF(INDEX(#REF!,MATCH('data '!$B727,#REF!,0),MATCH('data '!T$3,#REF!,0))=0,"",INDEX(#REF!,MATCH('data '!$B727,#REF!,0),MATCH('data '!T$3,#REF!,0)))</f>
        <v>#REF!</v>
      </c>
      <c r="U727" s="8" t="s">
        <v>25</v>
      </c>
      <c r="V727" s="25" t="s">
        <v>87</v>
      </c>
      <c r="W727" s="25" t="s">
        <v>144</v>
      </c>
      <c r="X727" s="43" t="s">
        <v>25</v>
      </c>
      <c r="Y727" s="43">
        <v>45878</v>
      </c>
      <c r="AC727" s="8" t="e">
        <f>VLOOKUP(B727,#REF!,19,0)</f>
        <v>#REF!</v>
      </c>
      <c r="AP727" s="8" t="str">
        <f t="shared" si="30"/>
        <v>BP Secured</v>
      </c>
      <c r="AQ727" s="10" t="b" cm="1">
        <f t="array" aca="1" ref="AQ727" ca="1">IF(AM727&gt;0,(TODAY()-AM727),IF(AL727&gt;0,(TODAY()-AL727),IF(AK727&gt;0,(TODAY()-AK727,IF(AI727&gt;0,(TODAY()-AI727),IF(AG727&gt;0,(TODAY()-AG727),IF(AF727&gt;0,(TODAY()-AF727),IF(X727&gt;0,(TODAY()-X727)," "))))))))</f>
        <v>0</v>
      </c>
      <c r="BD727" s="2" t="str">
        <f t="shared" si="31"/>
        <v>BP Secured</v>
      </c>
      <c r="BE727" s="2" t="e">
        <v>#VALUE!</v>
      </c>
      <c r="BG727" s="2" t="e">
        <v>#N/A</v>
      </c>
    </row>
    <row r="728" spans="2:60" hidden="1" x14ac:dyDescent="0.25">
      <c r="B728" s="2" t="s">
        <v>3265</v>
      </c>
      <c r="C728" s="2" t="s">
        <v>3266</v>
      </c>
      <c r="D728" s="44" t="s">
        <v>3267</v>
      </c>
      <c r="E728" s="2" t="s">
        <v>11</v>
      </c>
      <c r="F728" s="2" t="s">
        <v>1371</v>
      </c>
      <c r="G728" s="2" t="s">
        <v>1</v>
      </c>
      <c r="H728" s="2" t="s">
        <v>165</v>
      </c>
      <c r="I728" s="2" t="s">
        <v>68</v>
      </c>
      <c r="J728" s="2" t="s">
        <v>69</v>
      </c>
      <c r="K728" s="2" t="s">
        <v>1372</v>
      </c>
      <c r="L728" s="2" t="s">
        <v>1373</v>
      </c>
      <c r="M728" s="2">
        <v>0</v>
      </c>
      <c r="N728" s="2">
        <v>8.0176999999999996</v>
      </c>
      <c r="O728" s="2">
        <v>124.2689</v>
      </c>
      <c r="P728" s="2" t="s">
        <v>1830</v>
      </c>
      <c r="Q728" s="2" t="s">
        <v>73</v>
      </c>
      <c r="R728" s="29" t="e">
        <f>IF(INDEX(#REF!,MATCH('data '!$B728,#REF!,0),MATCH('data '!R$3,#REF!,0))=0,"",INDEX(#REF!,MATCH('data '!$B728,#REF!,0),MATCH('data '!R$3,#REF!,0)))</f>
        <v>#REF!</v>
      </c>
      <c r="S728" s="29" t="e">
        <f>IF(INDEX(#REF!,MATCH('data '!$B728,#REF!,0),MATCH('data '!S$3,#REF!,0))=0,"",INDEX(#REF!,MATCH('data '!$B728,#REF!,0),MATCH('data '!S$3,#REF!,0)))</f>
        <v>#REF!</v>
      </c>
      <c r="T728" s="29" t="e">
        <f>IF(INDEX(#REF!,MATCH('data '!$B728,#REF!,0),MATCH('data '!T$3,#REF!,0))=0,"",INDEX(#REF!,MATCH('data '!$B728,#REF!,0),MATCH('data '!T$3,#REF!,0)))</f>
        <v>#REF!</v>
      </c>
      <c r="V728" s="25" t="s">
        <v>74</v>
      </c>
      <c r="W728" s="25">
        <v>0</v>
      </c>
      <c r="AC728" s="8" t="e">
        <f>VLOOKUP(B728,#REF!,19,0)</f>
        <v>#REF!</v>
      </c>
      <c r="AP728" s="8" t="str">
        <f t="shared" si="30"/>
        <v>Not yet endorsed</v>
      </c>
      <c r="AQ728" s="10" t="b" cm="1">
        <f t="array" aca="1" ref="AQ728" ca="1">IF(AM728&gt;0,(TODAY()-AM728),IF(AL728&gt;0,(TODAY()-AL728),IF(AK728&gt;0,(TODAY()-AK728,IF(AI728&gt;0,(TODAY()-AI728),IF(AG728&gt;0,(TODAY()-AG728),IF(AF728&gt;0,(TODAY()-AF728),IF(X728&gt;0,(TODAY()-X728)," "))))))))</f>
        <v>0</v>
      </c>
      <c r="BD728" s="2" t="str">
        <f t="shared" si="31"/>
        <v>Not yet endorsed</v>
      </c>
      <c r="BE728" s="2" t="s">
        <v>75</v>
      </c>
      <c r="BG728" s="2" t="e">
        <v>#N/A</v>
      </c>
    </row>
    <row r="729" spans="2:60" hidden="1" x14ac:dyDescent="0.25">
      <c r="B729" s="2" t="s">
        <v>3268</v>
      </c>
      <c r="C729" s="2" t="s">
        <v>3269</v>
      </c>
      <c r="D729" s="44" t="s">
        <v>3270</v>
      </c>
      <c r="E729" s="2" t="s">
        <v>11</v>
      </c>
      <c r="F729" s="2" t="s">
        <v>1371</v>
      </c>
      <c r="G729" s="2" t="s">
        <v>1</v>
      </c>
      <c r="H729" s="2" t="s">
        <v>165</v>
      </c>
      <c r="I729" s="2" t="s">
        <v>68</v>
      </c>
      <c r="J729" s="2" t="s">
        <v>69</v>
      </c>
      <c r="K729" s="2" t="s">
        <v>1372</v>
      </c>
      <c r="L729" s="2" t="s">
        <v>1373</v>
      </c>
      <c r="M729" s="2">
        <v>0</v>
      </c>
      <c r="N729" s="2">
        <v>0</v>
      </c>
      <c r="O729" s="2">
        <v>0</v>
      </c>
      <c r="P729" s="2" t="s">
        <v>72</v>
      </c>
      <c r="Q729" s="2" t="s">
        <v>73</v>
      </c>
      <c r="R729" s="29" t="e">
        <f>IF(INDEX(#REF!,MATCH('data '!$B729,#REF!,0),MATCH('data '!R$3,#REF!,0))=0,"",INDEX(#REF!,MATCH('data '!$B729,#REF!,0),MATCH('data '!R$3,#REF!,0)))</f>
        <v>#REF!</v>
      </c>
      <c r="S729" s="29" t="e">
        <f>IF(INDEX(#REF!,MATCH('data '!$B729,#REF!,0),MATCH('data '!S$3,#REF!,0))=0,"",INDEX(#REF!,MATCH('data '!$B729,#REF!,0),MATCH('data '!S$3,#REF!,0)))</f>
        <v>#REF!</v>
      </c>
      <c r="T729" s="29" t="e">
        <f>IF(INDEX(#REF!,MATCH('data '!$B729,#REF!,0),MATCH('data '!T$3,#REF!,0))=0,"",INDEX(#REF!,MATCH('data '!$B729,#REF!,0),MATCH('data '!T$3,#REF!,0)))</f>
        <v>#REF!</v>
      </c>
      <c r="U729" s="8" t="s">
        <v>25</v>
      </c>
      <c r="V729" s="25" t="s">
        <v>74</v>
      </c>
      <c r="W729" s="25">
        <v>0</v>
      </c>
      <c r="AC729" s="8" t="e">
        <f>VLOOKUP(B729,#REF!,19,0)</f>
        <v>#REF!</v>
      </c>
      <c r="AP729" s="8" t="str">
        <f t="shared" si="30"/>
        <v>Not yet endorsed</v>
      </c>
      <c r="AQ729" s="10" t="b" cm="1">
        <f t="array" aca="1" ref="AQ729" ca="1">IF(AM729&gt;0,(TODAY()-AM729),IF(AL729&gt;0,(TODAY()-AL729),IF(AK729&gt;0,(TODAY()-AK729,IF(AI729&gt;0,(TODAY()-AI729),IF(AG729&gt;0,(TODAY()-AG729),IF(AF729&gt;0,(TODAY()-AF729),IF(X729&gt;0,(TODAY()-X729)," "))))))))</f>
        <v>0</v>
      </c>
      <c r="BD729" s="2" t="str">
        <f t="shared" si="31"/>
        <v>TSSR Approved</v>
      </c>
      <c r="BE729" s="2" t="e">
        <v>#VALUE!</v>
      </c>
      <c r="BG729" s="2" t="e">
        <v>#N/A</v>
      </c>
    </row>
    <row r="730" spans="2:60" hidden="1" x14ac:dyDescent="0.25">
      <c r="B730" s="2" t="s">
        <v>3271</v>
      </c>
      <c r="C730" s="2" t="s">
        <v>3272</v>
      </c>
      <c r="D730" s="44" t="s">
        <v>3273</v>
      </c>
      <c r="E730" s="2" t="s">
        <v>11</v>
      </c>
      <c r="F730" s="2" t="s">
        <v>1232</v>
      </c>
      <c r="G730" s="2" t="s">
        <v>1</v>
      </c>
      <c r="H730" s="2" t="s">
        <v>165</v>
      </c>
      <c r="I730" s="2" t="s">
        <v>68</v>
      </c>
      <c r="J730" s="2" t="s">
        <v>173</v>
      </c>
      <c r="K730" s="2" t="s">
        <v>1233</v>
      </c>
      <c r="L730" s="2" t="s">
        <v>2897</v>
      </c>
      <c r="M730" s="2">
        <v>0</v>
      </c>
      <c r="N730" s="2">
        <v>8.0637000000000008</v>
      </c>
      <c r="O730" s="2">
        <v>123.8133</v>
      </c>
      <c r="P730" s="2" t="s">
        <v>87</v>
      </c>
      <c r="Q730" s="2" t="s">
        <v>265</v>
      </c>
      <c r="R730" s="29" t="e">
        <f>IF(INDEX(#REF!,MATCH('data '!$B730,#REF!,0),MATCH('data '!R$3,#REF!,0))=0,"",INDEX(#REF!,MATCH('data '!$B730,#REF!,0),MATCH('data '!R$3,#REF!,0)))</f>
        <v>#REF!</v>
      </c>
      <c r="S730" s="29" t="e">
        <f>IF(INDEX(#REF!,MATCH('data '!$B730,#REF!,0),MATCH('data '!S$3,#REF!,0))=0,"",INDEX(#REF!,MATCH('data '!$B730,#REF!,0),MATCH('data '!S$3,#REF!,0)))</f>
        <v>#REF!</v>
      </c>
      <c r="T730" s="29" t="e">
        <f>IF(INDEX(#REF!,MATCH('data '!$B730,#REF!,0),MATCH('data '!T$3,#REF!,0))=0,"",INDEX(#REF!,MATCH('data '!$B730,#REF!,0),MATCH('data '!T$3,#REF!,0)))</f>
        <v>#REF!</v>
      </c>
      <c r="U730" s="8" t="s">
        <v>25</v>
      </c>
      <c r="V730" s="25" t="s">
        <v>351</v>
      </c>
      <c r="W730" s="25" t="s">
        <v>144</v>
      </c>
      <c r="X730" s="43" t="s">
        <v>25</v>
      </c>
      <c r="Y730" s="43">
        <v>45860</v>
      </c>
      <c r="AC730" s="8" t="e">
        <f>VLOOKUP(B730,#REF!,19,0)</f>
        <v>#REF!</v>
      </c>
      <c r="AE730" s="8" t="s">
        <v>472</v>
      </c>
      <c r="AP730" s="8" t="str">
        <f t="shared" si="30"/>
        <v>BP Secured</v>
      </c>
      <c r="AQ730" s="10" t="b" cm="1">
        <f t="array" aca="1" ref="AQ730" ca="1">IF(AM730&gt;0,(TODAY()-AM730),IF(AL730&gt;0,(TODAY()-AL730),IF(AK730&gt;0,(TODAY()-AK730,IF(AI730&gt;0,(TODAY()-AI730),IF(AG730&gt;0,(TODAY()-AG730),IF(AF730&gt;0,(TODAY()-AF730),IF(X730&gt;0,(TODAY()-X730)," "))))))))</f>
        <v>0</v>
      </c>
      <c r="AT730" s="8">
        <v>45927</v>
      </c>
      <c r="BD730" s="2" t="str">
        <f t="shared" si="31"/>
        <v>BoQ Submitted</v>
      </c>
      <c r="BE730" s="2">
        <v>13</v>
      </c>
      <c r="BG730" s="2" t="e">
        <v>#N/A</v>
      </c>
    </row>
    <row r="731" spans="2:60" hidden="1" x14ac:dyDescent="0.25">
      <c r="B731" s="2" t="s">
        <v>3274</v>
      </c>
      <c r="C731" s="2" t="s">
        <v>3275</v>
      </c>
      <c r="D731" s="44" t="s">
        <v>3276</v>
      </c>
      <c r="E731" s="2" t="s">
        <v>4</v>
      </c>
      <c r="F731" s="2" t="s">
        <v>538</v>
      </c>
      <c r="G731" s="2" t="s">
        <v>1</v>
      </c>
      <c r="H731" s="2" t="s">
        <v>139</v>
      </c>
      <c r="I731" s="2" t="s">
        <v>140</v>
      </c>
      <c r="J731" s="2" t="s">
        <v>122</v>
      </c>
      <c r="K731" s="2" t="s">
        <v>359</v>
      </c>
      <c r="L731" s="2" t="s">
        <v>539</v>
      </c>
      <c r="M731" s="2">
        <v>0</v>
      </c>
      <c r="N731" s="2">
        <v>0</v>
      </c>
      <c r="O731" s="2">
        <v>0</v>
      </c>
      <c r="P731" s="2" t="s">
        <v>72</v>
      </c>
      <c r="Q731" s="2" t="s">
        <v>73</v>
      </c>
      <c r="R731" s="29" t="e">
        <f>IF(INDEX(#REF!,MATCH('data '!$B731,#REF!,0),MATCH('data '!R$3,#REF!,0))=0,"",INDEX(#REF!,MATCH('data '!$B731,#REF!,0),MATCH('data '!R$3,#REF!,0)))</f>
        <v>#REF!</v>
      </c>
      <c r="S731" s="29" t="e">
        <f>IF(INDEX(#REF!,MATCH('data '!$B731,#REF!,0),MATCH('data '!S$3,#REF!,0))=0,"",INDEX(#REF!,MATCH('data '!$B731,#REF!,0),MATCH('data '!S$3,#REF!,0)))</f>
        <v>#REF!</v>
      </c>
      <c r="T731" s="29" t="e">
        <f>IF(INDEX(#REF!,MATCH('data '!$B731,#REF!,0),MATCH('data '!T$3,#REF!,0))=0,"",INDEX(#REF!,MATCH('data '!$B731,#REF!,0),MATCH('data '!T$3,#REF!,0)))</f>
        <v>#REF!</v>
      </c>
      <c r="V731" s="25" t="s">
        <v>74</v>
      </c>
      <c r="W731" s="25">
        <v>0</v>
      </c>
      <c r="AC731" s="8" t="e">
        <f>VLOOKUP(B731,#REF!,19,0)</f>
        <v>#REF!</v>
      </c>
      <c r="AP731" s="8" t="str">
        <f t="shared" si="30"/>
        <v>Not yet endorsed</v>
      </c>
      <c r="AQ731" s="10" t="b" cm="1">
        <f t="array" aca="1" ref="AQ731" ca="1">IF(AM731&gt;0,(TODAY()-AM731),IF(AL731&gt;0,(TODAY()-AL731),IF(AK731&gt;0,(TODAY()-AK731,IF(AI731&gt;0,(TODAY()-AI731),IF(AG731&gt;0,(TODAY()-AG731),IF(AF731&gt;0,(TODAY()-AF731),IF(X731&gt;0,(TODAY()-X731)," "))))))))</f>
        <v>0</v>
      </c>
      <c r="BD731" s="2" t="str">
        <f t="shared" si="31"/>
        <v>Not yet endorsed</v>
      </c>
      <c r="BE731" s="2" t="s">
        <v>75</v>
      </c>
      <c r="BG731" s="2" t="e">
        <v>#N/A</v>
      </c>
    </row>
    <row r="732" spans="2:60" hidden="1" x14ac:dyDescent="0.25">
      <c r="B732" s="2" t="s">
        <v>3277</v>
      </c>
      <c r="C732" s="2" t="s">
        <v>3278</v>
      </c>
      <c r="D732" s="44" t="s">
        <v>3279</v>
      </c>
      <c r="E732" s="2" t="s">
        <v>3</v>
      </c>
      <c r="F732" s="2" t="s">
        <v>138</v>
      </c>
      <c r="G732" s="2" t="s">
        <v>1</v>
      </c>
      <c r="H732" s="2" t="s">
        <v>139</v>
      </c>
      <c r="I732" s="2" t="s">
        <v>140</v>
      </c>
      <c r="J732" s="2" t="s">
        <v>141</v>
      </c>
      <c r="K732" s="2" t="s">
        <v>142</v>
      </c>
      <c r="L732" s="2" t="s">
        <v>1943</v>
      </c>
      <c r="M732" s="2">
        <v>0</v>
      </c>
      <c r="N732" s="2">
        <v>17.715352200000002</v>
      </c>
      <c r="O732" s="2">
        <v>120.4243156</v>
      </c>
      <c r="P732" s="2" t="s">
        <v>87</v>
      </c>
      <c r="Q732" s="2" t="s">
        <v>314</v>
      </c>
      <c r="R732" s="29" t="e">
        <f>IF(INDEX(#REF!,MATCH('data '!$B732,#REF!,0),MATCH('data '!R$3,#REF!,0))=0,"",INDEX(#REF!,MATCH('data '!$B732,#REF!,0),MATCH('data '!R$3,#REF!,0)))</f>
        <v>#REF!</v>
      </c>
      <c r="S732" s="29" t="e">
        <f>IF(INDEX(#REF!,MATCH('data '!$B732,#REF!,0),MATCH('data '!S$3,#REF!,0))=0,"",INDEX(#REF!,MATCH('data '!$B732,#REF!,0),MATCH('data '!S$3,#REF!,0)))</f>
        <v>#REF!</v>
      </c>
      <c r="T732" s="29" t="e">
        <f>IF(INDEX(#REF!,MATCH('data '!$B732,#REF!,0),MATCH('data '!T$3,#REF!,0))=0,"",INDEX(#REF!,MATCH('data '!$B732,#REF!,0),MATCH('data '!T$3,#REF!,0)))</f>
        <v>#REF!</v>
      </c>
      <c r="V732" s="25" t="s">
        <v>87</v>
      </c>
      <c r="W732" s="25" t="s">
        <v>144</v>
      </c>
      <c r="X732" s="43" t="s">
        <v>25</v>
      </c>
      <c r="Y732" s="43">
        <v>45911</v>
      </c>
      <c r="AC732" s="8" t="e">
        <f>VLOOKUP(B732,#REF!,19,0)</f>
        <v>#REF!</v>
      </c>
      <c r="AE732" s="8" t="s">
        <v>145</v>
      </c>
      <c r="AF732" s="8">
        <v>45938</v>
      </c>
      <c r="AG732" s="8">
        <v>45939</v>
      </c>
      <c r="AH732" s="8" t="s">
        <v>146</v>
      </c>
      <c r="AI732" s="8">
        <v>45943</v>
      </c>
      <c r="AJ732" s="8" t="s">
        <v>147</v>
      </c>
      <c r="AK732" s="8">
        <v>45999</v>
      </c>
      <c r="AL732" s="8">
        <v>46010</v>
      </c>
      <c r="AM732" s="8">
        <v>46014</v>
      </c>
      <c r="AO732" s="8" t="s">
        <v>561</v>
      </c>
      <c r="AP732" s="8" t="str">
        <f t="shared" si="30"/>
        <v>Tempo Energized</v>
      </c>
      <c r="AQ732" s="10" cm="1">
        <f t="array" aca="1" ref="AQ732" ca="1">IF(AM732&gt;0,(TODAY()-AM732),IF(AL732&gt;0,(TODAY()-AL732),IF(AK732&gt;0,(TODAY()-AK732,IF(AI732&gt;0,(TODAY()-AI732),IF(AG732&gt;0,(TODAY()-AG732),IF(AF732&gt;0,(TODAY()-AF732),IF(X732&gt;0,(TODAY()-X732)," "))))))))</f>
        <v>92</v>
      </c>
      <c r="AT732" s="8">
        <v>45994</v>
      </c>
      <c r="AU732" s="11"/>
      <c r="AV732" s="11"/>
      <c r="AW732" s="11"/>
      <c r="AX732" s="11"/>
      <c r="AY732" s="11"/>
      <c r="BD732" s="2" t="str">
        <f t="shared" si="31"/>
        <v>BoQ Submitted</v>
      </c>
      <c r="BE732" s="2">
        <v>2</v>
      </c>
      <c r="BG732" s="2" t="s">
        <v>149</v>
      </c>
      <c r="BH732" s="2" t="e" vm="1">
        <v>#REF!</v>
      </c>
    </row>
    <row r="733" spans="2:60" hidden="1" x14ac:dyDescent="0.25">
      <c r="B733" s="7" t="s">
        <v>3280</v>
      </c>
      <c r="C733" s="2" t="s">
        <v>3281</v>
      </c>
      <c r="D733" s="44" t="s">
        <v>3282</v>
      </c>
      <c r="E733" s="2" t="s">
        <v>3</v>
      </c>
      <c r="F733" s="2" t="s">
        <v>279</v>
      </c>
      <c r="G733" s="2" t="s">
        <v>1</v>
      </c>
      <c r="H733" s="2" t="s">
        <v>139</v>
      </c>
      <c r="I733" s="2" t="s">
        <v>140</v>
      </c>
      <c r="J733" s="2" t="s">
        <v>141</v>
      </c>
      <c r="K733" s="2" t="s">
        <v>280</v>
      </c>
      <c r="L733" s="2" t="s">
        <v>1834</v>
      </c>
      <c r="M733" s="2">
        <v>0</v>
      </c>
      <c r="N733" s="2">
        <v>17.972311659999999</v>
      </c>
      <c r="O733" s="2">
        <v>120.66024830000001</v>
      </c>
      <c r="P733" s="2" t="s">
        <v>87</v>
      </c>
      <c r="Q733" s="2" t="s">
        <v>227</v>
      </c>
      <c r="R733" s="29" t="e">
        <f>IF(INDEX(#REF!,MATCH('data '!$B733,#REF!,0),MATCH('data '!R$3,#REF!,0))=0,"",INDEX(#REF!,MATCH('data '!$B733,#REF!,0),MATCH('data '!R$3,#REF!,0)))</f>
        <v>#REF!</v>
      </c>
      <c r="S733" s="29" t="e">
        <f>IF(INDEX(#REF!,MATCH('data '!$B733,#REF!,0),MATCH('data '!S$3,#REF!,0))=0,"",INDEX(#REF!,MATCH('data '!$B733,#REF!,0),MATCH('data '!S$3,#REF!,0)))</f>
        <v>#REF!</v>
      </c>
      <c r="T733" s="29" t="e">
        <f>IF(INDEX(#REF!,MATCH('data '!$B733,#REF!,0),MATCH('data '!T$3,#REF!,0))=0,"",INDEX(#REF!,MATCH('data '!$B733,#REF!,0),MATCH('data '!T$3,#REF!,0)))</f>
        <v>#REF!</v>
      </c>
      <c r="V733" s="25" t="s">
        <v>160</v>
      </c>
      <c r="W733" s="25" t="s">
        <v>144</v>
      </c>
      <c r="X733" s="9" t="s">
        <v>25</v>
      </c>
      <c r="Y733" s="9">
        <v>45911</v>
      </c>
      <c r="AC733" s="8" t="e">
        <f>VLOOKUP(B733,#REF!,19,0)</f>
        <v>#REF!</v>
      </c>
      <c r="AE733" s="8" t="s">
        <v>145</v>
      </c>
      <c r="AF733" s="8">
        <v>45938</v>
      </c>
      <c r="AG733" s="8">
        <v>45939</v>
      </c>
      <c r="AH733" s="8" t="s">
        <v>146</v>
      </c>
      <c r="AI733" s="8">
        <v>45943</v>
      </c>
      <c r="AJ733" s="8" t="s">
        <v>147</v>
      </c>
      <c r="AK733" s="8">
        <v>45950</v>
      </c>
      <c r="AL733" s="8">
        <v>45971</v>
      </c>
      <c r="AM733" s="8">
        <v>45981</v>
      </c>
      <c r="AP733" s="8" t="str">
        <f t="shared" si="30"/>
        <v>Tempo Energized</v>
      </c>
      <c r="AQ733" s="10" cm="1">
        <f t="array" aca="1" ref="AQ733" ca="1">IF(AM733&gt;0,(TODAY()-AM733),IF(AL733&gt;0,(TODAY()-AL733),IF(AK733&gt;0,(TODAY()-AK733,IF(AI733&gt;0,(TODAY()-AI733),IF(AG733&gt;0,(TODAY()-AG733),IF(AF733&gt;0,(TODAY()-AF733),IF(X733&gt;0,(TODAY()-X733)," "))))))))</f>
        <v>125</v>
      </c>
      <c r="AT733" s="8">
        <v>45994</v>
      </c>
      <c r="AU733" s="11"/>
      <c r="AV733" s="11"/>
      <c r="AW733" s="11"/>
      <c r="AX733" s="11"/>
      <c r="AY733" s="11"/>
      <c r="BD733" s="2" t="str">
        <f t="shared" si="31"/>
        <v>BoQ Submitted</v>
      </c>
      <c r="BE733" s="2">
        <v>2</v>
      </c>
      <c r="BG733" s="2" t="s">
        <v>149</v>
      </c>
      <c r="BH733" s="2" t="e" vm="1">
        <v>#REF!</v>
      </c>
    </row>
    <row r="734" spans="2:60" hidden="1" x14ac:dyDescent="0.25">
      <c r="B734" s="2" t="s">
        <v>3283</v>
      </c>
      <c r="C734" s="2" t="s">
        <v>3284</v>
      </c>
      <c r="D734" s="44" t="s">
        <v>3285</v>
      </c>
      <c r="E734" s="2" t="s">
        <v>3</v>
      </c>
      <c r="F734" s="2" t="s">
        <v>279</v>
      </c>
      <c r="G734" s="2" t="s">
        <v>1</v>
      </c>
      <c r="H734" s="2" t="s">
        <v>139</v>
      </c>
      <c r="I734" s="2" t="s">
        <v>140</v>
      </c>
      <c r="J734" s="2" t="s">
        <v>141</v>
      </c>
      <c r="K734" s="2" t="s">
        <v>280</v>
      </c>
      <c r="L734" s="2" t="s">
        <v>1344</v>
      </c>
      <c r="M734" s="2">
        <v>0</v>
      </c>
      <c r="N734" s="2">
        <v>0</v>
      </c>
      <c r="O734" s="2">
        <v>0</v>
      </c>
      <c r="P734" s="2" t="s">
        <v>116</v>
      </c>
      <c r="Q734" s="2" t="s">
        <v>73</v>
      </c>
      <c r="R734" s="29" t="e">
        <f>IF(INDEX(#REF!,MATCH('data '!$B734,#REF!,0),MATCH('data '!R$3,#REF!,0))=0,"",INDEX(#REF!,MATCH('data '!$B734,#REF!,0),MATCH('data '!R$3,#REF!,0)))</f>
        <v>#REF!</v>
      </c>
      <c r="S734" s="29" t="e">
        <f>IF(INDEX(#REF!,MATCH('data '!$B734,#REF!,0),MATCH('data '!S$3,#REF!,0))=0,"",INDEX(#REF!,MATCH('data '!$B734,#REF!,0),MATCH('data '!S$3,#REF!,0)))</f>
        <v>#REF!</v>
      </c>
      <c r="T734" s="29" t="e">
        <f>IF(INDEX(#REF!,MATCH('data '!$B734,#REF!,0),MATCH('data '!T$3,#REF!,0))=0,"",INDEX(#REF!,MATCH('data '!$B734,#REF!,0),MATCH('data '!T$3,#REF!,0)))</f>
        <v>#REF!</v>
      </c>
      <c r="U734" s="8" t="s">
        <v>25</v>
      </c>
      <c r="V734" s="25" t="s">
        <v>74</v>
      </c>
      <c r="W734" s="25">
        <v>0</v>
      </c>
      <c r="AC734" s="8" t="e">
        <f>VLOOKUP(B734,#REF!,19,0)</f>
        <v>#REF!</v>
      </c>
      <c r="AP734" s="8" t="str">
        <f t="shared" si="30"/>
        <v>Not yet endorsed</v>
      </c>
      <c r="AQ734" s="10" t="b" cm="1">
        <f t="array" aca="1" ref="AQ734" ca="1">IF(AM734&gt;0,(TODAY()-AM734),IF(AL734&gt;0,(TODAY()-AL734),IF(AK734&gt;0,(TODAY()-AK734,IF(AI734&gt;0,(TODAY()-AI734),IF(AG734&gt;0,(TODAY()-AG734),IF(AF734&gt;0,(TODAY()-AF734),IF(X734&gt;0,(TODAY()-X734)," "))))))))</f>
        <v>0</v>
      </c>
      <c r="BD734" s="2" t="str">
        <f t="shared" si="31"/>
        <v>TSSR Approved</v>
      </c>
      <c r="BE734" s="2" t="e">
        <v>#VALUE!</v>
      </c>
      <c r="BG734" s="2" t="e">
        <v>#N/A</v>
      </c>
      <c r="BH734" s="2" t="e" vm="1">
        <v>#REF!</v>
      </c>
    </row>
    <row r="735" spans="2:60" hidden="1" x14ac:dyDescent="0.25">
      <c r="B735" s="2" t="s">
        <v>3286</v>
      </c>
      <c r="C735" s="2" t="s">
        <v>3287</v>
      </c>
      <c r="D735" s="44" t="s">
        <v>3288</v>
      </c>
      <c r="E735" s="2" t="s">
        <v>3</v>
      </c>
      <c r="F735" s="2" t="s">
        <v>279</v>
      </c>
      <c r="G735" s="2" t="s">
        <v>1</v>
      </c>
      <c r="H735" s="2" t="s">
        <v>139</v>
      </c>
      <c r="I735" s="2" t="s">
        <v>140</v>
      </c>
      <c r="J735" s="2" t="s">
        <v>141</v>
      </c>
      <c r="K735" s="2" t="s">
        <v>280</v>
      </c>
      <c r="L735" s="2" t="s">
        <v>1749</v>
      </c>
      <c r="M735" s="2">
        <v>0</v>
      </c>
      <c r="N735" s="2">
        <v>18.186199999999999</v>
      </c>
      <c r="O735" s="2">
        <v>120.72069999999999</v>
      </c>
      <c r="P735" s="2" t="s">
        <v>87</v>
      </c>
      <c r="Q735" s="2" t="s">
        <v>184</v>
      </c>
      <c r="R735" s="29" t="e">
        <f>IF(INDEX(#REF!,MATCH('data '!$B735,#REF!,0),MATCH('data '!R$3,#REF!,0))=0,"",INDEX(#REF!,MATCH('data '!$B735,#REF!,0),MATCH('data '!R$3,#REF!,0)))</f>
        <v>#REF!</v>
      </c>
      <c r="S735" s="29" t="e">
        <f>IF(INDEX(#REF!,MATCH('data '!$B735,#REF!,0),MATCH('data '!S$3,#REF!,0))=0,"",INDEX(#REF!,MATCH('data '!$B735,#REF!,0),MATCH('data '!S$3,#REF!,0)))</f>
        <v>#REF!</v>
      </c>
      <c r="T735" s="29" t="e">
        <f>IF(INDEX(#REF!,MATCH('data '!$B735,#REF!,0),MATCH('data '!T$3,#REF!,0))=0,"",INDEX(#REF!,MATCH('data '!$B735,#REF!,0),MATCH('data '!T$3,#REF!,0)))</f>
        <v>#REF!</v>
      </c>
      <c r="U735" s="8" t="s">
        <v>25</v>
      </c>
      <c r="V735" s="25" t="s">
        <v>266</v>
      </c>
      <c r="W735" s="25" t="s">
        <v>144</v>
      </c>
      <c r="X735" s="9" t="s">
        <v>25</v>
      </c>
      <c r="Y735" s="9">
        <v>45863</v>
      </c>
      <c r="Z735" s="8">
        <v>45665</v>
      </c>
      <c r="AA735" s="8" t="s">
        <v>1414</v>
      </c>
      <c r="AC735" s="8" t="e">
        <f>VLOOKUP(B735,#REF!,19,0)</f>
        <v>#REF!</v>
      </c>
      <c r="AE735" s="8" t="s">
        <v>145</v>
      </c>
      <c r="AF735" s="8">
        <v>45908</v>
      </c>
      <c r="AG735" s="8">
        <v>45908</v>
      </c>
      <c r="AH735" s="8" t="s">
        <v>398</v>
      </c>
      <c r="AI735" s="8">
        <v>45909</v>
      </c>
      <c r="AJ735" s="8" t="s">
        <v>399</v>
      </c>
      <c r="AK735" s="8">
        <v>45916</v>
      </c>
      <c r="AL735" s="8">
        <v>45915</v>
      </c>
      <c r="AM735" s="8">
        <v>45901</v>
      </c>
      <c r="AP735" s="8" t="str">
        <f t="shared" si="30"/>
        <v>Tempo Energized</v>
      </c>
      <c r="AS735" s="8" t="e">
        <v>#N/A</v>
      </c>
      <c r="AT735" s="8">
        <v>45907</v>
      </c>
      <c r="AU735" s="8">
        <v>45960</v>
      </c>
      <c r="AV735" s="8">
        <v>45960</v>
      </c>
      <c r="AW735" s="8" t="s">
        <v>1750</v>
      </c>
      <c r="AX735" s="8">
        <v>45961</v>
      </c>
      <c r="AY735" s="8" t="s">
        <v>1751</v>
      </c>
      <c r="BD735" s="2" t="str">
        <f t="shared" si="31"/>
        <v>PO Issued</v>
      </c>
      <c r="BE735" s="2">
        <v>33</v>
      </c>
      <c r="BF735" s="2" t="s">
        <v>1626</v>
      </c>
      <c r="BG735" s="2" t="e">
        <v>#N/A</v>
      </c>
      <c r="BH735" s="2" t="e" vm="1">
        <v>#REF!</v>
      </c>
    </row>
    <row r="736" spans="2:60" hidden="1" x14ac:dyDescent="0.25">
      <c r="B736" s="2" t="s">
        <v>3289</v>
      </c>
      <c r="C736" s="2" t="s">
        <v>3290</v>
      </c>
      <c r="D736" s="44" t="s">
        <v>3291</v>
      </c>
      <c r="E736" s="2" t="s">
        <v>4</v>
      </c>
      <c r="F736" s="2" t="s">
        <v>2078</v>
      </c>
      <c r="G736" s="2" t="s">
        <v>1</v>
      </c>
      <c r="H736" s="2" t="s">
        <v>120</v>
      </c>
      <c r="I736" s="2" t="s">
        <v>140</v>
      </c>
      <c r="J736" s="2" t="s">
        <v>122</v>
      </c>
      <c r="K736" s="2" t="s">
        <v>2079</v>
      </c>
      <c r="L736" s="2" t="s">
        <v>2256</v>
      </c>
      <c r="M736" s="2">
        <v>0</v>
      </c>
      <c r="N736" s="2">
        <v>14.935700000000001</v>
      </c>
      <c r="O736" s="2">
        <v>120.06910000000001</v>
      </c>
      <c r="P736" s="2" t="s">
        <v>87</v>
      </c>
      <c r="Q736" s="2" t="s">
        <v>265</v>
      </c>
      <c r="R736" s="29" t="e">
        <f>IF(INDEX(#REF!,MATCH('data '!$B736,#REF!,0),MATCH('data '!R$3,#REF!,0))=0,"",INDEX(#REF!,MATCH('data '!$B736,#REF!,0),MATCH('data '!R$3,#REF!,0)))</f>
        <v>#REF!</v>
      </c>
      <c r="S736" s="29" t="e">
        <f>IF(INDEX(#REF!,MATCH('data '!$B736,#REF!,0),MATCH('data '!S$3,#REF!,0))=0,"",INDEX(#REF!,MATCH('data '!$B736,#REF!,0),MATCH('data '!S$3,#REF!,0)))</f>
        <v>#REF!</v>
      </c>
      <c r="T736" s="29" t="e">
        <f>IF(INDEX(#REF!,MATCH('data '!$B736,#REF!,0),MATCH('data '!T$3,#REF!,0))=0,"",INDEX(#REF!,MATCH('data '!$B736,#REF!,0),MATCH('data '!T$3,#REF!,0)))</f>
        <v>#REF!</v>
      </c>
      <c r="U736" s="8" t="s">
        <v>25</v>
      </c>
      <c r="V736" s="25" t="s">
        <v>266</v>
      </c>
      <c r="W736" s="25" t="s">
        <v>144</v>
      </c>
      <c r="X736" s="9" t="s">
        <v>25</v>
      </c>
      <c r="Y736" s="9">
        <v>45846</v>
      </c>
      <c r="Z736" s="8">
        <v>45755</v>
      </c>
      <c r="AA736" s="8" t="s">
        <v>3002</v>
      </c>
      <c r="AB736" s="8">
        <v>45922</v>
      </c>
      <c r="AC736" s="8" t="e">
        <f>VLOOKUP(B736,#REF!,19,0)</f>
        <v>#REF!</v>
      </c>
      <c r="AE736" s="8" t="s">
        <v>1681</v>
      </c>
      <c r="AF736" s="8">
        <v>45853</v>
      </c>
      <c r="AH736" s="8" t="s">
        <v>362</v>
      </c>
      <c r="AP736" s="8" t="str">
        <f t="shared" si="30"/>
        <v>Vendor Allocated</v>
      </c>
      <c r="AQ736" s="10" t="b" cm="1">
        <f t="array" aca="1" ref="AQ736" ca="1">IF(AM736&gt;0,(TODAY()-AM736),IF(AL736&gt;0,(TODAY()-AL736),IF(AK736&gt;0,(TODAY()-AK736,IF(AI736&gt;0,(TODAY()-AI736),IF(AG736&gt;0,(TODAY()-AG736),IF(AF736&gt;0,(TODAY()-AF736),IF(X736&gt;0,(TODAY()-X736)," "))))))))</f>
        <v>0</v>
      </c>
      <c r="AT736" s="8">
        <v>45973</v>
      </c>
      <c r="AU736" s="8">
        <v>45986</v>
      </c>
      <c r="AV736" s="8">
        <v>45986</v>
      </c>
      <c r="AW736" s="8" t="s">
        <v>2145</v>
      </c>
      <c r="AX736" s="8">
        <v>45987</v>
      </c>
      <c r="AY736" s="8" t="s">
        <v>2146</v>
      </c>
      <c r="BD736" s="2" t="str">
        <f t="shared" si="31"/>
        <v>PO Issued</v>
      </c>
      <c r="BE736" s="2">
        <v>87</v>
      </c>
      <c r="BF736" s="2" t="s">
        <v>3292</v>
      </c>
      <c r="BG736" s="2" t="e">
        <v>#N/A</v>
      </c>
    </row>
    <row r="737" spans="1:60" hidden="1" x14ac:dyDescent="0.25">
      <c r="B737" s="2" t="s">
        <v>3293</v>
      </c>
      <c r="C737" s="2" t="s">
        <v>3294</v>
      </c>
      <c r="D737" s="44" t="s">
        <v>3295</v>
      </c>
      <c r="E737" s="2" t="s">
        <v>4</v>
      </c>
      <c r="F737" s="2" t="s">
        <v>245</v>
      </c>
      <c r="G737" s="2" t="s">
        <v>1</v>
      </c>
      <c r="H737" s="2" t="s">
        <v>120</v>
      </c>
      <c r="I737" s="2" t="s">
        <v>140</v>
      </c>
      <c r="J737" s="2" t="s">
        <v>122</v>
      </c>
      <c r="K737" s="2" t="s">
        <v>246</v>
      </c>
      <c r="L737" s="2" t="s">
        <v>3296</v>
      </c>
      <c r="M737" s="2">
        <v>0</v>
      </c>
      <c r="N737" s="2">
        <v>0</v>
      </c>
      <c r="O737" s="2">
        <v>0</v>
      </c>
      <c r="P737" s="2" t="s">
        <v>204</v>
      </c>
      <c r="Q737" s="2" t="s">
        <v>73</v>
      </c>
      <c r="R737" s="29" t="e">
        <f>IF(INDEX(#REF!,MATCH('data '!$B737,#REF!,0),MATCH('data '!R$3,#REF!,0))=0,"",INDEX(#REF!,MATCH('data '!$B737,#REF!,0),MATCH('data '!R$3,#REF!,0)))</f>
        <v>#REF!</v>
      </c>
      <c r="S737" s="29" t="e">
        <f>IF(INDEX(#REF!,MATCH('data '!$B737,#REF!,0),MATCH('data '!S$3,#REF!,0))=0,"",INDEX(#REF!,MATCH('data '!$B737,#REF!,0),MATCH('data '!S$3,#REF!,0)))</f>
        <v>#REF!</v>
      </c>
      <c r="T737" s="29" t="e">
        <f>IF(INDEX(#REF!,MATCH('data '!$B737,#REF!,0),MATCH('data '!T$3,#REF!,0))=0,"",INDEX(#REF!,MATCH('data '!$B737,#REF!,0),MATCH('data '!T$3,#REF!,0)))</f>
        <v>#REF!</v>
      </c>
      <c r="V737" s="25" t="s">
        <v>204</v>
      </c>
      <c r="W737" s="25">
        <v>0</v>
      </c>
      <c r="AC737" s="8" t="e">
        <f>VLOOKUP(B737,#REF!,19,0)</f>
        <v>#REF!</v>
      </c>
      <c r="AP737" s="8" t="str">
        <f t="shared" si="30"/>
        <v>Not yet endorsed</v>
      </c>
      <c r="AQ737" s="10" t="b" cm="1">
        <f t="array" aca="1" ref="AQ737" ca="1">IF(AM737&gt;0,(TODAY()-AM737),IF(AL737&gt;0,(TODAY()-AL737),IF(AK737&gt;0,(TODAY()-AK737,IF(AI737&gt;0,(TODAY()-AI737),IF(AG737&gt;0,(TODAY()-AG737),IF(AF737&gt;0,(TODAY()-AF737),IF(X737&gt;0,(TODAY()-X737)," "))))))))</f>
        <v>0</v>
      </c>
      <c r="BD737" s="2" t="str">
        <f t="shared" si="31"/>
        <v>Not yet endorsed</v>
      </c>
      <c r="BE737" s="2" t="s">
        <v>75</v>
      </c>
      <c r="BG737" s="2" t="e">
        <v>#N/A</v>
      </c>
    </row>
    <row r="738" spans="1:60" hidden="1" x14ac:dyDescent="0.25">
      <c r="B738" s="2" t="s">
        <v>3297</v>
      </c>
      <c r="C738" s="2" t="s">
        <v>3298</v>
      </c>
      <c r="D738" s="44" t="s">
        <v>3299</v>
      </c>
      <c r="E738" s="2" t="s">
        <v>3</v>
      </c>
      <c r="F738" s="2" t="s">
        <v>1579</v>
      </c>
      <c r="G738" s="2" t="s">
        <v>1</v>
      </c>
      <c r="H738" s="2" t="s">
        <v>139</v>
      </c>
      <c r="I738" s="2" t="s">
        <v>140</v>
      </c>
      <c r="J738" s="2" t="s">
        <v>224</v>
      </c>
      <c r="K738" s="2" t="s">
        <v>1580</v>
      </c>
      <c r="L738" s="2" t="s">
        <v>1581</v>
      </c>
      <c r="M738" s="2">
        <v>0</v>
      </c>
      <c r="N738" s="2">
        <v>16.590499999999999</v>
      </c>
      <c r="O738" s="2">
        <v>121.2486</v>
      </c>
      <c r="P738" s="2" t="s">
        <v>87</v>
      </c>
      <c r="Q738" s="2" t="s">
        <v>227</v>
      </c>
      <c r="R738" s="29" t="e">
        <f>IF(INDEX(#REF!,MATCH('data '!$B738,#REF!,0),MATCH('data '!R$3,#REF!,0))=0,"",INDEX(#REF!,MATCH('data '!$B738,#REF!,0),MATCH('data '!R$3,#REF!,0)))</f>
        <v>#REF!</v>
      </c>
      <c r="S738" s="29" t="e">
        <f>IF(INDEX(#REF!,MATCH('data '!$B738,#REF!,0),MATCH('data '!S$3,#REF!,0))=0,"",INDEX(#REF!,MATCH('data '!$B738,#REF!,0),MATCH('data '!S$3,#REF!,0)))</f>
        <v>#REF!</v>
      </c>
      <c r="T738" s="29" t="e">
        <f>IF(INDEX(#REF!,MATCH('data '!$B738,#REF!,0),MATCH('data '!T$3,#REF!,0))=0,"",INDEX(#REF!,MATCH('data '!$B738,#REF!,0),MATCH('data '!T$3,#REF!,0)))</f>
        <v>#REF!</v>
      </c>
      <c r="U738" s="8" t="s">
        <v>25</v>
      </c>
      <c r="V738" s="25" t="s">
        <v>160</v>
      </c>
      <c r="W738" s="25" t="s">
        <v>144</v>
      </c>
      <c r="X738" s="9" t="s">
        <v>25</v>
      </c>
      <c r="Y738" s="9">
        <v>45863</v>
      </c>
      <c r="Z738" s="8">
        <v>46000</v>
      </c>
      <c r="AC738" s="8" t="e">
        <f>VLOOKUP(B738,#REF!,19,0)</f>
        <v>#REF!</v>
      </c>
      <c r="AE738" s="8" t="s">
        <v>212</v>
      </c>
      <c r="AF738" s="8">
        <v>45908</v>
      </c>
      <c r="AG738" s="8">
        <v>45908</v>
      </c>
      <c r="AH738" s="8" t="s">
        <v>507</v>
      </c>
      <c r="AI738" s="8">
        <v>45909</v>
      </c>
      <c r="AJ738" s="8" t="s">
        <v>508</v>
      </c>
      <c r="AK738" s="8">
        <v>45916</v>
      </c>
      <c r="AL738" s="8">
        <v>45915</v>
      </c>
      <c r="AM738" s="8">
        <v>45936</v>
      </c>
      <c r="AP738" s="8" t="str">
        <f t="shared" si="30"/>
        <v>Tempo Energized</v>
      </c>
      <c r="AT738" s="8">
        <v>45926</v>
      </c>
      <c r="AU738" s="8">
        <v>45950</v>
      </c>
      <c r="AV738" s="8">
        <v>45950</v>
      </c>
      <c r="AW738" s="8" t="s">
        <v>1582</v>
      </c>
      <c r="AX738" s="8">
        <v>45950</v>
      </c>
      <c r="AY738" s="8" t="s">
        <v>1583</v>
      </c>
      <c r="BD738" s="2" t="str">
        <f t="shared" si="31"/>
        <v>PO Issued</v>
      </c>
      <c r="BE738" s="2">
        <v>14</v>
      </c>
      <c r="BG738" s="2" t="e">
        <v>#N/A</v>
      </c>
      <c r="BH738" s="2" t="e" vm="1">
        <v>#REF!</v>
      </c>
    </row>
    <row r="739" spans="1:60" hidden="1" x14ac:dyDescent="0.25">
      <c r="B739" s="26" t="s">
        <v>3300</v>
      </c>
      <c r="C739" s="2" t="s">
        <v>3301</v>
      </c>
      <c r="D739" s="44" t="s">
        <v>3302</v>
      </c>
      <c r="E739" s="2" t="s">
        <v>5</v>
      </c>
      <c r="F739" s="2" t="s">
        <v>1779</v>
      </c>
      <c r="G739" s="2" t="s">
        <v>1</v>
      </c>
      <c r="H739" s="2" t="s">
        <v>139</v>
      </c>
      <c r="I739" s="2" t="s">
        <v>140</v>
      </c>
      <c r="J739" s="2" t="s">
        <v>224</v>
      </c>
      <c r="K739" s="2" t="s">
        <v>1780</v>
      </c>
      <c r="L739" s="2" t="s">
        <v>1791</v>
      </c>
      <c r="M739" s="2">
        <v>0</v>
      </c>
      <c r="N739" s="2">
        <v>16.453344000000001</v>
      </c>
      <c r="O739" s="2">
        <v>121.628989</v>
      </c>
      <c r="P739" s="2" t="s">
        <v>87</v>
      </c>
      <c r="Q739" s="2" t="s">
        <v>198</v>
      </c>
      <c r="R739" s="29" t="e">
        <f>IF(INDEX(#REF!,MATCH('data '!$B739,#REF!,0),MATCH('data '!R$3,#REF!,0))=0,"",INDEX(#REF!,MATCH('data '!$B739,#REF!,0),MATCH('data '!R$3,#REF!,0)))</f>
        <v>#REF!</v>
      </c>
      <c r="S739" s="29" t="e">
        <f>IF(INDEX(#REF!,MATCH('data '!$B739,#REF!,0),MATCH('data '!S$3,#REF!,0))=0,"",INDEX(#REF!,MATCH('data '!$B739,#REF!,0),MATCH('data '!S$3,#REF!,0)))</f>
        <v>#REF!</v>
      </c>
      <c r="T739" s="29" t="e">
        <f>IF(INDEX(#REF!,MATCH('data '!$B739,#REF!,0),MATCH('data '!T$3,#REF!,0))=0,"",INDEX(#REF!,MATCH('data '!$B739,#REF!,0),MATCH('data '!T$3,#REF!,0)))</f>
        <v>#REF!</v>
      </c>
      <c r="U739" s="8" t="s">
        <v>25</v>
      </c>
      <c r="V739" s="25" t="s">
        <v>185</v>
      </c>
      <c r="W739" s="25" t="s">
        <v>144</v>
      </c>
      <c r="X739" s="9" t="s">
        <v>25</v>
      </c>
      <c r="Y739" s="9">
        <v>45796</v>
      </c>
      <c r="AC739" s="8" t="e">
        <f>VLOOKUP(B739,#REF!,19,0)</f>
        <v>#REF!</v>
      </c>
      <c r="AE739" s="8" t="s">
        <v>212</v>
      </c>
      <c r="AF739" s="8">
        <v>45908</v>
      </c>
      <c r="AG739" s="8">
        <v>45946</v>
      </c>
      <c r="AH739" s="8" t="s">
        <v>3303</v>
      </c>
      <c r="AI739" s="8">
        <v>45950</v>
      </c>
      <c r="AJ739" s="8" t="s">
        <v>3304</v>
      </c>
      <c r="AK739" s="8">
        <v>45933</v>
      </c>
      <c r="AL739" s="8">
        <v>45957</v>
      </c>
      <c r="AM739" s="8">
        <v>45960</v>
      </c>
      <c r="AP739" s="8" t="str">
        <f t="shared" si="30"/>
        <v>Tempo Energized</v>
      </c>
      <c r="AQ739" s="10" cm="1">
        <f t="array" aca="1" ref="AQ739" ca="1">IF(AM739&gt;0,(TODAY()-AM739),IF(AL739&gt;0,(TODAY()-AL739),IF(AK739&gt;0,(TODAY()-AK739,IF(AI739&gt;0,(TODAY()-AI739),IF(AG739&gt;0,(TODAY()-AG739),IF(AF739&gt;0,(TODAY()-AF739),IF(X739&gt;0,(TODAY()-X739)," "))))))))</f>
        <v>146</v>
      </c>
      <c r="AS739" s="8" t="s">
        <v>1794</v>
      </c>
      <c r="AT739" s="8">
        <v>45915</v>
      </c>
      <c r="AU739" s="8">
        <v>45950</v>
      </c>
      <c r="AV739" s="8">
        <v>45950</v>
      </c>
      <c r="AW739" s="8" t="s">
        <v>3305</v>
      </c>
      <c r="AX739" s="8">
        <v>45950</v>
      </c>
      <c r="AY739" s="8" t="s">
        <v>3306</v>
      </c>
      <c r="AZ739" s="8">
        <v>45960</v>
      </c>
      <c r="BD739" s="2" t="str">
        <f t="shared" si="31"/>
        <v>Line Construction Started</v>
      </c>
      <c r="BE739" s="2">
        <v>25</v>
      </c>
      <c r="BF739" s="2" t="s">
        <v>510</v>
      </c>
      <c r="BG739" s="2" t="e">
        <v>#N/A</v>
      </c>
      <c r="BH739" s="2" t="e" vm="1">
        <v>#REF!</v>
      </c>
    </row>
    <row r="740" spans="1:60" hidden="1" x14ac:dyDescent="0.25">
      <c r="B740" s="2" t="s">
        <v>3307</v>
      </c>
      <c r="C740" s="2" t="s">
        <v>3308</v>
      </c>
      <c r="D740" s="44" t="s">
        <v>3309</v>
      </c>
      <c r="E740" s="2" t="s">
        <v>4</v>
      </c>
      <c r="F740" s="2" t="s">
        <v>262</v>
      </c>
      <c r="G740" s="2" t="s">
        <v>1</v>
      </c>
      <c r="H740" s="2" t="s">
        <v>139</v>
      </c>
      <c r="I740" s="2" t="s">
        <v>140</v>
      </c>
      <c r="J740" s="2" t="s">
        <v>122</v>
      </c>
      <c r="K740" s="2" t="s">
        <v>263</v>
      </c>
      <c r="L740" s="2" t="s">
        <v>2018</v>
      </c>
      <c r="M740" s="2">
        <v>0</v>
      </c>
      <c r="N740" s="2">
        <v>16.271611</v>
      </c>
      <c r="O740" s="2">
        <v>122.124735</v>
      </c>
      <c r="P740" s="2" t="s">
        <v>87</v>
      </c>
      <c r="Q740" s="2" t="s">
        <v>265</v>
      </c>
      <c r="R740" s="29" t="e">
        <f>IF(INDEX(#REF!,MATCH('data '!$B740,#REF!,0),MATCH('data '!R$3,#REF!,0))=0,"",INDEX(#REF!,MATCH('data '!$B740,#REF!,0),MATCH('data '!R$3,#REF!,0)))</f>
        <v>#REF!</v>
      </c>
      <c r="S740" s="29" t="e">
        <f>IF(INDEX(#REF!,MATCH('data '!$B740,#REF!,0),MATCH('data '!S$3,#REF!,0))=0,"",INDEX(#REF!,MATCH('data '!$B740,#REF!,0),MATCH('data '!S$3,#REF!,0)))</f>
        <v>#REF!</v>
      </c>
      <c r="T740" s="29" t="e">
        <f>IF(INDEX(#REF!,MATCH('data '!$B740,#REF!,0),MATCH('data '!T$3,#REF!,0))=0,"",INDEX(#REF!,MATCH('data '!$B740,#REF!,0),MATCH('data '!T$3,#REF!,0)))</f>
        <v>#REF!</v>
      </c>
      <c r="V740" s="25" t="s">
        <v>266</v>
      </c>
      <c r="W740" s="25" t="s">
        <v>144</v>
      </c>
      <c r="X740" s="9" t="s">
        <v>25</v>
      </c>
      <c r="Y740" s="9">
        <v>45819</v>
      </c>
      <c r="Z740" s="8">
        <v>45907</v>
      </c>
      <c r="AC740" s="8" t="e">
        <f>VLOOKUP(B740,#REF!,19,0)</f>
        <v>#REF!</v>
      </c>
      <c r="AE740" s="8" t="s">
        <v>228</v>
      </c>
      <c r="AF740" s="8">
        <v>45896</v>
      </c>
      <c r="AG740" s="8">
        <v>45943</v>
      </c>
      <c r="AH740" s="8" t="s">
        <v>268</v>
      </c>
      <c r="AI740" s="8">
        <v>45945</v>
      </c>
      <c r="AJ740" s="8" t="s">
        <v>269</v>
      </c>
      <c r="AM740" s="8">
        <v>46006</v>
      </c>
      <c r="AP740" s="8" t="str">
        <f t="shared" si="30"/>
        <v>Tempo Energized</v>
      </c>
      <c r="AQ740" s="10" cm="1">
        <f t="array" aca="1" ref="AQ740" ca="1">IF(AM740&gt;0,(TODAY()-AM740),IF(AL740&gt;0,(TODAY()-AL740),IF(AK740&gt;0,(TODAY()-AK740,IF(AI740&gt;0,(TODAY()-AI740),IF(AG740&gt;0,(TODAY()-AG740),IF(AF740&gt;0,(TODAY()-AF740),IF(X740&gt;0,(TODAY()-X740)," "))))))))</f>
        <v>100</v>
      </c>
      <c r="AR740" s="10" t="s">
        <v>270</v>
      </c>
      <c r="AS740" s="8" t="s">
        <v>2019</v>
      </c>
      <c r="AT740" s="8">
        <v>45903</v>
      </c>
      <c r="AU740" s="8">
        <v>45929</v>
      </c>
      <c r="AV740" s="8">
        <v>45929</v>
      </c>
      <c r="AW740" s="8" t="s">
        <v>272</v>
      </c>
      <c r="AX740" s="8">
        <v>45933</v>
      </c>
      <c r="AY740" s="8" t="s">
        <v>273</v>
      </c>
      <c r="BD740" s="2" t="str">
        <f t="shared" si="31"/>
        <v>PO Issued</v>
      </c>
      <c r="BE740" s="2">
        <v>7</v>
      </c>
      <c r="BF740" s="12" t="s">
        <v>274</v>
      </c>
      <c r="BG740" s="2" t="e">
        <v>#N/A</v>
      </c>
      <c r="BH740" s="2" t="s">
        <v>275</v>
      </c>
    </row>
    <row r="741" spans="1:60" hidden="1" x14ac:dyDescent="0.25">
      <c r="B741" s="2" t="s">
        <v>3310</v>
      </c>
      <c r="C741" s="2" t="s">
        <v>3311</v>
      </c>
      <c r="D741" s="45" t="s">
        <v>3312</v>
      </c>
      <c r="E741" s="2" t="s">
        <v>5</v>
      </c>
      <c r="F741" s="14" t="s">
        <v>1779</v>
      </c>
      <c r="G741" s="2" t="s">
        <v>1</v>
      </c>
      <c r="H741" s="2" t="s">
        <v>139</v>
      </c>
      <c r="I741" s="2" t="s">
        <v>140</v>
      </c>
      <c r="J741" s="2" t="s">
        <v>224</v>
      </c>
      <c r="K741" s="2" t="s">
        <v>913</v>
      </c>
      <c r="L741" s="2" t="s">
        <v>1307</v>
      </c>
      <c r="M741" s="2" t="s">
        <v>305</v>
      </c>
      <c r="N741" s="2">
        <v>16.445976999999999</v>
      </c>
      <c r="O741" s="2">
        <v>121.779657</v>
      </c>
      <c r="P741" s="2" t="s">
        <v>87</v>
      </c>
      <c r="Q741" s="2" t="s">
        <v>265</v>
      </c>
      <c r="R741" s="29" t="e">
        <f>IF(INDEX(#REF!,MATCH('data '!$B741,#REF!,0),MATCH('data '!R$3,#REF!,0))=0,"",INDEX(#REF!,MATCH('data '!$B741,#REF!,0),MATCH('data '!R$3,#REF!,0)))</f>
        <v>#REF!</v>
      </c>
      <c r="S741" s="29" t="e">
        <f>IF(INDEX(#REF!,MATCH('data '!$B741,#REF!,0),MATCH('data '!S$3,#REF!,0))=0,"",INDEX(#REF!,MATCH('data '!$B741,#REF!,0),MATCH('data '!S$3,#REF!,0)))</f>
        <v>#REF!</v>
      </c>
      <c r="T741" s="29" t="e">
        <f>IF(INDEX(#REF!,MATCH('data '!$B741,#REF!,0),MATCH('data '!T$3,#REF!,0))=0,"",INDEX(#REF!,MATCH('data '!$B741,#REF!,0),MATCH('data '!T$3,#REF!,0)))</f>
        <v>#REF!</v>
      </c>
      <c r="V741" s="25" t="s">
        <v>266</v>
      </c>
      <c r="W741" s="25" t="s">
        <v>144</v>
      </c>
      <c r="X741" s="9" t="s">
        <v>25</v>
      </c>
      <c r="Y741" s="9">
        <v>45818</v>
      </c>
      <c r="AA741" s="8" t="s">
        <v>3313</v>
      </c>
      <c r="AC741" s="8" t="e">
        <f>VLOOKUP(B741,#REF!,19,0)</f>
        <v>#REF!</v>
      </c>
      <c r="AE741" s="8" t="s">
        <v>438</v>
      </c>
      <c r="AF741" s="8">
        <v>45825</v>
      </c>
      <c r="AG741" s="8">
        <v>45943</v>
      </c>
      <c r="AH741" s="8" t="s">
        <v>924</v>
      </c>
      <c r="AI741" s="8">
        <v>45945</v>
      </c>
      <c r="AJ741" s="8" t="s">
        <v>925</v>
      </c>
      <c r="AK741" s="8">
        <v>45936</v>
      </c>
      <c r="AP741" s="8" t="str">
        <f t="shared" si="30"/>
        <v>COOP Surveyed</v>
      </c>
      <c r="AQ741" s="10" t="e" cm="1">
        <f t="array" aca="1" ref="AQ741" ca="1">IF(AM741&gt;0,(TODAY()-AM741),IF(AL741&gt;0,(TODAY()-AL741),IF(AK741&gt;0,(TODAY()-AK741,IF(AI741&gt;0,(TODAY()-AI741),IF(AG741&gt;0,(TODAY()-AG741),IF(AF741&gt;0,(TODAY()-AF741),IF(X741&gt;0,(TODAY()-X741)," "))))))))</f>
        <v>#VALUE!</v>
      </c>
      <c r="AR741" s="10" t="s">
        <v>917</v>
      </c>
      <c r="AS741" s="8" t="s">
        <v>75</v>
      </c>
      <c r="AT741" s="11"/>
      <c r="AU741" s="11"/>
      <c r="AV741" s="11"/>
      <c r="AW741" s="11"/>
      <c r="AX741" s="11"/>
      <c r="AY741" s="11"/>
      <c r="BD741" s="2" t="str">
        <f t="shared" si="31"/>
        <v>Vendor Allocated</v>
      </c>
      <c r="BE741" s="2">
        <v>115</v>
      </c>
      <c r="BF741" s="2" t="s">
        <v>1849</v>
      </c>
      <c r="BG741" s="2" t="e">
        <v>#N/A</v>
      </c>
      <c r="BH741" s="2" t="e" vm="1">
        <v>#REF!</v>
      </c>
    </row>
    <row r="742" spans="1:60" hidden="1" x14ac:dyDescent="0.25">
      <c r="B742" s="2" t="s">
        <v>3314</v>
      </c>
      <c r="C742" s="2" t="s">
        <v>3315</v>
      </c>
      <c r="D742" s="44" t="s">
        <v>3316</v>
      </c>
      <c r="E742" s="2" t="s">
        <v>5</v>
      </c>
      <c r="F742" s="2" t="s">
        <v>912</v>
      </c>
      <c r="G742" s="2" t="s">
        <v>1</v>
      </c>
      <c r="H742" s="2" t="s">
        <v>139</v>
      </c>
      <c r="I742" s="2" t="s">
        <v>140</v>
      </c>
      <c r="J742" s="2" t="s">
        <v>224</v>
      </c>
      <c r="K742" s="2" t="s">
        <v>913</v>
      </c>
      <c r="L742" s="2" t="s">
        <v>3317</v>
      </c>
      <c r="M742" s="2">
        <v>0</v>
      </c>
      <c r="N742" s="2">
        <v>0</v>
      </c>
      <c r="O742" s="2">
        <v>0</v>
      </c>
      <c r="P742" s="2" t="s">
        <v>568</v>
      </c>
      <c r="Q742" s="2" t="s">
        <v>73</v>
      </c>
      <c r="R742" s="29" t="e">
        <f>IF(INDEX(#REF!,MATCH('data '!$B742,#REF!,0),MATCH('data '!R$3,#REF!,0))=0,"",INDEX(#REF!,MATCH('data '!$B742,#REF!,0),MATCH('data '!R$3,#REF!,0)))</f>
        <v>#REF!</v>
      </c>
      <c r="S742" s="29" t="e">
        <f>IF(INDEX(#REF!,MATCH('data '!$B742,#REF!,0),MATCH('data '!S$3,#REF!,0))=0,"",INDEX(#REF!,MATCH('data '!$B742,#REF!,0),MATCH('data '!S$3,#REF!,0)))</f>
        <v>#REF!</v>
      </c>
      <c r="T742" s="29" t="e">
        <f>IF(INDEX(#REF!,MATCH('data '!$B742,#REF!,0),MATCH('data '!T$3,#REF!,0))=0,"",INDEX(#REF!,MATCH('data '!$B742,#REF!,0),MATCH('data '!T$3,#REF!,0)))</f>
        <v>#REF!</v>
      </c>
      <c r="U742" s="8" t="s">
        <v>25</v>
      </c>
      <c r="V742" s="25" t="s">
        <v>87</v>
      </c>
      <c r="W742" s="25" t="s">
        <v>144</v>
      </c>
      <c r="X742" s="61"/>
      <c r="Y742" s="61"/>
      <c r="AC742" s="8" t="e">
        <f>VLOOKUP(B742,#REF!,19,0)</f>
        <v>#REF!</v>
      </c>
      <c r="AE742" s="8" t="s">
        <v>228</v>
      </c>
      <c r="AG742" s="8">
        <v>46021</v>
      </c>
      <c r="AH742" s="8" t="s">
        <v>1590</v>
      </c>
      <c r="AI742" s="8">
        <v>46028</v>
      </c>
      <c r="AJ742" s="8" t="s">
        <v>1591</v>
      </c>
      <c r="AP742" s="8" t="str">
        <f t="shared" si="30"/>
        <v>PO Issued</v>
      </c>
      <c r="AQ742" s="10" t="b" cm="1">
        <f t="array" aca="1" ref="AQ742" ca="1">IF(AM742&gt;0,(TODAY()-AM742),IF(AL742&gt;0,(TODAY()-AL742),IF(AK742&gt;0,(TODAY()-AK742,IF(AI742&gt;0,(TODAY()-AI742),IF(AG742&gt;0,(TODAY()-AG742),IF(AF742&gt;0,(TODAY()-AF742),IF(X742&gt;0,(TODAY()-X742)," "))))))))</f>
        <v>0</v>
      </c>
      <c r="BD742" s="2" t="str">
        <f t="shared" si="31"/>
        <v>TSSR Approved</v>
      </c>
      <c r="BE742" s="2" t="e">
        <v>#VALUE!</v>
      </c>
      <c r="BG742" s="2" t="e">
        <v>#N/A</v>
      </c>
      <c r="BH742" s="2" t="e" vm="1">
        <v>#REF!</v>
      </c>
    </row>
    <row r="743" spans="1:60" hidden="1" x14ac:dyDescent="0.25">
      <c r="B743" s="2" t="s">
        <v>3318</v>
      </c>
      <c r="C743" s="2" t="s">
        <v>3319</v>
      </c>
      <c r="D743" s="44" t="s">
        <v>3320</v>
      </c>
      <c r="E743" s="2" t="s">
        <v>5</v>
      </c>
      <c r="F743" s="2" t="s">
        <v>1647</v>
      </c>
      <c r="G743" s="2" t="s">
        <v>1</v>
      </c>
      <c r="H743" s="2" t="s">
        <v>139</v>
      </c>
      <c r="I743" s="2" t="s">
        <v>140</v>
      </c>
      <c r="J743" s="2" t="s">
        <v>224</v>
      </c>
      <c r="K743" s="2" t="s">
        <v>225</v>
      </c>
      <c r="L743" s="2" t="s">
        <v>1648</v>
      </c>
      <c r="M743" s="2">
        <v>0</v>
      </c>
      <c r="N743" s="2">
        <v>0</v>
      </c>
      <c r="O743" s="2">
        <v>0</v>
      </c>
      <c r="P743" s="2" t="s">
        <v>568</v>
      </c>
      <c r="Q743" s="2" t="s">
        <v>73</v>
      </c>
      <c r="R743" s="29" t="e">
        <f>IF(INDEX(#REF!,MATCH('data '!$B743,#REF!,0),MATCH('data '!R$3,#REF!,0))=0,"",INDEX(#REF!,MATCH('data '!$B743,#REF!,0),MATCH('data '!R$3,#REF!,0)))</f>
        <v>#REF!</v>
      </c>
      <c r="S743" s="29" t="e">
        <f>IF(INDEX(#REF!,MATCH('data '!$B743,#REF!,0),MATCH('data '!S$3,#REF!,0))=0,"",INDEX(#REF!,MATCH('data '!$B743,#REF!,0),MATCH('data '!S$3,#REF!,0)))</f>
        <v>#REF!</v>
      </c>
      <c r="T743" s="29" t="e">
        <f>IF(INDEX(#REF!,MATCH('data '!$B743,#REF!,0),MATCH('data '!T$3,#REF!,0))=0,"",INDEX(#REF!,MATCH('data '!$B743,#REF!,0),MATCH('data '!T$3,#REF!,0)))</f>
        <v>#REF!</v>
      </c>
      <c r="U743" s="8" t="s">
        <v>25</v>
      </c>
      <c r="V743" s="25" t="s">
        <v>125</v>
      </c>
      <c r="W743" s="25">
        <v>0</v>
      </c>
      <c r="AC743" s="8" t="e">
        <f>VLOOKUP(B743,#REF!,19,0)</f>
        <v>#REF!</v>
      </c>
      <c r="AE743" s="8" t="s">
        <v>228</v>
      </c>
      <c r="AG743" s="8">
        <v>46021</v>
      </c>
      <c r="AH743" s="8" t="s">
        <v>1590</v>
      </c>
      <c r="AI743" s="8">
        <v>46028</v>
      </c>
      <c r="AJ743" s="8" t="s">
        <v>1591</v>
      </c>
      <c r="AP743" s="8" t="str">
        <f t="shared" si="30"/>
        <v>PO Issued</v>
      </c>
      <c r="AQ743" s="10" t="b" cm="1">
        <f t="array" aca="1" ref="AQ743" ca="1">IF(AM743&gt;0,(TODAY()-AM743),IF(AL743&gt;0,(TODAY()-AL743),IF(AK743&gt;0,(TODAY()-AK743,IF(AI743&gt;0,(TODAY()-AI743),IF(AG743&gt;0,(TODAY()-AG743),IF(AF743&gt;0,(TODAY()-AF743),IF(X743&gt;0,(TODAY()-X743)," "))))))))</f>
        <v>0</v>
      </c>
      <c r="BD743" s="2" t="str">
        <f t="shared" si="31"/>
        <v>TSSR Approved</v>
      </c>
      <c r="BE743" s="2" t="e">
        <v>#VALUE!</v>
      </c>
      <c r="BG743" s="2" t="e">
        <v>#N/A</v>
      </c>
      <c r="BH743" s="2" t="e" vm="1">
        <v>#REF!</v>
      </c>
    </row>
    <row r="744" spans="1:60" hidden="1" x14ac:dyDescent="0.25">
      <c r="B744" s="2" t="s">
        <v>3321</v>
      </c>
      <c r="C744" s="2" t="s">
        <v>3322</v>
      </c>
      <c r="D744" s="44" t="s">
        <v>3323</v>
      </c>
      <c r="E744" s="2" t="s">
        <v>5</v>
      </c>
      <c r="F744" s="2" t="s">
        <v>912</v>
      </c>
      <c r="G744" s="2" t="s">
        <v>1</v>
      </c>
      <c r="H744" s="2" t="s">
        <v>139</v>
      </c>
      <c r="I744" s="2" t="s">
        <v>140</v>
      </c>
      <c r="J744" s="2" t="s">
        <v>224</v>
      </c>
      <c r="K744" s="2" t="s">
        <v>913</v>
      </c>
      <c r="L744" s="2" t="s">
        <v>914</v>
      </c>
      <c r="M744" s="2">
        <v>0</v>
      </c>
      <c r="N744" s="2">
        <v>0</v>
      </c>
      <c r="O744" s="2">
        <v>0</v>
      </c>
      <c r="P744" s="2" t="s">
        <v>72</v>
      </c>
      <c r="Q744" s="2" t="s">
        <v>73</v>
      </c>
      <c r="R744" s="29" t="e">
        <f>IF(INDEX(#REF!,MATCH('data '!$B744,#REF!,0),MATCH('data '!R$3,#REF!,0))=0,"",INDEX(#REF!,MATCH('data '!$B744,#REF!,0),MATCH('data '!R$3,#REF!,0)))</f>
        <v>#REF!</v>
      </c>
      <c r="S744" s="29" t="e">
        <f>IF(INDEX(#REF!,MATCH('data '!$B744,#REF!,0),MATCH('data '!S$3,#REF!,0))=0,"",INDEX(#REF!,MATCH('data '!$B744,#REF!,0),MATCH('data '!S$3,#REF!,0)))</f>
        <v>#REF!</v>
      </c>
      <c r="T744" s="29" t="e">
        <f>IF(INDEX(#REF!,MATCH('data '!$B744,#REF!,0),MATCH('data '!T$3,#REF!,0))=0,"",INDEX(#REF!,MATCH('data '!$B744,#REF!,0),MATCH('data '!T$3,#REF!,0)))</f>
        <v>#REF!</v>
      </c>
      <c r="V744" s="25" t="s">
        <v>74</v>
      </c>
      <c r="W744" s="25">
        <v>0</v>
      </c>
      <c r="AC744" s="8" t="e">
        <f>VLOOKUP(B744,#REF!,19,0)</f>
        <v>#REF!</v>
      </c>
      <c r="AE744" s="8" t="s">
        <v>228</v>
      </c>
      <c r="AG744" s="8">
        <v>46021</v>
      </c>
      <c r="AH744" s="8" t="s">
        <v>1590</v>
      </c>
      <c r="AI744" s="8">
        <v>46028</v>
      </c>
      <c r="AJ744" s="8" t="s">
        <v>1591</v>
      </c>
      <c r="AP744" s="8" t="str">
        <f t="shared" si="30"/>
        <v>PO Issued</v>
      </c>
      <c r="AQ744" s="10" t="b" cm="1">
        <f t="array" aca="1" ref="AQ744" ca="1">IF(AM744&gt;0,(TODAY()-AM744),IF(AL744&gt;0,(TODAY()-AL744),IF(AK744&gt;0,(TODAY()-AK744,IF(AI744&gt;0,(TODAY()-AI744),IF(AG744&gt;0,(TODAY()-AG744),IF(AF744&gt;0,(TODAY()-AF744),IF(X744&gt;0,(TODAY()-X744)," "))))))))</f>
        <v>0</v>
      </c>
      <c r="BD744" s="2" t="str">
        <f t="shared" si="31"/>
        <v>Not yet endorsed</v>
      </c>
      <c r="BE744" s="2" t="s">
        <v>75</v>
      </c>
      <c r="BG744" s="2" t="e">
        <v>#N/A</v>
      </c>
      <c r="BH744" s="2" t="e" vm="1">
        <v>#REF!</v>
      </c>
    </row>
    <row r="745" spans="1:60" hidden="1" x14ac:dyDescent="0.25">
      <c r="B745" s="2" t="s">
        <v>3324</v>
      </c>
      <c r="C745" s="2" t="s">
        <v>3325</v>
      </c>
      <c r="D745" s="44" t="s">
        <v>3326</v>
      </c>
      <c r="E745" s="2" t="s">
        <v>5</v>
      </c>
      <c r="F745" s="2" t="s">
        <v>1647</v>
      </c>
      <c r="G745" s="2" t="s">
        <v>1</v>
      </c>
      <c r="H745" s="2" t="s">
        <v>139</v>
      </c>
      <c r="I745" s="2" t="s">
        <v>140</v>
      </c>
      <c r="J745" s="2" t="s">
        <v>224</v>
      </c>
      <c r="K745" s="2" t="s">
        <v>225</v>
      </c>
      <c r="L745" s="2" t="s">
        <v>3327</v>
      </c>
      <c r="M745" s="2">
        <v>0</v>
      </c>
      <c r="N745" s="2">
        <v>0</v>
      </c>
      <c r="O745" s="2">
        <v>0</v>
      </c>
      <c r="P745" s="2" t="s">
        <v>168</v>
      </c>
      <c r="Q745" s="2" t="s">
        <v>73</v>
      </c>
      <c r="R745" s="29" t="e">
        <f>IF(INDEX(#REF!,MATCH('data '!$B745,#REF!,0),MATCH('data '!R$3,#REF!,0))=0,"",INDEX(#REF!,MATCH('data '!$B745,#REF!,0),MATCH('data '!R$3,#REF!,0)))</f>
        <v>#REF!</v>
      </c>
      <c r="S745" s="29" t="e">
        <f>IF(INDEX(#REF!,MATCH('data '!$B745,#REF!,0),MATCH('data '!S$3,#REF!,0))=0,"",INDEX(#REF!,MATCH('data '!$B745,#REF!,0),MATCH('data '!S$3,#REF!,0)))</f>
        <v>#REF!</v>
      </c>
      <c r="T745" s="29" t="e">
        <f>IF(INDEX(#REF!,MATCH('data '!$B745,#REF!,0),MATCH('data '!T$3,#REF!,0))=0,"",INDEX(#REF!,MATCH('data '!$B745,#REF!,0),MATCH('data '!T$3,#REF!,0)))</f>
        <v>#REF!</v>
      </c>
      <c r="V745" s="25" t="s">
        <v>87</v>
      </c>
      <c r="W745" s="25" t="s">
        <v>144</v>
      </c>
      <c r="X745" s="9" t="s">
        <v>25</v>
      </c>
      <c r="Y745" s="53">
        <v>45979</v>
      </c>
      <c r="AC745" s="8" t="e">
        <f>VLOOKUP(B745,#REF!,19,0)</f>
        <v>#REF!</v>
      </c>
      <c r="AE745" s="8" t="s">
        <v>228</v>
      </c>
      <c r="AF745" s="21">
        <v>45938</v>
      </c>
      <c r="AG745" s="8">
        <v>45946</v>
      </c>
      <c r="AH745" s="8" t="s">
        <v>1649</v>
      </c>
      <c r="AI745" s="8">
        <v>45950</v>
      </c>
      <c r="AJ745" s="8" t="s">
        <v>1650</v>
      </c>
      <c r="AK745" s="8">
        <v>45947</v>
      </c>
      <c r="AP745" s="8" t="str">
        <f t="shared" si="30"/>
        <v>COOP Surveyed</v>
      </c>
      <c r="AQ745" s="10" t="e" cm="1">
        <f t="array" aca="1" ref="AQ745" ca="1">IF(AM745&gt;0,(TODAY()-AM745),IF(AL745&gt;0,(TODAY()-AL745),IF(AK745&gt;0,(TODAY()-AK745,IF(AI745&gt;0,(TODAY()-AI745),IF(AG745&gt;0,(TODAY()-AG745),IF(AF745&gt;0,(TODAY()-AF745),IF(X745&gt;0,(TODAY()-X745)," "))))))))</f>
        <v>#VALUE!</v>
      </c>
      <c r="BD745" s="2" t="str">
        <f t="shared" si="31"/>
        <v>Vendor Allocated</v>
      </c>
      <c r="BE745" s="2">
        <v>2</v>
      </c>
      <c r="BG745" s="2" t="s">
        <v>1717</v>
      </c>
      <c r="BH745" s="2" t="e" vm="1">
        <v>#REF!</v>
      </c>
    </row>
    <row r="746" spans="1:60" hidden="1" x14ac:dyDescent="0.25">
      <c r="B746" s="42" t="s">
        <v>3328</v>
      </c>
      <c r="C746" s="7" t="s">
        <v>3329</v>
      </c>
      <c r="D746" s="46" t="s">
        <v>3330</v>
      </c>
      <c r="E746" s="2" t="s">
        <v>5</v>
      </c>
      <c r="F746" s="58" t="s">
        <v>912</v>
      </c>
      <c r="G746" s="2" t="s">
        <v>1</v>
      </c>
      <c r="H746" s="2" t="s">
        <v>139</v>
      </c>
      <c r="I746" s="2" t="s">
        <v>140</v>
      </c>
      <c r="J746" s="2" t="s">
        <v>224</v>
      </c>
      <c r="K746" s="2" t="s">
        <v>913</v>
      </c>
      <c r="L746" s="2" t="s">
        <v>3331</v>
      </c>
      <c r="M746" s="2">
        <v>0</v>
      </c>
      <c r="N746" s="2">
        <v>16.987009499999999</v>
      </c>
      <c r="O746" s="2">
        <v>122.0154225</v>
      </c>
      <c r="P746" s="2" t="s">
        <v>87</v>
      </c>
      <c r="Q746" s="2" t="s">
        <v>265</v>
      </c>
      <c r="R746" s="29" t="e">
        <f>IF(INDEX(#REF!,MATCH('data '!$B746,#REF!,0),MATCH('data '!R$3,#REF!,0))=0,"",INDEX(#REF!,MATCH('data '!$B746,#REF!,0),MATCH('data '!R$3,#REF!,0)))</f>
        <v>#REF!</v>
      </c>
      <c r="S746" s="29" t="e">
        <f>IF(INDEX(#REF!,MATCH('data '!$B746,#REF!,0),MATCH('data '!S$3,#REF!,0))=0,"",INDEX(#REF!,MATCH('data '!$B746,#REF!,0),MATCH('data '!S$3,#REF!,0)))</f>
        <v>#REF!</v>
      </c>
      <c r="T746" s="29" t="e">
        <f>IF(INDEX(#REF!,MATCH('data '!$B746,#REF!,0),MATCH('data '!T$3,#REF!,0))=0,"",INDEX(#REF!,MATCH('data '!$B746,#REF!,0),MATCH('data '!T$3,#REF!,0)))</f>
        <v>#REF!</v>
      </c>
      <c r="V746" s="25" t="s">
        <v>266</v>
      </c>
      <c r="W746" s="25" t="s">
        <v>144</v>
      </c>
      <c r="X746" s="9" t="s">
        <v>25</v>
      </c>
      <c r="Y746" s="9">
        <v>45811</v>
      </c>
      <c r="AA746" s="8" t="s">
        <v>756</v>
      </c>
      <c r="AC746" s="8" t="e">
        <f>VLOOKUP(B746,#REF!,19,0)</f>
        <v>#REF!</v>
      </c>
      <c r="AE746" s="8" t="s">
        <v>438</v>
      </c>
      <c r="AF746" s="8">
        <v>45901</v>
      </c>
      <c r="AG746" s="8">
        <v>45943</v>
      </c>
      <c r="AH746" s="8" t="s">
        <v>924</v>
      </c>
      <c r="AI746" s="8">
        <v>45945</v>
      </c>
      <c r="AJ746" s="8" t="s">
        <v>925</v>
      </c>
      <c r="AK746" s="8">
        <v>45940</v>
      </c>
      <c r="AL746" s="8">
        <v>45971</v>
      </c>
      <c r="AM746" s="8">
        <v>46375</v>
      </c>
      <c r="AP746" s="8" t="str">
        <f t="shared" si="30"/>
        <v>Tempo Energized</v>
      </c>
      <c r="AQ746" s="10" cm="1">
        <f t="array" aca="1" ref="AQ746" ca="1">IF(AM746&gt;0,(TODAY()-AM746),IF(AL746&gt;0,(TODAY()-AL746),IF(AK746&gt;0,(TODAY()-AK746,IF(AI746&gt;0,(TODAY()-AI746),IF(AG746&gt;0,(TODAY()-AG746),IF(AF746&gt;0,(TODAY()-AF746),IF(X746&gt;0,(TODAY()-X746)," "))))))))</f>
        <v>-269</v>
      </c>
      <c r="AR746" s="10" t="s">
        <v>917</v>
      </c>
      <c r="AS746" s="8" t="s">
        <v>3332</v>
      </c>
      <c r="AT746" s="8">
        <v>45908</v>
      </c>
      <c r="AU746" s="8">
        <v>45919</v>
      </c>
      <c r="AV746" s="8">
        <v>45926</v>
      </c>
      <c r="AW746" s="20" t="s">
        <v>1803</v>
      </c>
      <c r="AX746" s="8">
        <v>45929</v>
      </c>
      <c r="AY746" s="20" t="s">
        <v>1804</v>
      </c>
      <c r="AZ746" s="8">
        <v>45940</v>
      </c>
      <c r="BA746" s="8">
        <v>45943</v>
      </c>
      <c r="BD746" s="2" t="str">
        <f t="shared" si="31"/>
        <v>Line Construction Completed</v>
      </c>
      <c r="BE746" s="2">
        <v>11</v>
      </c>
      <c r="BF746" s="2" t="s">
        <v>3333</v>
      </c>
      <c r="BG746" s="2" t="e">
        <v>#N/A</v>
      </c>
      <c r="BH746" s="2" t="e" vm="1">
        <v>#REF!</v>
      </c>
    </row>
    <row r="747" spans="1:60" x14ac:dyDescent="0.25">
      <c r="B747" s="42" t="s">
        <v>3334</v>
      </c>
      <c r="C747" s="2" t="s">
        <v>3335</v>
      </c>
      <c r="D747" s="44" t="s">
        <v>3336</v>
      </c>
      <c r="E747" s="2" t="s">
        <v>3</v>
      </c>
      <c r="F747" s="2" t="s">
        <v>223</v>
      </c>
      <c r="G747" s="2" t="s">
        <v>1</v>
      </c>
      <c r="H747" s="2" t="s">
        <v>139</v>
      </c>
      <c r="I747" s="2" t="s">
        <v>140</v>
      </c>
      <c r="J747" s="2" t="s">
        <v>224</v>
      </c>
      <c r="K747" s="2" t="s">
        <v>225</v>
      </c>
      <c r="L747" s="2" t="s">
        <v>3337</v>
      </c>
      <c r="M747" s="2" t="s">
        <v>639</v>
      </c>
      <c r="N747" s="2">
        <v>18.426752</v>
      </c>
      <c r="O747" s="2">
        <v>121.46738000000001</v>
      </c>
      <c r="P747" s="2" t="s">
        <v>87</v>
      </c>
      <c r="Q747" s="2" t="s">
        <v>265</v>
      </c>
      <c r="R747" s="29" t="e">
        <f>IF(INDEX(#REF!,MATCH('data '!$B747,#REF!,0),MATCH('data '!R$3,#REF!,0))=0,"",INDEX(#REF!,MATCH('data '!$B747,#REF!,0),MATCH('data '!R$3,#REF!,0)))</f>
        <v>#REF!</v>
      </c>
      <c r="S747" s="29" t="e">
        <f>IF(INDEX(#REF!,MATCH('data '!$B747,#REF!,0),MATCH('data '!S$3,#REF!,0))=0,"",INDEX(#REF!,MATCH('data '!$B747,#REF!,0),MATCH('data '!S$3,#REF!,0)))</f>
        <v>#REF!</v>
      </c>
      <c r="T747" s="29" t="e">
        <f>IF(INDEX(#REF!,MATCH('data '!$B747,#REF!,0),MATCH('data '!T$3,#REF!,0))=0,"",INDEX(#REF!,MATCH('data '!$B747,#REF!,0),MATCH('data '!T$3,#REF!,0)))</f>
        <v>#REF!</v>
      </c>
      <c r="U747" s="8" t="s">
        <v>25</v>
      </c>
      <c r="V747" s="25" t="s">
        <v>266</v>
      </c>
      <c r="W747" s="25" t="s">
        <v>144</v>
      </c>
      <c r="X747" s="9" t="s">
        <v>25</v>
      </c>
      <c r="Y747" s="9">
        <v>45786</v>
      </c>
      <c r="Z747" s="8">
        <v>45997</v>
      </c>
      <c r="AA747" s="8" t="s">
        <v>2830</v>
      </c>
      <c r="AC747" s="8" t="e">
        <f>VLOOKUP(B747,#REF!,19,0)</f>
        <v>#REF!</v>
      </c>
      <c r="AE747" s="8" t="s">
        <v>228</v>
      </c>
      <c r="AF747" s="8">
        <v>45924</v>
      </c>
      <c r="AG747" s="8">
        <v>45964</v>
      </c>
      <c r="AH747" s="8" t="s">
        <v>3338</v>
      </c>
      <c r="AI747" s="8">
        <v>45965</v>
      </c>
      <c r="AJ747" s="8" t="s">
        <v>3339</v>
      </c>
      <c r="AK747" s="8">
        <v>45947</v>
      </c>
      <c r="AL747" s="8">
        <v>45979</v>
      </c>
      <c r="AM747" s="8">
        <v>45986</v>
      </c>
      <c r="AP747" s="8" t="str">
        <f t="shared" si="30"/>
        <v>Tempo Energized</v>
      </c>
      <c r="AQ747" s="10" cm="1">
        <f t="array" aca="1" ref="AQ747" ca="1">IF(AM747&gt;0,(TODAY()-AM747),IF(AL747&gt;0,(TODAY()-AL747),IF(AK747&gt;0,(TODAY()-AK747,IF(AI747&gt;0,(TODAY()-AI747),IF(AG747&gt;0,(TODAY()-AG747),IF(AF747&gt;0,(TODAY()-AF747),IF(X747&gt;0,(TODAY()-X747)," "))))))))</f>
        <v>120</v>
      </c>
      <c r="AS747" s="8" t="s">
        <v>3340</v>
      </c>
      <c r="AT747" s="8">
        <v>45931</v>
      </c>
      <c r="AU747" s="8">
        <v>45945</v>
      </c>
      <c r="AV747" s="8">
        <v>45945</v>
      </c>
      <c r="AW747" s="8" t="s">
        <v>232</v>
      </c>
      <c r="AX747" s="8">
        <v>45958</v>
      </c>
      <c r="AY747" s="8" t="s">
        <v>233</v>
      </c>
      <c r="BD747" s="2" t="str">
        <f t="shared" si="31"/>
        <v>PO Issued</v>
      </c>
      <c r="BE747" s="2">
        <v>9</v>
      </c>
      <c r="BF747" s="2" t="s">
        <v>234</v>
      </c>
      <c r="BG747" s="2" t="e">
        <v>#N/A</v>
      </c>
      <c r="BH747" s="2" t="e" vm="1">
        <v>#REF!</v>
      </c>
    </row>
    <row r="748" spans="1:60" x14ac:dyDescent="0.25">
      <c r="B748" s="7" t="s">
        <v>3341</v>
      </c>
      <c r="C748" s="2" t="s">
        <v>3342</v>
      </c>
      <c r="D748" s="44" t="s">
        <v>3343</v>
      </c>
      <c r="E748" s="2" t="s">
        <v>3</v>
      </c>
      <c r="F748" s="2" t="s">
        <v>223</v>
      </c>
      <c r="G748" s="2" t="s">
        <v>1</v>
      </c>
      <c r="H748" s="2" t="s">
        <v>139</v>
      </c>
      <c r="I748" s="2" t="s">
        <v>140</v>
      </c>
      <c r="J748" s="2" t="s">
        <v>224</v>
      </c>
      <c r="K748" s="2" t="s">
        <v>225</v>
      </c>
      <c r="L748" s="2" t="s">
        <v>3344</v>
      </c>
      <c r="M748" s="2" t="s">
        <v>519</v>
      </c>
      <c r="N748" s="2">
        <v>18.549734999999998</v>
      </c>
      <c r="O748" s="2">
        <v>121.247551</v>
      </c>
      <c r="P748" s="2" t="s">
        <v>87</v>
      </c>
      <c r="Q748" s="2" t="s">
        <v>314</v>
      </c>
      <c r="R748" s="29" t="e">
        <f>IF(INDEX(#REF!,MATCH('data '!$B748,#REF!,0),MATCH('data '!R$3,#REF!,0))=0,"",INDEX(#REF!,MATCH('data '!$B748,#REF!,0),MATCH('data '!R$3,#REF!,0)))</f>
        <v>#REF!</v>
      </c>
      <c r="S748" s="29" t="e">
        <f>IF(INDEX(#REF!,MATCH('data '!$B748,#REF!,0),MATCH('data '!S$3,#REF!,0))=0,"",INDEX(#REF!,MATCH('data '!$B748,#REF!,0),MATCH('data '!S$3,#REF!,0)))</f>
        <v>#REF!</v>
      </c>
      <c r="T748" s="29" t="e">
        <f>IF(INDEX(#REF!,MATCH('data '!$B748,#REF!,0),MATCH('data '!T$3,#REF!,0))=0,"",INDEX(#REF!,MATCH('data '!$B748,#REF!,0),MATCH('data '!T$3,#REF!,0)))</f>
        <v>#REF!</v>
      </c>
      <c r="V748" s="25" t="s">
        <v>351</v>
      </c>
      <c r="W748" s="25" t="s">
        <v>144</v>
      </c>
      <c r="X748" s="9" t="s">
        <v>25</v>
      </c>
      <c r="Y748" s="9">
        <v>45827</v>
      </c>
      <c r="Z748" s="8">
        <v>46000</v>
      </c>
      <c r="AC748" s="8" t="e">
        <f>VLOOKUP(B748,#REF!,19,0)</f>
        <v>#REF!</v>
      </c>
      <c r="AE748" s="8" t="s">
        <v>228</v>
      </c>
      <c r="AF748" s="8">
        <v>45908</v>
      </c>
      <c r="AG748" s="8">
        <v>45908</v>
      </c>
      <c r="AH748" s="8" t="s">
        <v>229</v>
      </c>
      <c r="AI748" s="8">
        <v>45936</v>
      </c>
      <c r="AJ748" s="8" t="s">
        <v>230</v>
      </c>
      <c r="AK748" s="8">
        <v>45930</v>
      </c>
      <c r="AL748" s="8">
        <v>45915</v>
      </c>
      <c r="AM748" s="8">
        <v>45960</v>
      </c>
      <c r="AP748" s="8" t="str">
        <f t="shared" si="30"/>
        <v>Tempo Energized</v>
      </c>
      <c r="AS748" s="8" t="s">
        <v>231</v>
      </c>
      <c r="AT748" s="8">
        <v>45931</v>
      </c>
      <c r="AU748" s="8">
        <v>45945</v>
      </c>
      <c r="AV748" s="8">
        <v>45945</v>
      </c>
      <c r="AW748" s="8" t="s">
        <v>232</v>
      </c>
      <c r="AX748" s="8">
        <v>45958</v>
      </c>
      <c r="AY748" s="8" t="s">
        <v>233</v>
      </c>
      <c r="BD748" s="2" t="str">
        <f t="shared" si="31"/>
        <v>PO Issued</v>
      </c>
      <c r="BE748" s="2">
        <v>9</v>
      </c>
      <c r="BF748" s="2" t="s">
        <v>234</v>
      </c>
      <c r="BG748" s="2" t="e">
        <v>#N/A</v>
      </c>
      <c r="BH748" s="2" t="e" vm="1">
        <v>#REF!</v>
      </c>
    </row>
    <row r="749" spans="1:60" hidden="1" x14ac:dyDescent="0.25">
      <c r="B749" s="2" t="s">
        <v>3345</v>
      </c>
      <c r="C749" s="2" t="s">
        <v>3346</v>
      </c>
      <c r="D749" s="45" t="s">
        <v>3347</v>
      </c>
      <c r="E749" s="7" t="s">
        <v>5</v>
      </c>
      <c r="F749" s="7" t="s">
        <v>1878</v>
      </c>
      <c r="G749" s="2" t="s">
        <v>1</v>
      </c>
      <c r="H749" s="2" t="s">
        <v>139</v>
      </c>
      <c r="I749" s="2" t="s">
        <v>140</v>
      </c>
      <c r="J749" s="2" t="s">
        <v>224</v>
      </c>
      <c r="K749" s="2" t="s">
        <v>913</v>
      </c>
      <c r="L749" s="2" t="s">
        <v>3348</v>
      </c>
      <c r="M749" s="2" t="s">
        <v>3349</v>
      </c>
      <c r="N749" s="2">
        <v>16.727592399999999</v>
      </c>
      <c r="O749" s="2">
        <v>121.45770419999999</v>
      </c>
      <c r="P749" s="2" t="s">
        <v>87</v>
      </c>
      <c r="Q749" s="2" t="s">
        <v>227</v>
      </c>
      <c r="R749" s="29" t="e">
        <f>IF(INDEX(#REF!,MATCH('data '!$B749,#REF!,0),MATCH('data '!R$3,#REF!,0))=0,"",INDEX(#REF!,MATCH('data '!$B749,#REF!,0),MATCH('data '!R$3,#REF!,0)))</f>
        <v>#REF!</v>
      </c>
      <c r="S749" s="29" t="e">
        <f>IF(INDEX(#REF!,MATCH('data '!$B749,#REF!,0),MATCH('data '!S$3,#REF!,0))=0,"",INDEX(#REF!,MATCH('data '!$B749,#REF!,0),MATCH('data '!S$3,#REF!,0)))</f>
        <v>#REF!</v>
      </c>
      <c r="T749" s="29" t="e">
        <f>IF(INDEX(#REF!,MATCH('data '!$B749,#REF!,0),MATCH('data '!T$3,#REF!,0))=0,"",INDEX(#REF!,MATCH('data '!$B749,#REF!,0),MATCH('data '!T$3,#REF!,0)))</f>
        <v>#REF!</v>
      </c>
      <c r="U749" s="8" t="s">
        <v>25</v>
      </c>
      <c r="V749" s="25" t="s">
        <v>160</v>
      </c>
      <c r="W749" s="25" t="s">
        <v>144</v>
      </c>
      <c r="X749" s="9" t="s">
        <v>25</v>
      </c>
      <c r="Y749" s="9">
        <v>45838</v>
      </c>
      <c r="Z749" s="8">
        <v>45999</v>
      </c>
      <c r="AC749" s="8" t="e">
        <f>VLOOKUP(B749,#REF!,19,0)</f>
        <v>#REF!</v>
      </c>
      <c r="AE749" s="8" t="s">
        <v>438</v>
      </c>
      <c r="AF749" s="8">
        <v>45908</v>
      </c>
      <c r="AG749" s="8">
        <v>45908</v>
      </c>
      <c r="AH749" s="8" t="s">
        <v>641</v>
      </c>
      <c r="AI749" s="8">
        <v>45909</v>
      </c>
      <c r="AJ749" s="8" t="s">
        <v>642</v>
      </c>
      <c r="AK749" s="8">
        <v>45923</v>
      </c>
      <c r="AL749" s="8">
        <v>45940</v>
      </c>
      <c r="AP749" s="8" t="str">
        <f t="shared" si="30"/>
        <v>Tempo Permit Released</v>
      </c>
      <c r="AS749" s="8" t="s">
        <v>3350</v>
      </c>
      <c r="AT749" s="8">
        <v>45923</v>
      </c>
      <c r="AU749" s="11"/>
      <c r="AV749" s="11"/>
      <c r="AW749" s="11"/>
      <c r="AX749" s="11"/>
      <c r="AY749" s="11"/>
      <c r="BD749" s="2" t="str">
        <f t="shared" si="31"/>
        <v>BoQ Submitted</v>
      </c>
      <c r="BE749" s="2">
        <v>32</v>
      </c>
      <c r="BF749" s="8" t="s">
        <v>3350</v>
      </c>
      <c r="BG749" s="2" t="e">
        <v>#N/A</v>
      </c>
      <c r="BH749" s="2" t="e" vm="1">
        <v>#REF!</v>
      </c>
    </row>
    <row r="750" spans="1:60" x14ac:dyDescent="0.25">
      <c r="B750" s="7" t="s">
        <v>3351</v>
      </c>
      <c r="C750" s="2" t="s">
        <v>3352</v>
      </c>
      <c r="D750" s="44" t="s">
        <v>3353</v>
      </c>
      <c r="E750" s="2" t="s">
        <v>3</v>
      </c>
      <c r="F750" s="2" t="s">
        <v>223</v>
      </c>
      <c r="G750" s="2" t="s">
        <v>1</v>
      </c>
      <c r="H750" s="2" t="s">
        <v>139</v>
      </c>
      <c r="I750" s="2" t="s">
        <v>140</v>
      </c>
      <c r="J750" s="2" t="s">
        <v>224</v>
      </c>
      <c r="K750" s="2" t="s">
        <v>225</v>
      </c>
      <c r="L750" s="2" t="s">
        <v>3354</v>
      </c>
      <c r="M750" s="2" t="s">
        <v>519</v>
      </c>
      <c r="N750" s="2">
        <v>18.425757999999998</v>
      </c>
      <c r="O750" s="2">
        <v>121.357345</v>
      </c>
      <c r="P750" s="2" t="s">
        <v>87</v>
      </c>
      <c r="Q750" s="2" t="s">
        <v>219</v>
      </c>
      <c r="R750" s="29" t="e">
        <f>IF(INDEX(#REF!,MATCH('data '!$B750,#REF!,0),MATCH('data '!R$3,#REF!,0))=0,"",INDEX(#REF!,MATCH('data '!$B750,#REF!,0),MATCH('data '!R$3,#REF!,0)))</f>
        <v>#REF!</v>
      </c>
      <c r="S750" s="29" t="e">
        <f>IF(INDEX(#REF!,MATCH('data '!$B750,#REF!,0),MATCH('data '!S$3,#REF!,0))=0,"",INDEX(#REF!,MATCH('data '!$B750,#REF!,0),MATCH('data '!S$3,#REF!,0)))</f>
        <v>#REF!</v>
      </c>
      <c r="T750" s="29" t="e">
        <f>IF(INDEX(#REF!,MATCH('data '!$B750,#REF!,0),MATCH('data '!T$3,#REF!,0))=0,"",INDEX(#REF!,MATCH('data '!$B750,#REF!,0),MATCH('data '!T$3,#REF!,0)))</f>
        <v>#REF!</v>
      </c>
      <c r="U750" s="8" t="s">
        <v>25</v>
      </c>
      <c r="V750" s="25" t="s">
        <v>185</v>
      </c>
      <c r="W750" s="25" t="s">
        <v>144</v>
      </c>
      <c r="X750" s="9" t="s">
        <v>25</v>
      </c>
      <c r="Y750" s="9">
        <v>45819</v>
      </c>
      <c r="AC750" s="8" t="e">
        <f>VLOOKUP(B750,#REF!,19,0)</f>
        <v>#REF!</v>
      </c>
      <c r="AE750" s="8" t="s">
        <v>228</v>
      </c>
      <c r="AF750" s="8">
        <v>45908</v>
      </c>
      <c r="AG750" s="8">
        <v>45908</v>
      </c>
      <c r="AH750" s="8" t="s">
        <v>229</v>
      </c>
      <c r="AI750" s="8">
        <v>45936</v>
      </c>
      <c r="AJ750" s="8" t="s">
        <v>230</v>
      </c>
      <c r="AK750" s="8">
        <v>45910</v>
      </c>
      <c r="AL750" s="8">
        <v>45915</v>
      </c>
      <c r="AM750" s="8">
        <v>45952</v>
      </c>
      <c r="AP750" s="8" t="str">
        <f t="shared" si="30"/>
        <v>Tempo Energized</v>
      </c>
      <c r="AS750" s="8" t="s">
        <v>231</v>
      </c>
      <c r="AT750" s="8">
        <v>45931</v>
      </c>
      <c r="AU750" s="8">
        <v>45945</v>
      </c>
      <c r="AV750" s="8">
        <v>45945</v>
      </c>
      <c r="AW750" s="8" t="s">
        <v>232</v>
      </c>
      <c r="AX750" s="8">
        <v>45958</v>
      </c>
      <c r="AY750" s="8" t="s">
        <v>233</v>
      </c>
      <c r="BD750" s="2" t="str">
        <f t="shared" si="31"/>
        <v>PO Issued</v>
      </c>
      <c r="BE750" s="2">
        <v>9</v>
      </c>
      <c r="BF750" s="2" t="s">
        <v>234</v>
      </c>
      <c r="BG750" s="2" t="e">
        <v>#N/A</v>
      </c>
      <c r="BH750" s="2" t="e" vm="1">
        <v>#REF!</v>
      </c>
    </row>
    <row r="751" spans="1:60" ht="60" hidden="1" x14ac:dyDescent="0.25">
      <c r="B751" s="26" t="s">
        <v>3355</v>
      </c>
      <c r="C751" s="7" t="s">
        <v>3356</v>
      </c>
      <c r="D751" s="46" t="s">
        <v>3357</v>
      </c>
      <c r="E751" s="2" t="s">
        <v>5</v>
      </c>
      <c r="F751" s="2" t="s">
        <v>912</v>
      </c>
      <c r="G751" s="2" t="s">
        <v>1</v>
      </c>
      <c r="H751" s="2" t="s">
        <v>139</v>
      </c>
      <c r="I751" s="2" t="s">
        <v>140</v>
      </c>
      <c r="J751" s="2" t="s">
        <v>224</v>
      </c>
      <c r="K751" s="2" t="s">
        <v>913</v>
      </c>
      <c r="L751" s="2" t="s">
        <v>914</v>
      </c>
      <c r="M751" s="2">
        <v>0</v>
      </c>
      <c r="N751" s="2">
        <v>17.08614</v>
      </c>
      <c r="O751" s="2">
        <v>122.00891</v>
      </c>
      <c r="P751" s="2" t="s">
        <v>87</v>
      </c>
      <c r="Q751" s="2" t="s">
        <v>198</v>
      </c>
      <c r="R751" s="29" t="e">
        <f>IF(INDEX(#REF!,MATCH('data '!$B751,#REF!,0),MATCH('data '!R$3,#REF!,0))=0,"",INDEX(#REF!,MATCH('data '!$B751,#REF!,0),MATCH('data '!R$3,#REF!,0)))</f>
        <v>#REF!</v>
      </c>
      <c r="S751" s="29" t="e">
        <f>IF(INDEX(#REF!,MATCH('data '!$B751,#REF!,0),MATCH('data '!S$3,#REF!,0))=0,"",INDEX(#REF!,MATCH('data '!$B751,#REF!,0),MATCH('data '!S$3,#REF!,0)))</f>
        <v>#REF!</v>
      </c>
      <c r="T751" s="29" t="e">
        <f>IF(INDEX(#REF!,MATCH('data '!$B751,#REF!,0),MATCH('data '!T$3,#REF!,0))=0,"",INDEX(#REF!,MATCH('data '!$B751,#REF!,0),MATCH('data '!T$3,#REF!,0)))</f>
        <v>#REF!</v>
      </c>
      <c r="V751" s="25" t="s">
        <v>266</v>
      </c>
      <c r="W751" s="25" t="s">
        <v>144</v>
      </c>
      <c r="X751" s="9" t="s">
        <v>25</v>
      </c>
      <c r="Y751" s="9">
        <v>45831</v>
      </c>
      <c r="AB751" s="8">
        <v>45996</v>
      </c>
      <c r="AC751" s="8" t="e">
        <f>VLOOKUP(B751,#REF!,19,0)</f>
        <v>#REF!</v>
      </c>
      <c r="AE751" s="8" t="s">
        <v>438</v>
      </c>
      <c r="AF751" s="8">
        <v>45908</v>
      </c>
      <c r="AG751" s="8">
        <v>45908</v>
      </c>
      <c r="AH751" s="8" t="s">
        <v>3358</v>
      </c>
      <c r="AI751" s="8">
        <v>45909</v>
      </c>
      <c r="AJ751" s="8" t="s">
        <v>642</v>
      </c>
      <c r="AK751" s="8">
        <v>45923</v>
      </c>
      <c r="AP751" s="8" t="str">
        <f t="shared" si="30"/>
        <v>COOP Surveyed</v>
      </c>
      <c r="AS751" s="50" t="s">
        <v>3359</v>
      </c>
      <c r="AT751" s="8">
        <v>45911</v>
      </c>
      <c r="AU751" s="8">
        <v>45925</v>
      </c>
      <c r="AV751" s="8">
        <v>45939</v>
      </c>
      <c r="AW751" s="8" t="s">
        <v>3358</v>
      </c>
      <c r="AX751" s="8">
        <v>45943</v>
      </c>
      <c r="AY751" s="8" t="s">
        <v>3360</v>
      </c>
      <c r="AZ751" s="8">
        <v>45943</v>
      </c>
      <c r="BA751" s="8">
        <v>45979</v>
      </c>
      <c r="BD751" s="2" t="str">
        <f>IF(BC751&gt;0,"Permanent Energized",IF(BB751&gt;0,"Bill deposit Paid",IF(BA751&gt;0,"Line Construction Completed",IF(AZ751&gt;0,"Line Construction Started",IF(AY751&gt;0,"PO Issued",IF(AV751&gt;0,"PQ Raised",IF(AU751&gt;0,"BoQ Approved",IF(AT751&gt;0,"BoQ Submitted",IF(AF751&gt;0,"Vendor Allocated",IF(X751&gt;0,"BP Secured",IF(U751&gt;0,"TSSR Approved","Not yet endorsed")))))))))))</f>
        <v>Line Construction Completed</v>
      </c>
      <c r="BE751" s="2">
        <v>1</v>
      </c>
      <c r="BF751" s="2" t="s">
        <v>3361</v>
      </c>
      <c r="BG751" s="2" t="e">
        <v>#N/A</v>
      </c>
      <c r="BH751" s="2" t="e" vm="1">
        <v>#REF!</v>
      </c>
    </row>
    <row r="752" spans="1:60" hidden="1" x14ac:dyDescent="0.25">
      <c r="A752" s="48"/>
      <c r="B752" s="7" t="s">
        <v>3362</v>
      </c>
      <c r="C752" s="2" t="s">
        <v>3363</v>
      </c>
      <c r="D752" s="44" t="s">
        <v>3364</v>
      </c>
      <c r="E752" s="2" t="s">
        <v>4</v>
      </c>
      <c r="F752" s="2" t="s">
        <v>3365</v>
      </c>
      <c r="G752" s="2" t="s">
        <v>1</v>
      </c>
      <c r="H752" s="2" t="s">
        <v>120</v>
      </c>
      <c r="I752" s="2" t="s">
        <v>140</v>
      </c>
      <c r="J752" s="2" t="s">
        <v>122</v>
      </c>
      <c r="K752" s="2" t="s">
        <v>723</v>
      </c>
      <c r="L752" s="2" t="s">
        <v>3366</v>
      </c>
      <c r="M752" s="2">
        <v>0</v>
      </c>
      <c r="N752" s="2">
        <v>15.120661</v>
      </c>
      <c r="O752" s="2">
        <v>120.63027700000001</v>
      </c>
      <c r="P752" s="2" t="s">
        <v>88</v>
      </c>
      <c r="Q752" s="2" t="s">
        <v>73</v>
      </c>
      <c r="R752" s="29" t="e">
        <f>IF(INDEX(#REF!,MATCH('data '!$B752,#REF!,0),MATCH('data '!R$3,#REF!,0))=0,"",INDEX(#REF!,MATCH('data '!$B752,#REF!,0),MATCH('data '!R$3,#REF!,0)))</f>
        <v>#REF!</v>
      </c>
      <c r="S752" s="29" t="e">
        <f>IF(INDEX(#REF!,MATCH('data '!$B752,#REF!,0),MATCH('data '!S$3,#REF!,0))=0,"",INDEX(#REF!,MATCH('data '!$B752,#REF!,0),MATCH('data '!S$3,#REF!,0)))</f>
        <v>#REF!</v>
      </c>
      <c r="T752" s="29" t="e">
        <f>IF(INDEX(#REF!,MATCH('data '!$B752,#REF!,0),MATCH('data '!T$3,#REF!,0))=0,"",INDEX(#REF!,MATCH('data '!$B752,#REF!,0),MATCH('data '!T$3,#REF!,0)))</f>
        <v>#REF!</v>
      </c>
      <c r="V752" s="25" t="s">
        <v>160</v>
      </c>
      <c r="W752" s="25" t="s">
        <v>144</v>
      </c>
      <c r="X752" s="9" t="s">
        <v>25</v>
      </c>
      <c r="AC752" s="8" t="e">
        <f>VLOOKUP(B752,#REF!,19,0)</f>
        <v>#REF!</v>
      </c>
      <c r="AE752" s="8" t="s">
        <v>547</v>
      </c>
      <c r="AF752" s="21">
        <v>45938</v>
      </c>
      <c r="AG752" s="8">
        <v>45946</v>
      </c>
      <c r="AH752" s="8" t="s">
        <v>3367</v>
      </c>
      <c r="AI752" s="8">
        <v>45950</v>
      </c>
      <c r="AJ752" s="8" t="s">
        <v>3368</v>
      </c>
      <c r="AK752" s="8">
        <v>45985</v>
      </c>
      <c r="AP752" s="8" t="str">
        <f t="shared" si="30"/>
        <v>COOP Surveyed</v>
      </c>
      <c r="AQ752" s="10" t="e" cm="1">
        <f t="array" aca="1" ref="AQ752" ca="1">IF(AM752&gt;0,(TODAY()-AM752),IF(AL752&gt;0,(TODAY()-AL752),IF(AK752&gt;0,(TODAY()-AK752,IF(AI752&gt;0,(TODAY()-AI752),IF(AG752&gt;0,(TODAY()-AG752),IF(AF752&gt;0,(TODAY()-AF752),IF(X752&gt;0,(TODAY()-X752)," "))))))))</f>
        <v>#VALUE!</v>
      </c>
      <c r="AR752" s="10" t="s">
        <v>3369</v>
      </c>
      <c r="AS752" s="8" t="s">
        <v>3370</v>
      </c>
      <c r="AT752" s="8">
        <v>46036</v>
      </c>
      <c r="AU752" s="11">
        <v>46048</v>
      </c>
      <c r="AV752" s="11">
        <v>46048</v>
      </c>
      <c r="AW752" s="11"/>
      <c r="AX752" s="11"/>
      <c r="AY752" s="11"/>
      <c r="BD752" s="2" t="str">
        <f t="shared" si="31"/>
        <v>PQ Raised</v>
      </c>
      <c r="BE752" s="2">
        <v>2</v>
      </c>
      <c r="BF752" s="2" t="s">
        <v>3371</v>
      </c>
      <c r="BG752" s="2" t="s">
        <v>1636</v>
      </c>
    </row>
    <row r="753" spans="2:59" hidden="1" x14ac:dyDescent="0.25">
      <c r="B753" s="2" t="s">
        <v>3372</v>
      </c>
      <c r="C753" s="2" t="s">
        <v>3373</v>
      </c>
      <c r="D753" s="44" t="s">
        <v>3374</v>
      </c>
      <c r="E753" s="2" t="s">
        <v>4</v>
      </c>
      <c r="F753" s="2" t="s">
        <v>2271</v>
      </c>
      <c r="G753" s="2" t="s">
        <v>1</v>
      </c>
      <c r="H753" s="2" t="s">
        <v>120</v>
      </c>
      <c r="I753" s="2" t="s">
        <v>140</v>
      </c>
      <c r="J753" s="2" t="s">
        <v>122</v>
      </c>
      <c r="K753" s="2" t="s">
        <v>723</v>
      </c>
      <c r="L753" s="2" t="s">
        <v>3366</v>
      </c>
      <c r="M753" s="2">
        <v>0</v>
      </c>
      <c r="N753" s="2">
        <v>0</v>
      </c>
      <c r="O753" s="2">
        <v>0</v>
      </c>
      <c r="P753" s="2" t="s">
        <v>125</v>
      </c>
      <c r="Q753" s="2" t="s">
        <v>73</v>
      </c>
      <c r="R753" s="29" t="e">
        <f>IF(INDEX(#REF!,MATCH('data '!$B753,#REF!,0),MATCH('data '!R$3,#REF!,0))=0,"",INDEX(#REF!,MATCH('data '!$B753,#REF!,0),MATCH('data '!R$3,#REF!,0)))</f>
        <v>#REF!</v>
      </c>
      <c r="S753" s="29" t="e">
        <f>IF(INDEX(#REF!,MATCH('data '!$B753,#REF!,0),MATCH('data '!S$3,#REF!,0))=0,"",INDEX(#REF!,MATCH('data '!$B753,#REF!,0),MATCH('data '!S$3,#REF!,0)))</f>
        <v>#REF!</v>
      </c>
      <c r="T753" s="29" t="e">
        <f>IF(INDEX(#REF!,MATCH('data '!$B753,#REF!,0),MATCH('data '!T$3,#REF!,0))=0,"",INDEX(#REF!,MATCH('data '!$B753,#REF!,0),MATCH('data '!T$3,#REF!,0)))</f>
        <v>#REF!</v>
      </c>
      <c r="V753" s="25" t="s">
        <v>74</v>
      </c>
      <c r="W753" s="25">
        <v>0</v>
      </c>
      <c r="AC753" s="8" t="e">
        <f>VLOOKUP(B753,#REF!,19,0)</f>
        <v>#REF!</v>
      </c>
      <c r="AP753" s="8" t="str">
        <f t="shared" si="30"/>
        <v>Not yet endorsed</v>
      </c>
      <c r="AQ753" s="10" t="b" cm="1">
        <f t="array" aca="1" ref="AQ753" ca="1">IF(AM753&gt;0,(TODAY()-AM753),IF(AL753&gt;0,(TODAY()-AL753),IF(AK753&gt;0,(TODAY()-AK753,IF(AI753&gt;0,(TODAY()-AI753),IF(AG753&gt;0,(TODAY()-AG753),IF(AF753&gt;0,(TODAY()-AF753),IF(X753&gt;0,(TODAY()-X753)," "))))))))</f>
        <v>0</v>
      </c>
      <c r="BD753" s="2" t="str">
        <f t="shared" si="31"/>
        <v>Not yet endorsed</v>
      </c>
      <c r="BE753" s="2" t="s">
        <v>75</v>
      </c>
      <c r="BG753" s="2" t="e">
        <v>#N/A</v>
      </c>
    </row>
    <row r="754" spans="2:59" hidden="1" x14ac:dyDescent="0.25">
      <c r="B754" s="2" t="s">
        <v>3375</v>
      </c>
      <c r="C754" s="2" t="s">
        <v>3376</v>
      </c>
      <c r="D754" s="44" t="s">
        <v>3377</v>
      </c>
      <c r="E754" s="2" t="s">
        <v>4</v>
      </c>
      <c r="F754" s="2" t="s">
        <v>2271</v>
      </c>
      <c r="G754" s="2" t="s">
        <v>1</v>
      </c>
      <c r="H754" s="2" t="s">
        <v>120</v>
      </c>
      <c r="I754" s="2" t="s">
        <v>140</v>
      </c>
      <c r="J754" s="2" t="s">
        <v>122</v>
      </c>
      <c r="K754" s="2" t="s">
        <v>723</v>
      </c>
      <c r="L754" s="2" t="s">
        <v>3366</v>
      </c>
      <c r="M754" s="2">
        <v>0</v>
      </c>
      <c r="N754" s="2">
        <v>0</v>
      </c>
      <c r="O754" s="2">
        <v>0</v>
      </c>
      <c r="P754" s="2" t="s">
        <v>125</v>
      </c>
      <c r="Q754" s="2" t="s">
        <v>73</v>
      </c>
      <c r="R754" s="29" t="e">
        <f>IF(INDEX(#REF!,MATCH('data '!$B754,#REF!,0),MATCH('data '!R$3,#REF!,0))=0,"",INDEX(#REF!,MATCH('data '!$B754,#REF!,0),MATCH('data '!R$3,#REF!,0)))</f>
        <v>#REF!</v>
      </c>
      <c r="S754" s="29" t="e">
        <f>IF(INDEX(#REF!,MATCH('data '!$B754,#REF!,0),MATCH('data '!S$3,#REF!,0))=0,"",INDEX(#REF!,MATCH('data '!$B754,#REF!,0),MATCH('data '!S$3,#REF!,0)))</f>
        <v>#REF!</v>
      </c>
      <c r="T754" s="29" t="e">
        <f>IF(INDEX(#REF!,MATCH('data '!$B754,#REF!,0),MATCH('data '!T$3,#REF!,0))=0,"",INDEX(#REF!,MATCH('data '!$B754,#REF!,0),MATCH('data '!T$3,#REF!,0)))</f>
        <v>#REF!</v>
      </c>
      <c r="V754" s="25" t="s">
        <v>204</v>
      </c>
      <c r="W754" s="25">
        <v>0</v>
      </c>
      <c r="AC754" s="8" t="e">
        <f>VLOOKUP(B754,#REF!,19,0)</f>
        <v>#REF!</v>
      </c>
      <c r="AP754" s="8" t="str">
        <f t="shared" si="30"/>
        <v>Not yet endorsed</v>
      </c>
      <c r="AQ754" s="10" t="b" cm="1">
        <f t="array" aca="1" ref="AQ754" ca="1">IF(AM754&gt;0,(TODAY()-AM754),IF(AL754&gt;0,(TODAY()-AL754),IF(AK754&gt;0,(TODAY()-AK754,IF(AI754&gt;0,(TODAY()-AI754),IF(AG754&gt;0,(TODAY()-AG754),IF(AF754&gt;0,(TODAY()-AF754),IF(X754&gt;0,(TODAY()-X754)," "))))))))</f>
        <v>0</v>
      </c>
      <c r="BD754" s="2" t="str">
        <f t="shared" si="31"/>
        <v>Not yet endorsed</v>
      </c>
      <c r="BE754" s="2" t="s">
        <v>75</v>
      </c>
      <c r="BG754" s="2" t="e">
        <v>#N/A</v>
      </c>
    </row>
    <row r="755" spans="2:59" hidden="1" x14ac:dyDescent="0.25">
      <c r="B755" s="2" t="s">
        <v>3378</v>
      </c>
      <c r="C755" s="2" t="s">
        <v>3379</v>
      </c>
      <c r="D755" s="44" t="s">
        <v>3380</v>
      </c>
      <c r="E755" s="2" t="s">
        <v>4</v>
      </c>
      <c r="F755" s="2" t="s">
        <v>575</v>
      </c>
      <c r="G755" s="2" t="s">
        <v>1</v>
      </c>
      <c r="H755" s="2" t="s">
        <v>120</v>
      </c>
      <c r="I755" s="2" t="s">
        <v>140</v>
      </c>
      <c r="J755" s="2" t="s">
        <v>122</v>
      </c>
      <c r="K755" s="2" t="s">
        <v>123</v>
      </c>
      <c r="L755" s="2" t="s">
        <v>3381</v>
      </c>
      <c r="M755" s="2">
        <v>0</v>
      </c>
      <c r="N755" s="2">
        <v>0</v>
      </c>
      <c r="O755" s="2">
        <v>0</v>
      </c>
      <c r="P755" s="2" t="s">
        <v>407</v>
      </c>
      <c r="Q755" s="2" t="s">
        <v>73</v>
      </c>
      <c r="R755" s="29" t="e">
        <f>IF(INDEX(#REF!,MATCH('data '!$B755,#REF!,0),MATCH('data '!R$3,#REF!,0))=0,"",INDEX(#REF!,MATCH('data '!$B755,#REF!,0),MATCH('data '!R$3,#REF!,0)))</f>
        <v>#REF!</v>
      </c>
      <c r="S755" s="29" t="e">
        <f>IF(INDEX(#REF!,MATCH('data '!$B755,#REF!,0),MATCH('data '!S$3,#REF!,0))=0,"",INDEX(#REF!,MATCH('data '!$B755,#REF!,0),MATCH('data '!S$3,#REF!,0)))</f>
        <v>#REF!</v>
      </c>
      <c r="T755" s="29" t="e">
        <f>IF(INDEX(#REF!,MATCH('data '!$B755,#REF!,0),MATCH('data '!T$3,#REF!,0))=0,"",INDEX(#REF!,MATCH('data '!$B755,#REF!,0),MATCH('data '!T$3,#REF!,0)))</f>
        <v>#REF!</v>
      </c>
      <c r="V755" s="25" t="s">
        <v>656</v>
      </c>
      <c r="W755" s="25">
        <v>0</v>
      </c>
      <c r="AC755" s="8" t="e">
        <f>VLOOKUP(B755,#REF!,19,0)</f>
        <v>#REF!</v>
      </c>
      <c r="AP755" s="8" t="str">
        <f t="shared" si="30"/>
        <v>Not yet endorsed</v>
      </c>
      <c r="AQ755" s="10" t="b" cm="1">
        <f t="array" aca="1" ref="AQ755" ca="1">IF(AM755&gt;0,(TODAY()-AM755),IF(AL755&gt;0,(TODAY()-AL755),IF(AK755&gt;0,(TODAY()-AK755,IF(AI755&gt;0,(TODAY()-AI755),IF(AG755&gt;0,(TODAY()-AG755),IF(AF755&gt;0,(TODAY()-AF755),IF(X755&gt;0,(TODAY()-X755)," "))))))))</f>
        <v>0</v>
      </c>
      <c r="BD755" s="2" t="str">
        <f t="shared" si="31"/>
        <v>Not yet endorsed</v>
      </c>
      <c r="BE755" s="2" t="s">
        <v>75</v>
      </c>
      <c r="BG755" s="2" t="e">
        <v>#N/A</v>
      </c>
    </row>
    <row r="756" spans="2:59" hidden="1" x14ac:dyDescent="0.25">
      <c r="B756" s="2" t="s">
        <v>3382</v>
      </c>
      <c r="C756" s="2" t="s">
        <v>3383</v>
      </c>
      <c r="D756" s="44" t="s">
        <v>3384</v>
      </c>
      <c r="E756" s="2" t="s">
        <v>4</v>
      </c>
      <c r="F756" s="2" t="s">
        <v>575</v>
      </c>
      <c r="G756" s="2" t="s">
        <v>1</v>
      </c>
      <c r="H756" s="2" t="s">
        <v>120</v>
      </c>
      <c r="I756" s="2" t="s">
        <v>140</v>
      </c>
      <c r="J756" s="2" t="s">
        <v>122</v>
      </c>
      <c r="K756" s="2" t="s">
        <v>123</v>
      </c>
      <c r="L756" s="2" t="s">
        <v>793</v>
      </c>
      <c r="M756" s="2">
        <v>0</v>
      </c>
      <c r="N756" s="2">
        <v>14.826441000000001</v>
      </c>
      <c r="O756" s="2">
        <v>121.018241</v>
      </c>
      <c r="P756" s="2" t="s">
        <v>87</v>
      </c>
      <c r="Q756" s="2" t="s">
        <v>198</v>
      </c>
      <c r="R756" s="29" t="e">
        <f>IF(INDEX(#REF!,MATCH('data '!$B756,#REF!,0),MATCH('data '!R$3,#REF!,0))=0,"",INDEX(#REF!,MATCH('data '!$B756,#REF!,0),MATCH('data '!R$3,#REF!,0)))</f>
        <v>#REF!</v>
      </c>
      <c r="S756" s="29" t="e">
        <f>IF(INDEX(#REF!,MATCH('data '!$B756,#REF!,0),MATCH('data '!S$3,#REF!,0))=0,"",INDEX(#REF!,MATCH('data '!$B756,#REF!,0),MATCH('data '!S$3,#REF!,0)))</f>
        <v>#REF!</v>
      </c>
      <c r="T756" s="29" t="e">
        <f>IF(INDEX(#REF!,MATCH('data '!$B756,#REF!,0),MATCH('data '!T$3,#REF!,0))=0,"",INDEX(#REF!,MATCH('data '!$B756,#REF!,0),MATCH('data '!T$3,#REF!,0)))</f>
        <v>#REF!</v>
      </c>
      <c r="V756" s="25" t="s">
        <v>185</v>
      </c>
      <c r="W756" s="25" t="s">
        <v>144</v>
      </c>
      <c r="X756" s="43" t="s">
        <v>25</v>
      </c>
      <c r="Y756" s="43">
        <v>45875</v>
      </c>
      <c r="Z756" s="8">
        <v>45756</v>
      </c>
      <c r="AC756" s="8" t="e">
        <f>VLOOKUP(B756,#REF!,19,0)</f>
        <v>#REF!</v>
      </c>
      <c r="AE756" s="8" t="s">
        <v>547</v>
      </c>
      <c r="AF756" s="8">
        <v>45908</v>
      </c>
      <c r="AG756" s="8">
        <v>45908</v>
      </c>
      <c r="AH756" s="8" t="s">
        <v>2086</v>
      </c>
      <c r="AI756" s="8">
        <v>45909</v>
      </c>
      <c r="AJ756" s="8" t="s">
        <v>2087</v>
      </c>
      <c r="AK756" s="8">
        <v>45916</v>
      </c>
      <c r="AO756" s="8" t="s">
        <v>25</v>
      </c>
      <c r="AP756" s="8" t="str">
        <f t="shared" si="30"/>
        <v>COOP Surveyed</v>
      </c>
      <c r="AS756" s="8" t="s">
        <v>670</v>
      </c>
      <c r="AT756" s="11"/>
      <c r="AU756" s="11"/>
      <c r="AV756" s="11"/>
      <c r="AW756" s="11"/>
      <c r="AX756" s="11"/>
      <c r="AY756" s="11"/>
      <c r="BD756" s="2" t="str">
        <f t="shared" si="31"/>
        <v>Vendor Allocated</v>
      </c>
      <c r="BG756" s="2" t="e">
        <v>#N/A</v>
      </c>
    </row>
    <row r="757" spans="2:59" hidden="1" x14ac:dyDescent="0.25">
      <c r="B757" s="2" t="s">
        <v>3385</v>
      </c>
      <c r="C757" s="2" t="s">
        <v>3386</v>
      </c>
      <c r="D757" s="44" t="s">
        <v>3387</v>
      </c>
      <c r="E757" s="2" t="s">
        <v>4</v>
      </c>
      <c r="F757" s="2" t="s">
        <v>575</v>
      </c>
      <c r="G757" s="2" t="s">
        <v>1</v>
      </c>
      <c r="H757" s="2" t="s">
        <v>120</v>
      </c>
      <c r="I757" s="2" t="s">
        <v>140</v>
      </c>
      <c r="J757" s="2" t="s">
        <v>122</v>
      </c>
      <c r="K757" s="2" t="s">
        <v>123</v>
      </c>
      <c r="L757" s="2" t="s">
        <v>793</v>
      </c>
      <c r="M757" s="2">
        <v>0</v>
      </c>
      <c r="N757" s="2">
        <v>14.847353</v>
      </c>
      <c r="O757" s="2">
        <v>121.02911400000001</v>
      </c>
      <c r="P757" s="2" t="s">
        <v>87</v>
      </c>
      <c r="Q757" s="2" t="s">
        <v>73</v>
      </c>
      <c r="R757" s="29" t="e">
        <f>IF(INDEX(#REF!,MATCH('data '!$B757,#REF!,0),MATCH('data '!R$3,#REF!,0))=0,"",INDEX(#REF!,MATCH('data '!$B757,#REF!,0),MATCH('data '!R$3,#REF!,0)))</f>
        <v>#REF!</v>
      </c>
      <c r="S757" s="29" t="e">
        <f>IF(INDEX(#REF!,MATCH('data '!$B757,#REF!,0),MATCH('data '!S$3,#REF!,0))=0,"",INDEX(#REF!,MATCH('data '!$B757,#REF!,0),MATCH('data '!S$3,#REF!,0)))</f>
        <v>#REF!</v>
      </c>
      <c r="T757" s="29" t="e">
        <f>IF(INDEX(#REF!,MATCH('data '!$B757,#REF!,0),MATCH('data '!T$3,#REF!,0))=0,"",INDEX(#REF!,MATCH('data '!$B757,#REF!,0),MATCH('data '!T$3,#REF!,0)))</f>
        <v>#REF!</v>
      </c>
      <c r="V757" s="25" t="s">
        <v>87</v>
      </c>
      <c r="W757" s="25" t="s">
        <v>144</v>
      </c>
      <c r="X757" s="43" t="s">
        <v>25</v>
      </c>
      <c r="Y757" s="43">
        <v>45897</v>
      </c>
      <c r="AC757" s="8" t="e">
        <f>VLOOKUP(B757,#REF!,19,0)</f>
        <v>#REF!</v>
      </c>
      <c r="AE757" s="8" t="s">
        <v>547</v>
      </c>
      <c r="AF757" s="8">
        <v>45908</v>
      </c>
      <c r="AG757" s="8">
        <v>45908</v>
      </c>
      <c r="AH757" s="8" t="s">
        <v>2086</v>
      </c>
      <c r="AI757" s="8">
        <v>45909</v>
      </c>
      <c r="AJ757" s="8" t="s">
        <v>2087</v>
      </c>
      <c r="AK757" s="8">
        <v>45916</v>
      </c>
      <c r="AO757" s="8" t="s">
        <v>25</v>
      </c>
      <c r="AP757" s="8" t="str">
        <f t="shared" si="30"/>
        <v>COOP Surveyed</v>
      </c>
      <c r="AS757" s="8" t="s">
        <v>670</v>
      </c>
      <c r="AT757" s="11"/>
      <c r="AU757" s="11"/>
      <c r="AV757" s="11"/>
      <c r="AW757" s="11"/>
      <c r="AX757" s="11"/>
      <c r="AY757" s="11"/>
      <c r="BD757" s="2" t="str">
        <f t="shared" si="31"/>
        <v>Vendor Allocated</v>
      </c>
      <c r="BG757" s="2" t="e">
        <v>#N/A</v>
      </c>
    </row>
    <row r="758" spans="2:59" hidden="1" x14ac:dyDescent="0.25">
      <c r="B758" s="2" t="s">
        <v>3388</v>
      </c>
      <c r="C758" s="2" t="s">
        <v>3389</v>
      </c>
      <c r="D758" s="44" t="s">
        <v>3390</v>
      </c>
      <c r="E758" s="2" t="s">
        <v>4</v>
      </c>
      <c r="F758" s="2" t="s">
        <v>575</v>
      </c>
      <c r="G758" s="2" t="s">
        <v>1</v>
      </c>
      <c r="H758" s="2" t="s">
        <v>120</v>
      </c>
      <c r="I758" s="2" t="s">
        <v>140</v>
      </c>
      <c r="J758" s="2" t="s">
        <v>122</v>
      </c>
      <c r="K758" s="2" t="s">
        <v>123</v>
      </c>
      <c r="L758" s="2" t="s">
        <v>793</v>
      </c>
      <c r="M758" s="2">
        <v>0</v>
      </c>
      <c r="N758" s="2">
        <v>14.88309016</v>
      </c>
      <c r="O758" s="2">
        <v>121.01507669999999</v>
      </c>
      <c r="P758" s="2" t="s">
        <v>87</v>
      </c>
      <c r="Q758" s="2" t="s">
        <v>219</v>
      </c>
      <c r="R758" s="29" t="e">
        <f>IF(INDEX(#REF!,MATCH('data '!$B758,#REF!,0),MATCH('data '!R$3,#REF!,0))=0,"",INDEX(#REF!,MATCH('data '!$B758,#REF!,0),MATCH('data '!R$3,#REF!,0)))</f>
        <v>#REF!</v>
      </c>
      <c r="S758" s="29" t="e">
        <f>IF(INDEX(#REF!,MATCH('data '!$B758,#REF!,0),MATCH('data '!S$3,#REF!,0))=0,"",INDEX(#REF!,MATCH('data '!$B758,#REF!,0),MATCH('data '!S$3,#REF!,0)))</f>
        <v>#REF!</v>
      </c>
      <c r="T758" s="29" t="e">
        <f>IF(INDEX(#REF!,MATCH('data '!$B758,#REF!,0),MATCH('data '!T$3,#REF!,0))=0,"",INDEX(#REF!,MATCH('data '!$B758,#REF!,0),MATCH('data '!T$3,#REF!,0)))</f>
        <v>#REF!</v>
      </c>
      <c r="V758" s="25" t="s">
        <v>185</v>
      </c>
      <c r="W758" s="25" t="s">
        <v>144</v>
      </c>
      <c r="X758" s="43" t="s">
        <v>25</v>
      </c>
      <c r="Y758" s="43">
        <v>45875</v>
      </c>
      <c r="Z758" s="8">
        <v>45725</v>
      </c>
      <c r="AC758" s="8" t="e">
        <f>VLOOKUP(B758,#REF!,19,0)</f>
        <v>#REF!</v>
      </c>
      <c r="AE758" s="8" t="s">
        <v>530</v>
      </c>
      <c r="AF758" s="8">
        <v>45908</v>
      </c>
      <c r="AG758" s="8">
        <v>45908</v>
      </c>
      <c r="AH758" s="8" t="s">
        <v>531</v>
      </c>
      <c r="AI758" s="8">
        <v>45909</v>
      </c>
      <c r="AJ758" s="8" t="s">
        <v>532</v>
      </c>
      <c r="AK758" s="8">
        <v>45916</v>
      </c>
      <c r="AO758" s="8" t="s">
        <v>25</v>
      </c>
      <c r="AP758" s="8" t="str">
        <f t="shared" si="30"/>
        <v>COOP Surveyed</v>
      </c>
      <c r="AS758" s="8" t="s">
        <v>670</v>
      </c>
      <c r="AT758" s="8">
        <v>45905</v>
      </c>
      <c r="AU758" s="8">
        <v>45958</v>
      </c>
      <c r="AV758" s="8">
        <v>45959</v>
      </c>
      <c r="AW758" s="8" t="s">
        <v>1123</v>
      </c>
      <c r="AX758" s="8">
        <v>45964</v>
      </c>
      <c r="AY758" s="8" t="s">
        <v>1124</v>
      </c>
      <c r="BD758" s="2" t="str">
        <f t="shared" si="31"/>
        <v>PO Issued</v>
      </c>
      <c r="BG758" s="2" t="e">
        <v>#N/A</v>
      </c>
    </row>
    <row r="759" spans="2:59" hidden="1" x14ac:dyDescent="0.25">
      <c r="B759" s="2" t="s">
        <v>3391</v>
      </c>
      <c r="C759" s="2" t="s">
        <v>3392</v>
      </c>
      <c r="D759" s="44" t="s">
        <v>3393</v>
      </c>
      <c r="E759" s="2" t="s">
        <v>4</v>
      </c>
      <c r="F759" s="2" t="s">
        <v>575</v>
      </c>
      <c r="G759" s="2" t="s">
        <v>1</v>
      </c>
      <c r="H759" s="2" t="s">
        <v>120</v>
      </c>
      <c r="I759" s="2" t="s">
        <v>140</v>
      </c>
      <c r="J759" s="2" t="s">
        <v>122</v>
      </c>
      <c r="K759" s="2" t="s">
        <v>123</v>
      </c>
      <c r="L759" s="2" t="s">
        <v>1085</v>
      </c>
      <c r="M759" s="2">
        <v>0</v>
      </c>
      <c r="N759" s="2">
        <v>0</v>
      </c>
      <c r="O759" s="2">
        <v>0</v>
      </c>
      <c r="P759" s="2" t="s">
        <v>133</v>
      </c>
      <c r="Q759" s="2" t="s">
        <v>73</v>
      </c>
      <c r="R759" s="29" t="e">
        <f>IF(INDEX(#REF!,MATCH('data '!$B759,#REF!,0),MATCH('data '!R$3,#REF!,0))=0,"",INDEX(#REF!,MATCH('data '!$B759,#REF!,0),MATCH('data '!R$3,#REF!,0)))</f>
        <v>#REF!</v>
      </c>
      <c r="S759" s="29" t="e">
        <f>IF(INDEX(#REF!,MATCH('data '!$B759,#REF!,0),MATCH('data '!S$3,#REF!,0))=0,"",INDEX(#REF!,MATCH('data '!$B759,#REF!,0),MATCH('data '!S$3,#REF!,0)))</f>
        <v>#REF!</v>
      </c>
      <c r="T759" s="29" t="e">
        <f>IF(INDEX(#REF!,MATCH('data '!$B759,#REF!,0),MATCH('data '!T$3,#REF!,0))=0,"",INDEX(#REF!,MATCH('data '!$B759,#REF!,0),MATCH('data '!T$3,#REF!,0)))</f>
        <v>#REF!</v>
      </c>
      <c r="V759" s="25" t="s">
        <v>125</v>
      </c>
      <c r="W759" s="25">
        <v>0</v>
      </c>
      <c r="AC759" s="8" t="e">
        <f>VLOOKUP(B759,#REF!,19,0)</f>
        <v>#REF!</v>
      </c>
      <c r="AE759" s="8" t="s">
        <v>3394</v>
      </c>
      <c r="AF759" s="21">
        <v>45938</v>
      </c>
      <c r="AP759" s="8" t="str">
        <f t="shared" si="30"/>
        <v>Vendor Allocated</v>
      </c>
      <c r="AQ759" s="10" t="b" cm="1">
        <f t="array" aca="1" ref="AQ759" ca="1">IF(AM759&gt;0,(TODAY()-AM759),IF(AL759&gt;0,(TODAY()-AL759),IF(AK759&gt;0,(TODAY()-AK759,IF(AI759&gt;0,(TODAY()-AI759),IF(AG759&gt;0,(TODAY()-AG759),IF(AF759&gt;0,(TODAY()-AF759),IF(X759&gt;0,(TODAY()-X759)," "))))))))</f>
        <v>0</v>
      </c>
      <c r="BD759" s="2" t="str">
        <f t="shared" si="31"/>
        <v>Vendor Allocated</v>
      </c>
      <c r="BE759" s="2">
        <v>2</v>
      </c>
      <c r="BG759" s="2" t="s">
        <v>3394</v>
      </c>
    </row>
    <row r="760" spans="2:59" hidden="1" x14ac:dyDescent="0.25">
      <c r="B760" s="2" t="s">
        <v>3395</v>
      </c>
      <c r="C760" s="2" t="s">
        <v>3396</v>
      </c>
      <c r="D760" s="44" t="s">
        <v>3397</v>
      </c>
      <c r="E760" s="2" t="s">
        <v>4</v>
      </c>
      <c r="F760" s="2" t="s">
        <v>575</v>
      </c>
      <c r="G760" s="2" t="s">
        <v>1</v>
      </c>
      <c r="H760" s="2" t="s">
        <v>120</v>
      </c>
      <c r="I760" s="2" t="s">
        <v>140</v>
      </c>
      <c r="J760" s="2" t="s">
        <v>122</v>
      </c>
      <c r="K760" s="2" t="s">
        <v>123</v>
      </c>
      <c r="L760" s="2" t="s">
        <v>908</v>
      </c>
      <c r="M760" s="2">
        <v>0</v>
      </c>
      <c r="N760" s="2">
        <v>0</v>
      </c>
      <c r="O760" s="2">
        <v>0</v>
      </c>
      <c r="P760" s="2" t="s">
        <v>318</v>
      </c>
      <c r="Q760" s="2" t="s">
        <v>73</v>
      </c>
      <c r="R760" s="29" t="e">
        <f>IF(INDEX(#REF!,MATCH('data '!$B760,#REF!,0),MATCH('data '!R$3,#REF!,0))=0,"",INDEX(#REF!,MATCH('data '!$B760,#REF!,0),MATCH('data '!R$3,#REF!,0)))</f>
        <v>#REF!</v>
      </c>
      <c r="S760" s="29" t="e">
        <f>IF(INDEX(#REF!,MATCH('data '!$B760,#REF!,0),MATCH('data '!S$3,#REF!,0))=0,"",INDEX(#REF!,MATCH('data '!$B760,#REF!,0),MATCH('data '!S$3,#REF!,0)))</f>
        <v>#REF!</v>
      </c>
      <c r="T760" s="29" t="e">
        <f>IF(INDEX(#REF!,MATCH('data '!$B760,#REF!,0),MATCH('data '!T$3,#REF!,0))=0,"",INDEX(#REF!,MATCH('data '!$B760,#REF!,0),MATCH('data '!T$3,#REF!,0)))</f>
        <v>#REF!</v>
      </c>
      <c r="V760" s="25" t="s">
        <v>731</v>
      </c>
      <c r="W760" s="25">
        <v>0</v>
      </c>
      <c r="AC760" s="8" t="e">
        <f>VLOOKUP(B760,#REF!,19,0)</f>
        <v>#REF!</v>
      </c>
      <c r="AP760" s="8" t="str">
        <f t="shared" si="30"/>
        <v>Not yet endorsed</v>
      </c>
      <c r="AQ760" s="10" t="b" cm="1">
        <f t="array" aca="1" ref="AQ760" ca="1">IF(AM760&gt;0,(TODAY()-AM760),IF(AL760&gt;0,(TODAY()-AL760),IF(AK760&gt;0,(TODAY()-AK760,IF(AI760&gt;0,(TODAY()-AI760),IF(AG760&gt;0,(TODAY()-AG760),IF(AF760&gt;0,(TODAY()-AF760),IF(X760&gt;0,(TODAY()-X760)," "))))))))</f>
        <v>0</v>
      </c>
      <c r="BD760" s="2" t="str">
        <f t="shared" si="31"/>
        <v>Not yet endorsed</v>
      </c>
      <c r="BE760" s="2" t="s">
        <v>75</v>
      </c>
      <c r="BG760" s="2" t="e">
        <v>#N/A</v>
      </c>
    </row>
    <row r="761" spans="2:59" hidden="1" x14ac:dyDescent="0.25">
      <c r="B761" s="7" t="s">
        <v>3398</v>
      </c>
      <c r="C761" s="2" t="s">
        <v>3399</v>
      </c>
      <c r="D761" s="44" t="s">
        <v>3400</v>
      </c>
      <c r="E761" s="2" t="s">
        <v>4</v>
      </c>
      <c r="F761" s="2" t="s">
        <v>575</v>
      </c>
      <c r="G761" s="2" t="s">
        <v>1</v>
      </c>
      <c r="H761" s="2" t="s">
        <v>120</v>
      </c>
      <c r="I761" s="2" t="s">
        <v>140</v>
      </c>
      <c r="J761" s="2" t="s">
        <v>122</v>
      </c>
      <c r="K761" s="2" t="s">
        <v>123</v>
      </c>
      <c r="L761" s="2" t="s">
        <v>3401</v>
      </c>
      <c r="M761" s="2">
        <v>0</v>
      </c>
      <c r="N761" s="2">
        <v>14.846807399999999</v>
      </c>
      <c r="O761" s="2">
        <v>120.88974090000001</v>
      </c>
      <c r="P761" s="2" t="s">
        <v>87</v>
      </c>
      <c r="Q761" s="2" t="s">
        <v>314</v>
      </c>
      <c r="R761" s="29" t="e">
        <f>IF(INDEX(#REF!,MATCH('data '!$B761,#REF!,0),MATCH('data '!R$3,#REF!,0))=0,"",INDEX(#REF!,MATCH('data '!$B761,#REF!,0),MATCH('data '!R$3,#REF!,0)))</f>
        <v>#REF!</v>
      </c>
      <c r="S761" s="29" t="e">
        <f>IF(INDEX(#REF!,MATCH('data '!$B761,#REF!,0),MATCH('data '!S$3,#REF!,0))=0,"",INDEX(#REF!,MATCH('data '!$B761,#REF!,0),MATCH('data '!S$3,#REF!,0)))</f>
        <v>#REF!</v>
      </c>
      <c r="T761" s="29" t="e">
        <f>IF(INDEX(#REF!,MATCH('data '!$B761,#REF!,0),MATCH('data '!T$3,#REF!,0))=0,"",INDEX(#REF!,MATCH('data '!$B761,#REF!,0),MATCH('data '!T$3,#REF!,0)))</f>
        <v>#REF!</v>
      </c>
      <c r="V761" s="25" t="s">
        <v>185</v>
      </c>
      <c r="W761" s="25" t="s">
        <v>144</v>
      </c>
      <c r="X761" s="9" t="s">
        <v>25</v>
      </c>
      <c r="Y761" s="9">
        <v>45920</v>
      </c>
      <c r="Z761" s="8">
        <v>45817</v>
      </c>
      <c r="AC761" s="8" t="e">
        <f>VLOOKUP(B761,#REF!,19,0)</f>
        <v>#REF!</v>
      </c>
      <c r="AE761" s="8" t="s">
        <v>3394</v>
      </c>
      <c r="AF761" s="13">
        <v>45938</v>
      </c>
      <c r="AG761" s="8">
        <v>45939</v>
      </c>
      <c r="AH761" s="8" t="s">
        <v>3402</v>
      </c>
      <c r="AI761" s="8">
        <v>45943</v>
      </c>
      <c r="AJ761" s="8" t="s">
        <v>3403</v>
      </c>
      <c r="AP761" s="8" t="str">
        <f t="shared" si="30"/>
        <v>PO Issued</v>
      </c>
      <c r="AQ761" s="10" t="b" cm="1">
        <f t="array" aca="1" ref="AQ761" ca="1">IF(AM761&gt;0,(TODAY()-AM761),IF(AL761&gt;0,(TODAY()-AL761),IF(AK761&gt;0,(TODAY()-AK761,IF(AI761&gt;0,(TODAY()-AI761),IF(AG761&gt;0,(TODAY()-AG761),IF(AF761&gt;0,(TODAY()-AF761),IF(X761&gt;0,(TODAY()-X761)," "))))))))</f>
        <v>0</v>
      </c>
      <c r="AT761" s="11"/>
      <c r="AU761" s="11"/>
      <c r="AV761" s="11"/>
      <c r="AW761" s="11"/>
      <c r="AX761" s="11"/>
      <c r="AY761" s="11"/>
      <c r="BD761" s="2" t="str">
        <f t="shared" si="31"/>
        <v>Vendor Allocated</v>
      </c>
      <c r="BE761" s="2">
        <v>2</v>
      </c>
      <c r="BG761" s="2" t="s">
        <v>3394</v>
      </c>
    </row>
    <row r="762" spans="2:59" hidden="1" x14ac:dyDescent="0.25">
      <c r="B762" s="2" t="s">
        <v>3404</v>
      </c>
      <c r="C762" s="2" t="s">
        <v>3405</v>
      </c>
      <c r="D762" s="44" t="s">
        <v>3406</v>
      </c>
      <c r="E762" s="2" t="s">
        <v>11</v>
      </c>
      <c r="F762" s="2">
        <v>0</v>
      </c>
      <c r="G762" s="2" t="s">
        <v>1</v>
      </c>
      <c r="H762" s="2" t="s">
        <v>67</v>
      </c>
      <c r="I762" s="2" t="s">
        <v>68</v>
      </c>
      <c r="J762" s="2" t="s">
        <v>330</v>
      </c>
      <c r="K762" s="2" t="s">
        <v>338</v>
      </c>
      <c r="L762" s="2" t="s">
        <v>3407</v>
      </c>
      <c r="M762" s="2">
        <v>0</v>
      </c>
      <c r="N762" s="2">
        <v>6.3476999999999997</v>
      </c>
      <c r="O762" s="2">
        <v>124.93559999999999</v>
      </c>
      <c r="P762" s="2" t="s">
        <v>87</v>
      </c>
      <c r="Q762" s="2" t="s">
        <v>265</v>
      </c>
      <c r="R762" s="29" t="e">
        <f>IF(INDEX(#REF!,MATCH('data '!$B762,#REF!,0),MATCH('data '!R$3,#REF!,0))=0,"",INDEX(#REF!,MATCH('data '!$B762,#REF!,0),MATCH('data '!R$3,#REF!,0)))</f>
        <v>#REF!</v>
      </c>
      <c r="S762" s="29" t="e">
        <f>IF(INDEX(#REF!,MATCH('data '!$B762,#REF!,0),MATCH('data '!S$3,#REF!,0))=0,"",INDEX(#REF!,MATCH('data '!$B762,#REF!,0),MATCH('data '!S$3,#REF!,0)))</f>
        <v>#REF!</v>
      </c>
      <c r="T762" s="29" t="e">
        <f>IF(INDEX(#REF!,MATCH('data '!$B762,#REF!,0),MATCH('data '!T$3,#REF!,0))=0,"",INDEX(#REF!,MATCH('data '!$B762,#REF!,0),MATCH('data '!T$3,#REF!,0)))</f>
        <v>#REF!</v>
      </c>
      <c r="V762" s="25" t="s">
        <v>266</v>
      </c>
      <c r="W762" s="25" t="s">
        <v>144</v>
      </c>
      <c r="X762" s="9" t="s">
        <v>25</v>
      </c>
      <c r="Y762" s="9">
        <v>45848</v>
      </c>
      <c r="AB762" s="8">
        <v>45930</v>
      </c>
      <c r="AC762" s="8" t="e">
        <f>VLOOKUP(B762,#REF!,19,0)</f>
        <v>#REF!</v>
      </c>
      <c r="AP762" s="8" t="str">
        <f t="shared" si="30"/>
        <v>BP Secured</v>
      </c>
      <c r="AQ762" s="10" t="b" cm="1">
        <f t="array" aca="1" ref="AQ762" ca="1">IF(AM762&gt;0,(TODAY()-AM762),IF(AL762&gt;0,(TODAY()-AL762),IF(AK762&gt;0,(TODAY()-AK762,IF(AI762&gt;0,(TODAY()-AI762),IF(AG762&gt;0,(TODAY()-AG762),IF(AF762&gt;0,(TODAY()-AF762),IF(X762&gt;0,(TODAY()-X762)," "))))))))</f>
        <v>0</v>
      </c>
      <c r="BD762" s="2" t="str">
        <f t="shared" si="31"/>
        <v>BP Secured</v>
      </c>
      <c r="BE762" s="2" t="e">
        <v>#VALUE!</v>
      </c>
      <c r="BG762" s="2" t="e">
        <v>#N/A</v>
      </c>
    </row>
    <row r="763" spans="2:59" hidden="1" x14ac:dyDescent="0.25">
      <c r="B763" s="2" t="s">
        <v>3408</v>
      </c>
      <c r="C763" s="2" t="s">
        <v>3409</v>
      </c>
      <c r="D763" s="44" t="s">
        <v>3410</v>
      </c>
      <c r="E763" s="2" t="s">
        <v>11</v>
      </c>
      <c r="F763" s="2">
        <v>0</v>
      </c>
      <c r="G763" s="2" t="s">
        <v>1</v>
      </c>
      <c r="H763" s="2" t="s">
        <v>165</v>
      </c>
      <c r="I763" s="2" t="s">
        <v>68</v>
      </c>
      <c r="J763" s="2" t="s">
        <v>173</v>
      </c>
      <c r="K763" s="2" t="s">
        <v>303</v>
      </c>
      <c r="L763" s="2">
        <v>0</v>
      </c>
      <c r="M763" s="2">
        <v>0</v>
      </c>
      <c r="N763" s="2">
        <v>0</v>
      </c>
      <c r="O763" s="2">
        <v>0</v>
      </c>
      <c r="P763" s="2" t="s">
        <v>87</v>
      </c>
      <c r="Q763" s="2" t="s">
        <v>73</v>
      </c>
      <c r="R763" s="29" t="e">
        <f>IF(INDEX(#REF!,MATCH('data '!$B763,#REF!,0),MATCH('data '!R$3,#REF!,0))=0,"",INDEX(#REF!,MATCH('data '!$B763,#REF!,0),MATCH('data '!R$3,#REF!,0)))</f>
        <v>#REF!</v>
      </c>
      <c r="S763" s="29" t="e">
        <f>IF(INDEX(#REF!,MATCH('data '!$B763,#REF!,0),MATCH('data '!S$3,#REF!,0))=0,"",INDEX(#REF!,MATCH('data '!$B763,#REF!,0),MATCH('data '!S$3,#REF!,0)))</f>
        <v>#REF!</v>
      </c>
      <c r="T763" s="29" t="e">
        <f>IF(INDEX(#REF!,MATCH('data '!$B763,#REF!,0),MATCH('data '!T$3,#REF!,0))=0,"",INDEX(#REF!,MATCH('data '!$B763,#REF!,0),MATCH('data '!T$3,#REF!,0)))</f>
        <v>#REF!</v>
      </c>
      <c r="V763" s="25" t="s">
        <v>185</v>
      </c>
      <c r="W763" s="25" t="s">
        <v>144</v>
      </c>
      <c r="X763" s="43" t="s">
        <v>25</v>
      </c>
      <c r="Y763" s="43">
        <v>45924</v>
      </c>
      <c r="AC763" s="8" t="e">
        <f>VLOOKUP(B763,#REF!,19,0)</f>
        <v>#REF!</v>
      </c>
      <c r="AP763" s="8" t="str">
        <f t="shared" si="30"/>
        <v>BP Secured</v>
      </c>
      <c r="AQ763" s="10" t="b" cm="1">
        <f t="array" aca="1" ref="AQ763" ca="1">IF(AM763&gt;0,(TODAY()-AM763),IF(AL763&gt;0,(TODAY()-AL763),IF(AK763&gt;0,(TODAY()-AK763,IF(AI763&gt;0,(TODAY()-AI763),IF(AG763&gt;0,(TODAY()-AG763),IF(AF763&gt;0,(TODAY()-AF763),IF(X763&gt;0,(TODAY()-X763)," "))))))))</f>
        <v>0</v>
      </c>
      <c r="BD763" s="2" t="str">
        <f t="shared" si="31"/>
        <v>BP Secured</v>
      </c>
      <c r="BE763" s="2" t="e">
        <v>#VALUE!</v>
      </c>
      <c r="BG763" s="2" t="e">
        <v>#N/A</v>
      </c>
    </row>
    <row r="764" spans="2:59" hidden="1" x14ac:dyDescent="0.25">
      <c r="B764" s="2" t="s">
        <v>3411</v>
      </c>
      <c r="C764" s="2" t="s">
        <v>3412</v>
      </c>
      <c r="D764" s="44" t="s">
        <v>3413</v>
      </c>
      <c r="E764" s="2" t="s">
        <v>11</v>
      </c>
      <c r="F764" s="2">
        <v>0</v>
      </c>
      <c r="G764" s="2" t="s">
        <v>1</v>
      </c>
      <c r="H764" s="2" t="s">
        <v>165</v>
      </c>
      <c r="I764" s="2" t="s">
        <v>68</v>
      </c>
      <c r="J764" s="2" t="s">
        <v>181</v>
      </c>
      <c r="K764" s="2" t="s">
        <v>182</v>
      </c>
      <c r="L764" s="2">
        <v>0</v>
      </c>
      <c r="M764" s="2">
        <v>0</v>
      </c>
      <c r="N764" s="2">
        <v>0</v>
      </c>
      <c r="O764" s="2">
        <v>0</v>
      </c>
      <c r="P764" s="2" t="s">
        <v>168</v>
      </c>
      <c r="Q764" s="2">
        <v>0</v>
      </c>
      <c r="R764" s="29" t="e">
        <f>IF(INDEX(#REF!,MATCH('data '!$B764,#REF!,0),MATCH('data '!R$3,#REF!,0))=0,"",INDEX(#REF!,MATCH('data '!$B764,#REF!,0),MATCH('data '!R$3,#REF!,0)))</f>
        <v>#REF!</v>
      </c>
      <c r="S764" s="29" t="e">
        <f>IF(INDEX(#REF!,MATCH('data '!$B764,#REF!,0),MATCH('data '!S$3,#REF!,0))=0,"",INDEX(#REF!,MATCH('data '!$B764,#REF!,0),MATCH('data '!S$3,#REF!,0)))</f>
        <v>#REF!</v>
      </c>
      <c r="T764" s="29" t="e">
        <f>IF(INDEX(#REF!,MATCH('data '!$B764,#REF!,0),MATCH('data '!T$3,#REF!,0))=0,"",INDEX(#REF!,MATCH('data '!$B764,#REF!,0),MATCH('data '!T$3,#REF!,0)))</f>
        <v>#REF!</v>
      </c>
      <c r="V764" s="25" t="s">
        <v>102</v>
      </c>
      <c r="W764" s="25" t="s">
        <v>103</v>
      </c>
      <c r="X764" s="61"/>
      <c r="Y764" s="61"/>
      <c r="AC764" s="8" t="e">
        <f>VLOOKUP(B764,#REF!,19,0)</f>
        <v>#REF!</v>
      </c>
      <c r="AP764" s="8" t="str">
        <f t="shared" si="30"/>
        <v>Not yet endorsed</v>
      </c>
      <c r="AQ764" s="10" t="b" cm="1">
        <f t="array" aca="1" ref="AQ764" ca="1">IF(AM764&gt;0,(TODAY()-AM764),IF(AL764&gt;0,(TODAY()-AL764),IF(AK764&gt;0,(TODAY()-AK764,IF(AI764&gt;0,(TODAY()-AI764),IF(AG764&gt;0,(TODAY()-AG764),IF(AF764&gt;0,(TODAY()-AF764),IF(X764&gt;0,(TODAY()-X764)," "))))))))</f>
        <v>0</v>
      </c>
      <c r="BD764" s="2" t="str">
        <f t="shared" si="31"/>
        <v>Not yet endorsed</v>
      </c>
      <c r="BE764" s="2" t="s">
        <v>75</v>
      </c>
      <c r="BG764" s="2" t="e">
        <v>#N/A</v>
      </c>
    </row>
    <row r="765" spans="2:59" hidden="1" x14ac:dyDescent="0.25">
      <c r="B765" s="2" t="s">
        <v>3414</v>
      </c>
      <c r="C765" s="2" t="s">
        <v>3415</v>
      </c>
      <c r="D765" s="44" t="s">
        <v>3416</v>
      </c>
      <c r="E765" s="2" t="s">
        <v>11</v>
      </c>
      <c r="F765" s="2">
        <v>0</v>
      </c>
      <c r="G765" s="2" t="s">
        <v>1</v>
      </c>
      <c r="H765" s="2" t="s">
        <v>165</v>
      </c>
      <c r="I765" s="2" t="s">
        <v>68</v>
      </c>
      <c r="J765" s="2" t="s">
        <v>181</v>
      </c>
      <c r="K765" s="2" t="s">
        <v>182</v>
      </c>
      <c r="L765" s="2">
        <v>0</v>
      </c>
      <c r="M765" s="2">
        <v>0</v>
      </c>
      <c r="N765" s="2">
        <v>0</v>
      </c>
      <c r="O765" s="2">
        <v>0</v>
      </c>
      <c r="P765" s="2" t="s">
        <v>82</v>
      </c>
      <c r="Q765" s="2">
        <v>0</v>
      </c>
      <c r="R765" s="29" t="e">
        <f>IF(INDEX(#REF!,MATCH('data '!$B765,#REF!,0),MATCH('data '!R$3,#REF!,0))=0,"",INDEX(#REF!,MATCH('data '!$B765,#REF!,0),MATCH('data '!R$3,#REF!,0)))</f>
        <v>#REF!</v>
      </c>
      <c r="S765" s="29" t="e">
        <f>IF(INDEX(#REF!,MATCH('data '!$B765,#REF!,0),MATCH('data '!S$3,#REF!,0))=0,"",INDEX(#REF!,MATCH('data '!$B765,#REF!,0),MATCH('data '!S$3,#REF!,0)))</f>
        <v>#REF!</v>
      </c>
      <c r="T765" s="29" t="e">
        <f>IF(INDEX(#REF!,MATCH('data '!$B765,#REF!,0),MATCH('data '!T$3,#REF!,0))=0,"",INDEX(#REF!,MATCH('data '!$B765,#REF!,0),MATCH('data '!T$3,#REF!,0)))</f>
        <v>#REF!</v>
      </c>
      <c r="V765" s="25" t="s">
        <v>82</v>
      </c>
      <c r="W765" s="25" t="s">
        <v>83</v>
      </c>
      <c r="AC765" s="8" t="e">
        <f>VLOOKUP(B765,#REF!,19,0)</f>
        <v>#REF!</v>
      </c>
      <c r="AP765" s="8" t="str">
        <f t="shared" si="30"/>
        <v>Not yet endorsed</v>
      </c>
      <c r="AQ765" s="10" t="b" cm="1">
        <f t="array" aca="1" ref="AQ765" ca="1">IF(AM765&gt;0,(TODAY()-AM765),IF(AL765&gt;0,(TODAY()-AL765),IF(AK765&gt;0,(TODAY()-AK765,IF(AI765&gt;0,(TODAY()-AI765),IF(AG765&gt;0,(TODAY()-AG765),IF(AF765&gt;0,(TODAY()-AF765),IF(X765&gt;0,(TODAY()-X765)," "))))))))</f>
        <v>0</v>
      </c>
      <c r="BD765" s="2" t="str">
        <f t="shared" si="31"/>
        <v>Not yet endorsed</v>
      </c>
      <c r="BE765" s="2" t="s">
        <v>75</v>
      </c>
      <c r="BG765" s="2" t="e">
        <v>#N/A</v>
      </c>
    </row>
    <row r="766" spans="2:59" hidden="1" x14ac:dyDescent="0.25">
      <c r="B766" s="2" t="s">
        <v>3417</v>
      </c>
      <c r="C766" s="2" t="s">
        <v>3418</v>
      </c>
      <c r="D766" s="44" t="s">
        <v>3419</v>
      </c>
      <c r="E766" s="2" t="s">
        <v>11</v>
      </c>
      <c r="F766" s="2">
        <v>0</v>
      </c>
      <c r="G766" s="2" t="s">
        <v>1</v>
      </c>
      <c r="H766" s="2" t="s">
        <v>165</v>
      </c>
      <c r="I766" s="2" t="s">
        <v>68</v>
      </c>
      <c r="J766" s="2" t="s">
        <v>181</v>
      </c>
      <c r="K766" s="2" t="s">
        <v>182</v>
      </c>
      <c r="L766" s="2">
        <v>0</v>
      </c>
      <c r="M766" s="2">
        <v>0</v>
      </c>
      <c r="N766" s="2">
        <v>0</v>
      </c>
      <c r="O766" s="2">
        <v>0</v>
      </c>
      <c r="P766" s="2" t="s">
        <v>116</v>
      </c>
      <c r="Q766" s="2">
        <v>0</v>
      </c>
      <c r="R766" s="29" t="e">
        <f>IF(INDEX(#REF!,MATCH('data '!$B766,#REF!,0),MATCH('data '!R$3,#REF!,0))=0,"",INDEX(#REF!,MATCH('data '!$B766,#REF!,0),MATCH('data '!R$3,#REF!,0)))</f>
        <v>#REF!</v>
      </c>
      <c r="S766" s="29" t="e">
        <f>IF(INDEX(#REF!,MATCH('data '!$B766,#REF!,0),MATCH('data '!S$3,#REF!,0))=0,"",INDEX(#REF!,MATCH('data '!$B766,#REF!,0),MATCH('data '!S$3,#REF!,0)))</f>
        <v>#REF!</v>
      </c>
      <c r="T766" s="29" t="e">
        <f>IF(INDEX(#REF!,MATCH('data '!$B766,#REF!,0),MATCH('data '!T$3,#REF!,0))=0,"",INDEX(#REF!,MATCH('data '!$B766,#REF!,0),MATCH('data '!T$3,#REF!,0)))</f>
        <v>#REF!</v>
      </c>
      <c r="V766" s="25" t="s">
        <v>74</v>
      </c>
      <c r="W766" s="25">
        <v>0</v>
      </c>
      <c r="AC766" s="8" t="e">
        <f>VLOOKUP(B766,#REF!,19,0)</f>
        <v>#REF!</v>
      </c>
      <c r="AP766" s="8" t="str">
        <f t="shared" si="30"/>
        <v>Not yet endorsed</v>
      </c>
      <c r="AQ766" s="10" t="b" cm="1">
        <f t="array" aca="1" ref="AQ766" ca="1">IF(AM766&gt;0,(TODAY()-AM766),IF(AL766&gt;0,(TODAY()-AL766),IF(AK766&gt;0,(TODAY()-AK766,IF(AI766&gt;0,(TODAY()-AI766),IF(AG766&gt;0,(TODAY()-AG766),IF(AF766&gt;0,(TODAY()-AF766),IF(X766&gt;0,(TODAY()-X766)," "))))))))</f>
        <v>0</v>
      </c>
      <c r="BD766" s="2" t="str">
        <f t="shared" si="31"/>
        <v>Not yet endorsed</v>
      </c>
      <c r="BE766" s="2" t="s">
        <v>75</v>
      </c>
      <c r="BG766" s="2" t="e">
        <v>#N/A</v>
      </c>
    </row>
    <row r="767" spans="2:59" hidden="1" x14ac:dyDescent="0.25">
      <c r="B767" s="2" t="s">
        <v>3420</v>
      </c>
      <c r="C767" s="2" t="s">
        <v>3421</v>
      </c>
      <c r="D767" s="44" t="s">
        <v>3422</v>
      </c>
      <c r="E767" s="2" t="s">
        <v>11</v>
      </c>
      <c r="F767" s="2">
        <v>0</v>
      </c>
      <c r="G767" s="2" t="s">
        <v>1</v>
      </c>
      <c r="H767" s="2" t="s">
        <v>165</v>
      </c>
      <c r="I767" s="2" t="s">
        <v>68</v>
      </c>
      <c r="J767" s="2" t="s">
        <v>173</v>
      </c>
      <c r="K767" s="2" t="s">
        <v>592</v>
      </c>
      <c r="L767" s="2">
        <v>0</v>
      </c>
      <c r="M767" s="2">
        <v>0</v>
      </c>
      <c r="N767" s="2">
        <v>0</v>
      </c>
      <c r="O767" s="2">
        <v>0</v>
      </c>
      <c r="P767" s="2" t="s">
        <v>72</v>
      </c>
      <c r="Q767" s="2">
        <v>0</v>
      </c>
      <c r="R767" s="29" t="e">
        <f>IF(INDEX(#REF!,MATCH('data '!$B767,#REF!,0),MATCH('data '!R$3,#REF!,0))=0,"",INDEX(#REF!,MATCH('data '!$B767,#REF!,0),MATCH('data '!R$3,#REF!,0)))</f>
        <v>#REF!</v>
      </c>
      <c r="S767" s="29" t="e">
        <f>IF(INDEX(#REF!,MATCH('data '!$B767,#REF!,0),MATCH('data '!S$3,#REF!,0))=0,"",INDEX(#REF!,MATCH('data '!$B767,#REF!,0),MATCH('data '!S$3,#REF!,0)))</f>
        <v>#REF!</v>
      </c>
      <c r="T767" s="29" t="e">
        <f>IF(INDEX(#REF!,MATCH('data '!$B767,#REF!,0),MATCH('data '!T$3,#REF!,0))=0,"",INDEX(#REF!,MATCH('data '!$B767,#REF!,0),MATCH('data '!T$3,#REF!,0)))</f>
        <v>#REF!</v>
      </c>
      <c r="V767" s="25" t="s">
        <v>74</v>
      </c>
      <c r="W767" s="25">
        <v>0</v>
      </c>
      <c r="AC767" s="8" t="e">
        <f>VLOOKUP(B767,#REF!,19,0)</f>
        <v>#REF!</v>
      </c>
      <c r="AP767" s="8" t="str">
        <f t="shared" si="30"/>
        <v>Not yet endorsed</v>
      </c>
      <c r="AQ767" s="10" t="b" cm="1">
        <f t="array" aca="1" ref="AQ767" ca="1">IF(AM767&gt;0,(TODAY()-AM767),IF(AL767&gt;0,(TODAY()-AL767),IF(AK767&gt;0,(TODAY()-AK767,IF(AI767&gt;0,(TODAY()-AI767),IF(AG767&gt;0,(TODAY()-AG767),IF(AF767&gt;0,(TODAY()-AF767),IF(X767&gt;0,(TODAY()-X767)," "))))))))</f>
        <v>0</v>
      </c>
      <c r="BD767" s="2" t="str">
        <f t="shared" si="31"/>
        <v>Not yet endorsed</v>
      </c>
      <c r="BE767" s="2" t="s">
        <v>75</v>
      </c>
      <c r="BG767" s="2" t="e">
        <v>#N/A</v>
      </c>
    </row>
    <row r="768" spans="2:59" hidden="1" x14ac:dyDescent="0.25">
      <c r="B768" s="2" t="s">
        <v>3423</v>
      </c>
      <c r="C768" s="2" t="s">
        <v>3424</v>
      </c>
      <c r="D768" s="44" t="s">
        <v>3425</v>
      </c>
      <c r="E768" s="2" t="s">
        <v>11</v>
      </c>
      <c r="F768" s="2">
        <v>0</v>
      </c>
      <c r="G768" s="2" t="s">
        <v>1</v>
      </c>
      <c r="H768" s="2" t="s">
        <v>165</v>
      </c>
      <c r="I768" s="2" t="s">
        <v>68</v>
      </c>
      <c r="J768" s="2" t="s">
        <v>239</v>
      </c>
      <c r="K768" s="2" t="s">
        <v>451</v>
      </c>
      <c r="L768" s="2" t="s">
        <v>452</v>
      </c>
      <c r="M768" s="2" t="s">
        <v>3426</v>
      </c>
      <c r="N768" s="2">
        <v>8.7204066670000007</v>
      </c>
      <c r="O768" s="2">
        <v>125.75754329999999</v>
      </c>
      <c r="P768" s="2" t="s">
        <v>87</v>
      </c>
      <c r="Q768" s="2" t="s">
        <v>219</v>
      </c>
      <c r="R768" s="29" t="e">
        <f>IF(INDEX(#REF!,MATCH('data '!$B768,#REF!,0),MATCH('data '!R$3,#REF!,0))=0,"",INDEX(#REF!,MATCH('data '!$B768,#REF!,0),MATCH('data '!R$3,#REF!,0)))</f>
        <v>#REF!</v>
      </c>
      <c r="S768" s="29" t="e">
        <f>IF(INDEX(#REF!,MATCH('data '!$B768,#REF!,0),MATCH('data '!S$3,#REF!,0))=0,"",INDEX(#REF!,MATCH('data '!$B768,#REF!,0),MATCH('data '!S$3,#REF!,0)))</f>
        <v>#REF!</v>
      </c>
      <c r="T768" s="29" t="e">
        <f>IF(INDEX(#REF!,MATCH('data '!$B768,#REF!,0),MATCH('data '!T$3,#REF!,0))=0,"",INDEX(#REF!,MATCH('data '!$B768,#REF!,0),MATCH('data '!T$3,#REF!,0)))</f>
        <v>#REF!</v>
      </c>
      <c r="V768" s="25" t="s">
        <v>185</v>
      </c>
      <c r="W768" s="25" t="s">
        <v>144</v>
      </c>
      <c r="X768" s="43" t="s">
        <v>25</v>
      </c>
      <c r="Y768" s="43">
        <v>45863</v>
      </c>
      <c r="Z768" s="8">
        <v>45665</v>
      </c>
      <c r="AC768" s="8" t="e">
        <f>VLOOKUP(B768,#REF!,19,0)</f>
        <v>#REF!</v>
      </c>
      <c r="AP768" s="8" t="str">
        <f t="shared" si="30"/>
        <v>BP Secured</v>
      </c>
      <c r="AQ768" s="10" t="b" cm="1">
        <f t="array" aca="1" ref="AQ768" ca="1">IF(AM768&gt;0,(TODAY()-AM768),IF(AL768&gt;0,(TODAY()-AL768),IF(AK768&gt;0,(TODAY()-AK768,IF(AI768&gt;0,(TODAY()-AI768),IF(AG768&gt;0,(TODAY()-AG768),IF(AF768&gt;0,(TODAY()-AF768),IF(X768&gt;0,(TODAY()-X768)," "))))))))</f>
        <v>0</v>
      </c>
      <c r="BD768" s="2" t="str">
        <f t="shared" si="31"/>
        <v>BP Secured</v>
      </c>
      <c r="BE768" s="2" t="e">
        <v>#VALUE!</v>
      </c>
      <c r="BG768" s="2" t="e">
        <v>#N/A</v>
      </c>
    </row>
    <row r="769" spans="2:59" hidden="1" x14ac:dyDescent="0.25">
      <c r="B769" s="2" t="s">
        <v>3427</v>
      </c>
      <c r="C769" s="2" t="s">
        <v>3428</v>
      </c>
      <c r="D769" s="44" t="s">
        <v>3429</v>
      </c>
      <c r="E769" s="2" t="s">
        <v>11</v>
      </c>
      <c r="F769" s="2">
        <v>0</v>
      </c>
      <c r="G769" s="2" t="s">
        <v>1</v>
      </c>
      <c r="H769" s="2" t="s">
        <v>165</v>
      </c>
      <c r="I769" s="2" t="s">
        <v>68</v>
      </c>
      <c r="J769" s="2" t="s">
        <v>173</v>
      </c>
      <c r="K769" s="2" t="s">
        <v>592</v>
      </c>
      <c r="L769" s="2">
        <v>0</v>
      </c>
      <c r="M769" s="2">
        <v>0</v>
      </c>
      <c r="N769" s="2">
        <v>0</v>
      </c>
      <c r="O769" s="2">
        <v>0</v>
      </c>
      <c r="P769" s="2" t="s">
        <v>824</v>
      </c>
      <c r="Q769" s="2">
        <v>0</v>
      </c>
      <c r="R769" s="29" t="e">
        <f>IF(INDEX(#REF!,MATCH('data '!$B769,#REF!,0),MATCH('data '!R$3,#REF!,0))=0,"",INDEX(#REF!,MATCH('data '!$B769,#REF!,0),MATCH('data '!R$3,#REF!,0)))</f>
        <v>#REF!</v>
      </c>
      <c r="S769" s="29" t="e">
        <f>IF(INDEX(#REF!,MATCH('data '!$B769,#REF!,0),MATCH('data '!S$3,#REF!,0))=0,"",INDEX(#REF!,MATCH('data '!$B769,#REF!,0),MATCH('data '!S$3,#REF!,0)))</f>
        <v>#REF!</v>
      </c>
      <c r="T769" s="29" t="e">
        <f>IF(INDEX(#REF!,MATCH('data '!$B769,#REF!,0),MATCH('data '!T$3,#REF!,0))=0,"",INDEX(#REF!,MATCH('data '!$B769,#REF!,0),MATCH('data '!T$3,#REF!,0)))</f>
        <v>#REF!</v>
      </c>
      <c r="V769" s="25" t="s">
        <v>74</v>
      </c>
      <c r="W769" s="25">
        <v>0</v>
      </c>
      <c r="AC769" s="8" t="e">
        <f>VLOOKUP(B769,#REF!,19,0)</f>
        <v>#REF!</v>
      </c>
      <c r="AP769" s="8" t="str">
        <f t="shared" si="30"/>
        <v>Not yet endorsed</v>
      </c>
      <c r="AQ769" s="10" t="b" cm="1">
        <f t="array" aca="1" ref="AQ769" ca="1">IF(AM769&gt;0,(TODAY()-AM769),IF(AL769&gt;0,(TODAY()-AL769),IF(AK769&gt;0,(TODAY()-AK769,IF(AI769&gt;0,(TODAY()-AI769),IF(AG769&gt;0,(TODAY()-AG769),IF(AF769&gt;0,(TODAY()-AF769),IF(X769&gt;0,(TODAY()-X769)," "))))))))</f>
        <v>0</v>
      </c>
      <c r="BD769" s="2" t="str">
        <f t="shared" si="31"/>
        <v>Not yet endorsed</v>
      </c>
      <c r="BE769" s="2" t="s">
        <v>75</v>
      </c>
      <c r="BG769" s="2" t="e">
        <v>#N/A</v>
      </c>
    </row>
    <row r="770" spans="2:59" hidden="1" x14ac:dyDescent="0.25">
      <c r="B770" s="2" t="s">
        <v>3430</v>
      </c>
      <c r="C770" s="2" t="s">
        <v>3431</v>
      </c>
      <c r="D770" s="44" t="s">
        <v>3432</v>
      </c>
      <c r="E770" s="2" t="s">
        <v>11</v>
      </c>
      <c r="F770" s="2">
        <v>0</v>
      </c>
      <c r="G770" s="2" t="s">
        <v>1</v>
      </c>
      <c r="H770" s="2" t="s">
        <v>165</v>
      </c>
      <c r="I770" s="2" t="s">
        <v>68</v>
      </c>
      <c r="J770" s="2" t="s">
        <v>173</v>
      </c>
      <c r="K770" s="2" t="s">
        <v>303</v>
      </c>
      <c r="L770" s="2">
        <v>0</v>
      </c>
      <c r="M770" s="2">
        <v>0</v>
      </c>
      <c r="N770" s="2">
        <v>0</v>
      </c>
      <c r="O770" s="2">
        <v>0</v>
      </c>
      <c r="P770" s="2" t="s">
        <v>133</v>
      </c>
      <c r="Q770" s="2">
        <v>0</v>
      </c>
      <c r="R770" s="29" t="e">
        <f>IF(INDEX(#REF!,MATCH('data '!$B770,#REF!,0),MATCH('data '!R$3,#REF!,0))=0,"",INDEX(#REF!,MATCH('data '!$B770,#REF!,0),MATCH('data '!R$3,#REF!,0)))</f>
        <v>#REF!</v>
      </c>
      <c r="S770" s="29" t="e">
        <f>IF(INDEX(#REF!,MATCH('data '!$B770,#REF!,0),MATCH('data '!S$3,#REF!,0))=0,"",INDEX(#REF!,MATCH('data '!$B770,#REF!,0),MATCH('data '!S$3,#REF!,0)))</f>
        <v>#REF!</v>
      </c>
      <c r="T770" s="29" t="e">
        <f>IF(INDEX(#REF!,MATCH('data '!$B770,#REF!,0),MATCH('data '!T$3,#REF!,0))=0,"",INDEX(#REF!,MATCH('data '!$B770,#REF!,0),MATCH('data '!T$3,#REF!,0)))</f>
        <v>#REF!</v>
      </c>
      <c r="V770" s="25" t="s">
        <v>87</v>
      </c>
      <c r="W770" s="25" t="s">
        <v>144</v>
      </c>
      <c r="X770" s="61"/>
      <c r="Y770" s="61"/>
      <c r="AC770" s="8" t="e">
        <f>VLOOKUP(B770,#REF!,19,0)</f>
        <v>#REF!</v>
      </c>
      <c r="AP770" s="8" t="str">
        <f t="shared" si="30"/>
        <v>Not yet endorsed</v>
      </c>
      <c r="AQ770" s="10" t="b" cm="1">
        <f t="array" aca="1" ref="AQ770" ca="1">IF(AM770&gt;0,(TODAY()-AM770),IF(AL770&gt;0,(TODAY()-AL770),IF(AK770&gt;0,(TODAY()-AK770,IF(AI770&gt;0,(TODAY()-AI770),IF(AG770&gt;0,(TODAY()-AG770),IF(AF770&gt;0,(TODAY()-AF770),IF(X770&gt;0,(TODAY()-X770)," "))))))))</f>
        <v>0</v>
      </c>
      <c r="BD770" s="2" t="str">
        <f t="shared" si="31"/>
        <v>Not yet endorsed</v>
      </c>
      <c r="BE770" s="2" t="s">
        <v>75</v>
      </c>
      <c r="BG770" s="2" t="e">
        <v>#N/A</v>
      </c>
    </row>
    <row r="771" spans="2:59" hidden="1" x14ac:dyDescent="0.25">
      <c r="B771" s="2" t="s">
        <v>3433</v>
      </c>
      <c r="C771" s="2" t="s">
        <v>3434</v>
      </c>
      <c r="D771" s="44" t="s">
        <v>3435</v>
      </c>
      <c r="E771" s="2" t="s">
        <v>11</v>
      </c>
      <c r="F771" s="2">
        <v>0</v>
      </c>
      <c r="G771" s="2" t="s">
        <v>1</v>
      </c>
      <c r="H771" s="2" t="s">
        <v>165</v>
      </c>
      <c r="I771" s="2" t="s">
        <v>68</v>
      </c>
      <c r="J771" s="2" t="s">
        <v>181</v>
      </c>
      <c r="K771" s="2" t="s">
        <v>182</v>
      </c>
      <c r="L771" s="2" t="s">
        <v>183</v>
      </c>
      <c r="M771" s="2">
        <v>0</v>
      </c>
      <c r="N771" s="2">
        <v>0</v>
      </c>
      <c r="O771" s="2">
        <v>0</v>
      </c>
      <c r="P771" s="2" t="s">
        <v>789</v>
      </c>
      <c r="Q771" s="2">
        <v>0</v>
      </c>
      <c r="R771" s="29" t="e">
        <f>IF(INDEX(#REF!,MATCH('data '!$B771,#REF!,0),MATCH('data '!R$3,#REF!,0))=0,"",INDEX(#REF!,MATCH('data '!$B771,#REF!,0),MATCH('data '!R$3,#REF!,0)))</f>
        <v>#REF!</v>
      </c>
      <c r="S771" s="29" t="e">
        <f>IF(INDEX(#REF!,MATCH('data '!$B771,#REF!,0),MATCH('data '!S$3,#REF!,0))=0,"",INDEX(#REF!,MATCH('data '!$B771,#REF!,0),MATCH('data '!S$3,#REF!,0)))</f>
        <v>#REF!</v>
      </c>
      <c r="T771" s="29" t="e">
        <f>IF(INDEX(#REF!,MATCH('data '!$B771,#REF!,0),MATCH('data '!T$3,#REF!,0))=0,"",INDEX(#REF!,MATCH('data '!$B771,#REF!,0),MATCH('data '!T$3,#REF!,0)))</f>
        <v>#REF!</v>
      </c>
      <c r="V771" s="25" t="s">
        <v>82</v>
      </c>
      <c r="W771" s="25" t="s">
        <v>83</v>
      </c>
      <c r="AC771" s="8" t="e">
        <f>VLOOKUP(B771,#REF!,19,0)</f>
        <v>#REF!</v>
      </c>
      <c r="AP771" s="8" t="str">
        <f t="shared" si="30"/>
        <v>Not yet endorsed</v>
      </c>
      <c r="AQ771" s="10" t="b" cm="1">
        <f t="array" aca="1" ref="AQ771" ca="1">IF(AM771&gt;0,(TODAY()-AM771),IF(AL771&gt;0,(TODAY()-AL771),IF(AK771&gt;0,(TODAY()-AK771,IF(AI771&gt;0,(TODAY()-AI771),IF(AG771&gt;0,(TODAY()-AG771),IF(AF771&gt;0,(TODAY()-AF771),IF(X771&gt;0,(TODAY()-X771)," "))))))))</f>
        <v>0</v>
      </c>
      <c r="BD771" s="2" t="str">
        <f t="shared" si="31"/>
        <v>Not yet endorsed</v>
      </c>
      <c r="BE771" s="2" t="s">
        <v>75</v>
      </c>
      <c r="BG771" s="2" t="e">
        <v>#N/A</v>
      </c>
    </row>
    <row r="772" spans="2:59" hidden="1" x14ac:dyDescent="0.25">
      <c r="B772" s="2" t="s">
        <v>3436</v>
      </c>
      <c r="C772" s="2" t="s">
        <v>3437</v>
      </c>
      <c r="D772" s="44" t="s">
        <v>3438</v>
      </c>
      <c r="E772" s="2" t="s">
        <v>11</v>
      </c>
      <c r="F772" s="2">
        <v>0</v>
      </c>
      <c r="G772" s="2" t="s">
        <v>1</v>
      </c>
      <c r="H772" s="2" t="s">
        <v>165</v>
      </c>
      <c r="I772" s="2" t="s">
        <v>68</v>
      </c>
      <c r="J772" s="2" t="s">
        <v>181</v>
      </c>
      <c r="K772" s="2" t="s">
        <v>182</v>
      </c>
      <c r="L772" s="2" t="s">
        <v>183</v>
      </c>
      <c r="M772" s="2">
        <v>0</v>
      </c>
      <c r="N772" s="2">
        <v>0</v>
      </c>
      <c r="O772" s="2">
        <v>0</v>
      </c>
      <c r="P772" s="2" t="s">
        <v>1830</v>
      </c>
      <c r="Q772" s="2">
        <v>0</v>
      </c>
      <c r="R772" s="29" t="e">
        <f>IF(INDEX(#REF!,MATCH('data '!$B772,#REF!,0),MATCH('data '!R$3,#REF!,0))=0,"",INDEX(#REF!,MATCH('data '!$B772,#REF!,0),MATCH('data '!R$3,#REF!,0)))</f>
        <v>#REF!</v>
      </c>
      <c r="S772" s="29" t="e">
        <f>IF(INDEX(#REF!,MATCH('data '!$B772,#REF!,0),MATCH('data '!S$3,#REF!,0))=0,"",INDEX(#REF!,MATCH('data '!$B772,#REF!,0),MATCH('data '!S$3,#REF!,0)))</f>
        <v>#REF!</v>
      </c>
      <c r="T772" s="29" t="e">
        <f>IF(INDEX(#REF!,MATCH('data '!$B772,#REF!,0),MATCH('data '!T$3,#REF!,0))=0,"",INDEX(#REF!,MATCH('data '!$B772,#REF!,0),MATCH('data '!T$3,#REF!,0)))</f>
        <v>#REF!</v>
      </c>
      <c r="V772" s="25" t="s">
        <v>74</v>
      </c>
      <c r="W772" s="25">
        <v>0</v>
      </c>
      <c r="AC772" s="8" t="e">
        <f>VLOOKUP(B772,#REF!,19,0)</f>
        <v>#REF!</v>
      </c>
      <c r="AP772" s="8" t="str">
        <f t="shared" ref="AP772:AP835" si="32">IF(AM772&gt;0,"Tempo Energized",IF(AL772&gt;0,"Tempo Permit Released",IF(AK772&gt;0,"COOP Surveyed",IF(AI772&gt;0,"PO Issued",IF(AG772&gt;0,"PQ Raised",IF(AF772&gt;0,"Vendor Allocated",IF(X772&gt;0,"BP Secured","Not yet endorsed")))))))</f>
        <v>Not yet endorsed</v>
      </c>
      <c r="AQ772" s="10" t="b" cm="1">
        <f t="array" aca="1" ref="AQ772" ca="1">IF(AM772&gt;0,(TODAY()-AM772),IF(AL772&gt;0,(TODAY()-AL772),IF(AK772&gt;0,(TODAY()-AK772,IF(AI772&gt;0,(TODAY()-AI772),IF(AG772&gt;0,(TODAY()-AG772),IF(AF772&gt;0,(TODAY()-AF772),IF(X772&gt;0,(TODAY()-X772)," "))))))))</f>
        <v>0</v>
      </c>
      <c r="BD772" s="2" t="str">
        <f t="shared" ref="BD772:BD835" si="33">IF(BC772&gt;0,"Permanent Energized",IF(BB772&gt;0,"Bill deposit Paid",IF(BA772&gt;0,"Line Construction Completed",IF(AZ772&gt;0,"Line Construction Started",IF(AX772&gt;0,"PO Issued",IF(AV772&gt;0,"PQ Raised",IF(AU772&gt;0,"BoQ Approved",IF(AT772&gt;0,"BoQ Submitted",IF(AF772&gt;0,"Vendor Allocated",IF(X772&gt;0,"BP Secured",IF(U772&gt;0,"TSSR Approved","Not yet endorsed")))))))))))</f>
        <v>Not yet endorsed</v>
      </c>
      <c r="BE772" s="2" t="s">
        <v>75</v>
      </c>
      <c r="BG772" s="2" t="e">
        <v>#N/A</v>
      </c>
    </row>
    <row r="773" spans="2:59" hidden="1" x14ac:dyDescent="0.25">
      <c r="B773" s="2" t="s">
        <v>3439</v>
      </c>
      <c r="C773" s="2" t="s">
        <v>3440</v>
      </c>
      <c r="D773" s="44" t="s">
        <v>3441</v>
      </c>
      <c r="E773" s="2" t="s">
        <v>11</v>
      </c>
      <c r="F773" s="2">
        <v>0</v>
      </c>
      <c r="G773" s="2" t="s">
        <v>1</v>
      </c>
      <c r="H773" s="2" t="s">
        <v>165</v>
      </c>
      <c r="I773" s="2" t="s">
        <v>68</v>
      </c>
      <c r="J773" s="2" t="s">
        <v>181</v>
      </c>
      <c r="K773" s="2" t="s">
        <v>182</v>
      </c>
      <c r="L773" s="2" t="s">
        <v>183</v>
      </c>
      <c r="M773" s="2">
        <v>0</v>
      </c>
      <c r="N773" s="2">
        <v>0</v>
      </c>
      <c r="O773" s="2">
        <v>0</v>
      </c>
      <c r="P773" s="2" t="s">
        <v>824</v>
      </c>
      <c r="Q773" s="2">
        <v>0</v>
      </c>
      <c r="R773" s="29" t="e">
        <f>IF(INDEX(#REF!,MATCH('data '!$B773,#REF!,0),MATCH('data '!R$3,#REF!,0))=0,"",INDEX(#REF!,MATCH('data '!$B773,#REF!,0),MATCH('data '!R$3,#REF!,0)))</f>
        <v>#REF!</v>
      </c>
      <c r="S773" s="29" t="e">
        <f>IF(INDEX(#REF!,MATCH('data '!$B773,#REF!,0),MATCH('data '!S$3,#REF!,0))=0,"",INDEX(#REF!,MATCH('data '!$B773,#REF!,0),MATCH('data '!S$3,#REF!,0)))</f>
        <v>#REF!</v>
      </c>
      <c r="T773" s="29" t="e">
        <f>IF(INDEX(#REF!,MATCH('data '!$B773,#REF!,0),MATCH('data '!T$3,#REF!,0))=0,"",INDEX(#REF!,MATCH('data '!$B773,#REF!,0),MATCH('data '!T$3,#REF!,0)))</f>
        <v>#REF!</v>
      </c>
      <c r="V773" s="25" t="s">
        <v>125</v>
      </c>
      <c r="W773" s="25">
        <v>0</v>
      </c>
      <c r="AC773" s="8" t="e">
        <f>VLOOKUP(B773,#REF!,19,0)</f>
        <v>#REF!</v>
      </c>
      <c r="AP773" s="8" t="str">
        <f t="shared" si="32"/>
        <v>Not yet endorsed</v>
      </c>
      <c r="AQ773" s="10" t="b" cm="1">
        <f t="array" aca="1" ref="AQ773" ca="1">IF(AM773&gt;0,(TODAY()-AM773),IF(AL773&gt;0,(TODAY()-AL773),IF(AK773&gt;0,(TODAY()-AK773,IF(AI773&gt;0,(TODAY()-AI773),IF(AG773&gt;0,(TODAY()-AG773),IF(AF773&gt;0,(TODAY()-AF773),IF(X773&gt;0,(TODAY()-X773)," "))))))))</f>
        <v>0</v>
      </c>
      <c r="BD773" s="2" t="str">
        <f t="shared" si="33"/>
        <v>Not yet endorsed</v>
      </c>
      <c r="BE773" s="2" t="s">
        <v>75</v>
      </c>
      <c r="BG773" s="2" t="e">
        <v>#N/A</v>
      </c>
    </row>
    <row r="774" spans="2:59" hidden="1" x14ac:dyDescent="0.25">
      <c r="B774" s="2" t="s">
        <v>3442</v>
      </c>
      <c r="C774" s="2" t="s">
        <v>3443</v>
      </c>
      <c r="D774" s="44" t="s">
        <v>3444</v>
      </c>
      <c r="E774" s="2" t="s">
        <v>4</v>
      </c>
      <c r="F774" s="2" t="s">
        <v>575</v>
      </c>
      <c r="G774" s="2" t="s">
        <v>1</v>
      </c>
      <c r="H774" s="2" t="s">
        <v>3445</v>
      </c>
      <c r="I774" s="2" t="s">
        <v>140</v>
      </c>
      <c r="J774" s="2" t="s">
        <v>3446</v>
      </c>
      <c r="K774" s="2" t="s">
        <v>3447</v>
      </c>
      <c r="L774" s="2" t="s">
        <v>3448</v>
      </c>
      <c r="M774" s="2">
        <v>0</v>
      </c>
      <c r="N774" s="2">
        <v>0</v>
      </c>
      <c r="O774" s="2">
        <v>0</v>
      </c>
      <c r="P774" s="2" t="s">
        <v>72</v>
      </c>
      <c r="Q774" s="2" t="s">
        <v>73</v>
      </c>
      <c r="R774" s="29" t="e">
        <f>IF(INDEX(#REF!,MATCH('data '!$B774,#REF!,0),MATCH('data '!R$3,#REF!,0))=0,"",INDEX(#REF!,MATCH('data '!$B774,#REF!,0),MATCH('data '!R$3,#REF!,0)))</f>
        <v>#REF!</v>
      </c>
      <c r="S774" s="29" t="e">
        <f>IF(INDEX(#REF!,MATCH('data '!$B774,#REF!,0),MATCH('data '!S$3,#REF!,0))=0,"",INDEX(#REF!,MATCH('data '!$B774,#REF!,0),MATCH('data '!S$3,#REF!,0)))</f>
        <v>#REF!</v>
      </c>
      <c r="T774" s="29" t="e">
        <f>IF(INDEX(#REF!,MATCH('data '!$B774,#REF!,0),MATCH('data '!T$3,#REF!,0))=0,"",INDEX(#REF!,MATCH('data '!$B774,#REF!,0),MATCH('data '!T$3,#REF!,0)))</f>
        <v>#REF!</v>
      </c>
      <c r="V774" s="25" t="s">
        <v>74</v>
      </c>
      <c r="W774" s="25">
        <v>0</v>
      </c>
      <c r="AC774" s="8" t="e">
        <f>VLOOKUP(B774,#REF!,19,0)</f>
        <v>#REF!</v>
      </c>
      <c r="AP774" s="8" t="str">
        <f t="shared" si="32"/>
        <v>Not yet endorsed</v>
      </c>
      <c r="AQ774" s="10" t="b" cm="1">
        <f t="array" aca="1" ref="AQ774" ca="1">IF(AM774&gt;0,(TODAY()-AM774),IF(AL774&gt;0,(TODAY()-AL774),IF(AK774&gt;0,(TODAY()-AK774,IF(AI774&gt;0,(TODAY()-AI774),IF(AG774&gt;0,(TODAY()-AG774),IF(AF774&gt;0,(TODAY()-AF774),IF(X774&gt;0,(TODAY()-X774)," "))))))))</f>
        <v>0</v>
      </c>
      <c r="BD774" s="2" t="str">
        <f t="shared" si="33"/>
        <v>Not yet endorsed</v>
      </c>
      <c r="BE774" s="2" t="s">
        <v>75</v>
      </c>
      <c r="BG774" s="2" t="e">
        <v>#N/A</v>
      </c>
    </row>
    <row r="775" spans="2:59" hidden="1" x14ac:dyDescent="0.25">
      <c r="B775" s="2" t="s">
        <v>3449</v>
      </c>
      <c r="C775" s="2" t="s">
        <v>3450</v>
      </c>
      <c r="D775" s="44" t="s">
        <v>3451</v>
      </c>
      <c r="E775" s="2" t="s">
        <v>11</v>
      </c>
      <c r="F775" s="2" t="s">
        <v>79</v>
      </c>
      <c r="G775" s="2" t="s">
        <v>1</v>
      </c>
      <c r="H775" s="2" t="s">
        <v>67</v>
      </c>
      <c r="I775" s="2" t="s">
        <v>68</v>
      </c>
      <c r="J775" s="2" t="s">
        <v>80</v>
      </c>
      <c r="K775" s="2" t="s">
        <v>81</v>
      </c>
      <c r="L775" s="2" t="s">
        <v>93</v>
      </c>
      <c r="M775" s="2">
        <v>0</v>
      </c>
      <c r="N775" s="2">
        <v>0</v>
      </c>
      <c r="O775" s="2">
        <v>0</v>
      </c>
      <c r="P775" s="2" t="s">
        <v>116</v>
      </c>
      <c r="Q775" s="2" t="s">
        <v>73</v>
      </c>
      <c r="R775" s="29" t="e">
        <f>IF(INDEX(#REF!,MATCH('data '!$B775,#REF!,0),MATCH('data '!R$3,#REF!,0))=0,"",INDEX(#REF!,MATCH('data '!$B775,#REF!,0),MATCH('data '!R$3,#REF!,0)))</f>
        <v>#REF!</v>
      </c>
      <c r="S775" s="29" t="e">
        <f>IF(INDEX(#REF!,MATCH('data '!$B775,#REF!,0),MATCH('data '!S$3,#REF!,0))=0,"",INDEX(#REF!,MATCH('data '!$B775,#REF!,0),MATCH('data '!S$3,#REF!,0)))</f>
        <v>#REF!</v>
      </c>
      <c r="T775" s="29" t="e">
        <f>IF(INDEX(#REF!,MATCH('data '!$B775,#REF!,0),MATCH('data '!T$3,#REF!,0))=0,"",INDEX(#REF!,MATCH('data '!$B775,#REF!,0),MATCH('data '!T$3,#REF!,0)))</f>
        <v>#REF!</v>
      </c>
      <c r="V775" s="25" t="s">
        <v>95</v>
      </c>
      <c r="W775" s="25">
        <v>0</v>
      </c>
      <c r="AC775" s="8" t="e">
        <f>VLOOKUP(B775,#REF!,19,0)</f>
        <v>#REF!</v>
      </c>
      <c r="AP775" s="8" t="str">
        <f t="shared" si="32"/>
        <v>Not yet endorsed</v>
      </c>
      <c r="AQ775" s="10" t="b" cm="1">
        <f t="array" aca="1" ref="AQ775" ca="1">IF(AM775&gt;0,(TODAY()-AM775),IF(AL775&gt;0,(TODAY()-AL775),IF(AK775&gt;0,(TODAY()-AK775,IF(AI775&gt;0,(TODAY()-AI775),IF(AG775&gt;0,(TODAY()-AG775),IF(AF775&gt;0,(TODAY()-AF775),IF(X775&gt;0,(TODAY()-X775)," "))))))))</f>
        <v>0</v>
      </c>
      <c r="BD775" s="2" t="str">
        <f t="shared" si="33"/>
        <v>Not yet endorsed</v>
      </c>
      <c r="BE775" s="2" t="s">
        <v>75</v>
      </c>
      <c r="BG775" s="2" t="e">
        <v>#N/A</v>
      </c>
    </row>
    <row r="776" spans="2:59" hidden="1" x14ac:dyDescent="0.25">
      <c r="B776" s="2" t="s">
        <v>3452</v>
      </c>
      <c r="C776" s="2" t="s">
        <v>3453</v>
      </c>
      <c r="D776" s="44" t="s">
        <v>3454</v>
      </c>
      <c r="E776" s="2" t="s">
        <v>6</v>
      </c>
      <c r="F776" s="2" t="s">
        <v>768</v>
      </c>
      <c r="G776" s="2" t="s">
        <v>1</v>
      </c>
      <c r="H776" s="2" t="s">
        <v>111</v>
      </c>
      <c r="I776" s="2" t="s">
        <v>112</v>
      </c>
      <c r="J776" s="2" t="s">
        <v>344</v>
      </c>
      <c r="K776" s="2" t="s">
        <v>620</v>
      </c>
      <c r="L776" s="2" t="s">
        <v>3455</v>
      </c>
      <c r="M776" s="2" t="s">
        <v>3456</v>
      </c>
      <c r="N776" s="2">
        <v>10.742543899999999</v>
      </c>
      <c r="O776" s="2">
        <v>123.0394728</v>
      </c>
      <c r="P776" s="2" t="s">
        <v>824</v>
      </c>
      <c r="Q776" s="2" t="s">
        <v>73</v>
      </c>
      <c r="R776" s="29" t="e">
        <f>IF(INDEX(#REF!,MATCH('data '!$B776,#REF!,0),MATCH('data '!R$3,#REF!,0))=0,"",INDEX(#REF!,MATCH('data '!$B776,#REF!,0),MATCH('data '!R$3,#REF!,0)))</f>
        <v>#REF!</v>
      </c>
      <c r="S776" s="29" t="e">
        <f>IF(INDEX(#REF!,MATCH('data '!$B776,#REF!,0),MATCH('data '!S$3,#REF!,0))=0,"",INDEX(#REF!,MATCH('data '!$B776,#REF!,0),MATCH('data '!S$3,#REF!,0)))</f>
        <v>#REF!</v>
      </c>
      <c r="T776" s="29" t="e">
        <f>IF(INDEX(#REF!,MATCH('data '!$B776,#REF!,0),MATCH('data '!T$3,#REF!,0))=0,"",INDEX(#REF!,MATCH('data '!$B776,#REF!,0),MATCH('data '!T$3,#REF!,0)))</f>
        <v>#REF!</v>
      </c>
      <c r="V776" s="25" t="s">
        <v>95</v>
      </c>
      <c r="W776" s="25">
        <v>0</v>
      </c>
      <c r="AC776" s="8" t="e">
        <f>VLOOKUP(B776,#REF!,19,0)</f>
        <v>#REF!</v>
      </c>
      <c r="AP776" s="8" t="str">
        <f t="shared" si="32"/>
        <v>Not yet endorsed</v>
      </c>
      <c r="AQ776" s="10" t="b" cm="1">
        <f t="array" aca="1" ref="AQ776" ca="1">IF(AM776&gt;0,(TODAY()-AM776),IF(AL776&gt;0,(TODAY()-AL776),IF(AK776&gt;0,(TODAY()-AK776,IF(AI776&gt;0,(TODAY()-AI776),IF(AG776&gt;0,(TODAY()-AG776),IF(AF776&gt;0,(TODAY()-AF776),IF(X776&gt;0,(TODAY()-X776)," "))))))))</f>
        <v>0</v>
      </c>
      <c r="BD776" s="2" t="str">
        <f t="shared" si="33"/>
        <v>Not yet endorsed</v>
      </c>
      <c r="BE776" s="2" t="s">
        <v>75</v>
      </c>
      <c r="BG776" s="2" t="e">
        <v>#N/A</v>
      </c>
    </row>
    <row r="777" spans="2:59" hidden="1" x14ac:dyDescent="0.25">
      <c r="B777" s="2" t="s">
        <v>3457</v>
      </c>
      <c r="C777" s="2" t="s">
        <v>3458</v>
      </c>
      <c r="D777" s="44" t="s">
        <v>3459</v>
      </c>
      <c r="E777" s="2" t="s">
        <v>4</v>
      </c>
      <c r="F777" s="2" t="s">
        <v>575</v>
      </c>
      <c r="G777" s="2" t="s">
        <v>1</v>
      </c>
      <c r="H777" s="2" t="s">
        <v>3460</v>
      </c>
      <c r="I777" s="2" t="s">
        <v>140</v>
      </c>
      <c r="J777" s="2" t="s">
        <v>3446</v>
      </c>
      <c r="K777" s="2" t="s">
        <v>3461</v>
      </c>
      <c r="L777" s="2" t="s">
        <v>3462</v>
      </c>
      <c r="M777" s="2">
        <v>0</v>
      </c>
      <c r="N777" s="2">
        <v>0</v>
      </c>
      <c r="O777" s="2">
        <v>0</v>
      </c>
      <c r="P777" s="2" t="s">
        <v>204</v>
      </c>
      <c r="Q777" s="2" t="s">
        <v>73</v>
      </c>
      <c r="R777" s="29" t="e">
        <f>IF(INDEX(#REF!,MATCH('data '!$B777,#REF!,0),MATCH('data '!R$3,#REF!,0))=0,"",INDEX(#REF!,MATCH('data '!$B777,#REF!,0),MATCH('data '!R$3,#REF!,0)))</f>
        <v>#REF!</v>
      </c>
      <c r="S777" s="29" t="e">
        <f>IF(INDEX(#REF!,MATCH('data '!$B777,#REF!,0),MATCH('data '!S$3,#REF!,0))=0,"",INDEX(#REF!,MATCH('data '!$B777,#REF!,0),MATCH('data '!S$3,#REF!,0)))</f>
        <v>#REF!</v>
      </c>
      <c r="T777" s="29" t="e">
        <f>IF(INDEX(#REF!,MATCH('data '!$B777,#REF!,0),MATCH('data '!T$3,#REF!,0))=0,"",INDEX(#REF!,MATCH('data '!$B777,#REF!,0),MATCH('data '!T$3,#REF!,0)))</f>
        <v>#REF!</v>
      </c>
      <c r="V777" s="25" t="s">
        <v>204</v>
      </c>
      <c r="W777" s="25">
        <v>0</v>
      </c>
      <c r="AC777" s="8" t="e">
        <f>VLOOKUP(B777,#REF!,19,0)</f>
        <v>#REF!</v>
      </c>
      <c r="AP777" s="8" t="str">
        <f t="shared" si="32"/>
        <v>Not yet endorsed</v>
      </c>
      <c r="AQ777" s="10" t="b" cm="1">
        <f t="array" aca="1" ref="AQ777" ca="1">IF(AM777&gt;0,(TODAY()-AM777),IF(AL777&gt;0,(TODAY()-AL777),IF(AK777&gt;0,(TODAY()-AK777,IF(AI777&gt;0,(TODAY()-AI777),IF(AG777&gt;0,(TODAY()-AG777),IF(AF777&gt;0,(TODAY()-AF777),IF(X777&gt;0,(TODAY()-X777)," "))))))))</f>
        <v>0</v>
      </c>
      <c r="BD777" s="2" t="str">
        <f t="shared" si="33"/>
        <v>Not yet endorsed</v>
      </c>
      <c r="BE777" s="2" t="s">
        <v>75</v>
      </c>
      <c r="BG777" s="2" t="e">
        <v>#N/A</v>
      </c>
    </row>
    <row r="778" spans="2:59" hidden="1" x14ac:dyDescent="0.25">
      <c r="B778" s="2" t="s">
        <v>3463</v>
      </c>
      <c r="C778" s="2" t="s">
        <v>3464</v>
      </c>
      <c r="D778" s="44" t="s">
        <v>3465</v>
      </c>
      <c r="E778" s="2" t="s">
        <v>4</v>
      </c>
      <c r="F778" s="2" t="s">
        <v>575</v>
      </c>
      <c r="G778" s="2" t="s">
        <v>1</v>
      </c>
      <c r="H778" s="2" t="s">
        <v>3445</v>
      </c>
      <c r="I778" s="2" t="s">
        <v>140</v>
      </c>
      <c r="J778" s="2" t="s">
        <v>3446</v>
      </c>
      <c r="K778" s="2" t="s">
        <v>3447</v>
      </c>
      <c r="L778" s="2" t="s">
        <v>3466</v>
      </c>
      <c r="M778" s="2">
        <v>0</v>
      </c>
      <c r="N778" s="2">
        <v>0</v>
      </c>
      <c r="O778" s="2">
        <v>0</v>
      </c>
      <c r="P778" s="2" t="s">
        <v>72</v>
      </c>
      <c r="Q778" s="2" t="s">
        <v>73</v>
      </c>
      <c r="R778" s="29" t="e">
        <f>IF(INDEX(#REF!,MATCH('data '!$B778,#REF!,0),MATCH('data '!R$3,#REF!,0))=0,"",INDEX(#REF!,MATCH('data '!$B778,#REF!,0),MATCH('data '!R$3,#REF!,0)))</f>
        <v>#REF!</v>
      </c>
      <c r="S778" s="29" t="e">
        <f>IF(INDEX(#REF!,MATCH('data '!$B778,#REF!,0),MATCH('data '!S$3,#REF!,0))=0,"",INDEX(#REF!,MATCH('data '!$B778,#REF!,0),MATCH('data '!S$3,#REF!,0)))</f>
        <v>#REF!</v>
      </c>
      <c r="T778" s="29" t="e">
        <f>IF(INDEX(#REF!,MATCH('data '!$B778,#REF!,0),MATCH('data '!T$3,#REF!,0))=0,"",INDEX(#REF!,MATCH('data '!$B778,#REF!,0),MATCH('data '!T$3,#REF!,0)))</f>
        <v>#REF!</v>
      </c>
      <c r="V778" s="25" t="s">
        <v>74</v>
      </c>
      <c r="W778" s="25">
        <v>0</v>
      </c>
      <c r="AC778" s="8" t="e">
        <f>VLOOKUP(B778,#REF!,19,0)</f>
        <v>#REF!</v>
      </c>
      <c r="AP778" s="8" t="str">
        <f t="shared" si="32"/>
        <v>Not yet endorsed</v>
      </c>
      <c r="AQ778" s="10" t="b" cm="1">
        <f t="array" aca="1" ref="AQ778" ca="1">IF(AM778&gt;0,(TODAY()-AM778),IF(AL778&gt;0,(TODAY()-AL778),IF(AK778&gt;0,(TODAY()-AK778,IF(AI778&gt;0,(TODAY()-AI778),IF(AG778&gt;0,(TODAY()-AG778),IF(AF778&gt;0,(TODAY()-AF778),IF(X778&gt;0,(TODAY()-X778)," "))))))))</f>
        <v>0</v>
      </c>
      <c r="BD778" s="2" t="str">
        <f t="shared" si="33"/>
        <v>Not yet endorsed</v>
      </c>
      <c r="BE778" s="2" t="s">
        <v>75</v>
      </c>
      <c r="BG778" s="2" t="e">
        <v>#N/A</v>
      </c>
    </row>
    <row r="779" spans="2:59" hidden="1" x14ac:dyDescent="0.25">
      <c r="B779" s="2" t="s">
        <v>3467</v>
      </c>
      <c r="C779" s="2" t="s">
        <v>3468</v>
      </c>
      <c r="D779" s="44" t="s">
        <v>3469</v>
      </c>
      <c r="E779" s="2" t="s">
        <v>4</v>
      </c>
      <c r="F779" s="2" t="s">
        <v>575</v>
      </c>
      <c r="G779" s="2" t="s">
        <v>1</v>
      </c>
      <c r="H779" s="2" t="s">
        <v>3460</v>
      </c>
      <c r="I779" s="2" t="s">
        <v>140</v>
      </c>
      <c r="J779" s="2" t="s">
        <v>3446</v>
      </c>
      <c r="K779" s="2" t="s">
        <v>3461</v>
      </c>
      <c r="L779" s="2" t="s">
        <v>3470</v>
      </c>
      <c r="M779" s="2">
        <v>0</v>
      </c>
      <c r="N779" s="2">
        <v>0</v>
      </c>
      <c r="O779" s="2">
        <v>0</v>
      </c>
      <c r="P779" s="2" t="s">
        <v>204</v>
      </c>
      <c r="Q779" s="2" t="s">
        <v>73</v>
      </c>
      <c r="R779" s="29" t="e">
        <f>IF(INDEX(#REF!,MATCH('data '!$B779,#REF!,0),MATCH('data '!R$3,#REF!,0))=0,"",INDEX(#REF!,MATCH('data '!$B779,#REF!,0),MATCH('data '!R$3,#REF!,0)))</f>
        <v>#REF!</v>
      </c>
      <c r="S779" s="29" t="e">
        <f>IF(INDEX(#REF!,MATCH('data '!$B779,#REF!,0),MATCH('data '!S$3,#REF!,0))=0,"",INDEX(#REF!,MATCH('data '!$B779,#REF!,0),MATCH('data '!S$3,#REF!,0)))</f>
        <v>#REF!</v>
      </c>
      <c r="T779" s="29" t="e">
        <f>IF(INDEX(#REF!,MATCH('data '!$B779,#REF!,0),MATCH('data '!T$3,#REF!,0))=0,"",INDEX(#REF!,MATCH('data '!$B779,#REF!,0),MATCH('data '!T$3,#REF!,0)))</f>
        <v>#REF!</v>
      </c>
      <c r="V779" s="25" t="s">
        <v>204</v>
      </c>
      <c r="W779" s="25">
        <v>0</v>
      </c>
      <c r="AC779" s="8" t="e">
        <f>VLOOKUP(B779,#REF!,19,0)</f>
        <v>#REF!</v>
      </c>
      <c r="AP779" s="8" t="str">
        <f t="shared" si="32"/>
        <v>Not yet endorsed</v>
      </c>
      <c r="AQ779" s="10" t="b" cm="1">
        <f t="array" aca="1" ref="AQ779" ca="1">IF(AM779&gt;0,(TODAY()-AM779),IF(AL779&gt;0,(TODAY()-AL779),IF(AK779&gt;0,(TODAY()-AK779,IF(AI779&gt;0,(TODAY()-AI779),IF(AG779&gt;0,(TODAY()-AG779),IF(AF779&gt;0,(TODAY()-AF779),IF(X779&gt;0,(TODAY()-X779)," "))))))))</f>
        <v>0</v>
      </c>
      <c r="BD779" s="2" t="str">
        <f t="shared" si="33"/>
        <v>Not yet endorsed</v>
      </c>
      <c r="BE779" s="2" t="s">
        <v>75</v>
      </c>
      <c r="BG779" s="2" t="e">
        <v>#N/A</v>
      </c>
    </row>
    <row r="780" spans="2:59" hidden="1" x14ac:dyDescent="0.25">
      <c r="B780" s="2" t="s">
        <v>3471</v>
      </c>
      <c r="C780" s="2" t="s">
        <v>3472</v>
      </c>
      <c r="D780" s="44" t="s">
        <v>3473</v>
      </c>
      <c r="E780" s="2" t="s">
        <v>6</v>
      </c>
      <c r="F780" s="2" t="s">
        <v>1279</v>
      </c>
      <c r="G780" s="2" t="s">
        <v>1</v>
      </c>
      <c r="H780" s="2" t="s">
        <v>111</v>
      </c>
      <c r="I780" s="2" t="s">
        <v>112</v>
      </c>
      <c r="J780" s="2" t="s">
        <v>344</v>
      </c>
      <c r="K780" s="2" t="s">
        <v>1052</v>
      </c>
      <c r="L780" s="2" t="s">
        <v>1280</v>
      </c>
      <c r="M780" s="2">
        <v>0</v>
      </c>
      <c r="N780" s="2">
        <v>10.741218999999999</v>
      </c>
      <c r="O780" s="2">
        <v>121.94860300000001</v>
      </c>
      <c r="P780" s="2" t="s">
        <v>87</v>
      </c>
      <c r="Q780" s="2" t="s">
        <v>184</v>
      </c>
      <c r="R780" s="29" t="e">
        <f>IF(INDEX(#REF!,MATCH('data '!$B780,#REF!,0),MATCH('data '!R$3,#REF!,0))=0,"",INDEX(#REF!,MATCH('data '!$B780,#REF!,0),MATCH('data '!R$3,#REF!,0)))</f>
        <v>#REF!</v>
      </c>
      <c r="S780" s="29" t="e">
        <f>IF(INDEX(#REF!,MATCH('data '!$B780,#REF!,0),MATCH('data '!S$3,#REF!,0))=0,"",INDEX(#REF!,MATCH('data '!$B780,#REF!,0),MATCH('data '!S$3,#REF!,0)))</f>
        <v>#REF!</v>
      </c>
      <c r="T780" s="29" t="e">
        <f>IF(INDEX(#REF!,MATCH('data '!$B780,#REF!,0),MATCH('data '!T$3,#REF!,0))=0,"",INDEX(#REF!,MATCH('data '!$B780,#REF!,0),MATCH('data '!T$3,#REF!,0)))</f>
        <v>#REF!</v>
      </c>
      <c r="U780" s="8" t="s">
        <v>25</v>
      </c>
      <c r="V780" s="25" t="s">
        <v>266</v>
      </c>
      <c r="W780" s="25" t="s">
        <v>144</v>
      </c>
      <c r="X780" s="9" t="s">
        <v>25</v>
      </c>
      <c r="Y780" s="9">
        <v>45812</v>
      </c>
      <c r="AA780" s="8">
        <v>45878</v>
      </c>
      <c r="AC780" s="8" t="e">
        <f>VLOOKUP(B780,#REF!,19,0)</f>
        <v>#REF!</v>
      </c>
      <c r="AE780" s="8" t="s">
        <v>966</v>
      </c>
      <c r="AP780" s="8" t="str">
        <f t="shared" si="32"/>
        <v>BP Secured</v>
      </c>
      <c r="AQ780" s="10" t="b" cm="1">
        <f t="array" aca="1" ref="AQ780" ca="1">IF(AM780&gt;0,(TODAY()-AM780),IF(AL780&gt;0,(TODAY()-AL780),IF(AK780&gt;0,(TODAY()-AK780,IF(AI780&gt;0,(TODAY()-AI780),IF(AG780&gt;0,(TODAY()-AG780),IF(AF780&gt;0,(TODAY()-AF780),IF(X780&gt;0,(TODAY()-X780)," "))))))))</f>
        <v>0</v>
      </c>
      <c r="AT780" s="8" t="s">
        <v>155</v>
      </c>
      <c r="AU780" s="8">
        <v>45835</v>
      </c>
      <c r="AV780" s="8">
        <v>45835</v>
      </c>
      <c r="AX780" s="8">
        <v>45838</v>
      </c>
      <c r="BD780" s="2" t="str">
        <f t="shared" si="33"/>
        <v>PO Issued</v>
      </c>
      <c r="BE780" s="2">
        <v>102</v>
      </c>
      <c r="BG780" s="2" t="e">
        <v>#N/A</v>
      </c>
    </row>
    <row r="781" spans="2:59" hidden="1" x14ac:dyDescent="0.25">
      <c r="B781" s="2" t="s">
        <v>3474</v>
      </c>
      <c r="C781" s="2" t="s">
        <v>3475</v>
      </c>
      <c r="D781" s="44" t="s">
        <v>3476</v>
      </c>
      <c r="E781" s="2" t="s">
        <v>4</v>
      </c>
      <c r="F781" s="2" t="s">
        <v>575</v>
      </c>
      <c r="G781" s="2" t="s">
        <v>1</v>
      </c>
      <c r="H781" s="2" t="s">
        <v>3445</v>
      </c>
      <c r="I781" s="2" t="s">
        <v>140</v>
      </c>
      <c r="J781" s="2" t="s">
        <v>3446</v>
      </c>
      <c r="K781" s="2" t="s">
        <v>3447</v>
      </c>
      <c r="L781" s="2" t="s">
        <v>3466</v>
      </c>
      <c r="M781" s="2">
        <v>0</v>
      </c>
      <c r="N781" s="2">
        <v>0</v>
      </c>
      <c r="O781" s="2">
        <v>0</v>
      </c>
      <c r="P781" s="2" t="s">
        <v>72</v>
      </c>
      <c r="Q781" s="2" t="s">
        <v>73</v>
      </c>
      <c r="R781" s="29" t="e">
        <f>IF(INDEX(#REF!,MATCH('data '!$B781,#REF!,0),MATCH('data '!R$3,#REF!,0))=0,"",INDEX(#REF!,MATCH('data '!$B781,#REF!,0),MATCH('data '!R$3,#REF!,0)))</f>
        <v>#REF!</v>
      </c>
      <c r="S781" s="29" t="e">
        <f>IF(INDEX(#REF!,MATCH('data '!$B781,#REF!,0),MATCH('data '!S$3,#REF!,0))=0,"",INDEX(#REF!,MATCH('data '!$B781,#REF!,0),MATCH('data '!S$3,#REF!,0)))</f>
        <v>#REF!</v>
      </c>
      <c r="T781" s="29" t="e">
        <f>IF(INDEX(#REF!,MATCH('data '!$B781,#REF!,0),MATCH('data '!T$3,#REF!,0))=0,"",INDEX(#REF!,MATCH('data '!$B781,#REF!,0),MATCH('data '!T$3,#REF!,0)))</f>
        <v>#REF!</v>
      </c>
      <c r="V781" s="25" t="s">
        <v>74</v>
      </c>
      <c r="W781" s="25">
        <v>0</v>
      </c>
      <c r="AC781" s="8" t="e">
        <f>VLOOKUP(B781,#REF!,19,0)</f>
        <v>#REF!</v>
      </c>
      <c r="AP781" s="8" t="str">
        <f t="shared" si="32"/>
        <v>Not yet endorsed</v>
      </c>
      <c r="AQ781" s="10" t="b" cm="1">
        <f t="array" aca="1" ref="AQ781" ca="1">IF(AM781&gt;0,(TODAY()-AM781),IF(AL781&gt;0,(TODAY()-AL781),IF(AK781&gt;0,(TODAY()-AK781,IF(AI781&gt;0,(TODAY()-AI781),IF(AG781&gt;0,(TODAY()-AG781),IF(AF781&gt;0,(TODAY()-AF781),IF(X781&gt;0,(TODAY()-X781)," "))))))))</f>
        <v>0</v>
      </c>
      <c r="BD781" s="2" t="str">
        <f t="shared" si="33"/>
        <v>Not yet endorsed</v>
      </c>
      <c r="BE781" s="2" t="s">
        <v>75</v>
      </c>
      <c r="BG781" s="2" t="e">
        <v>#N/A</v>
      </c>
    </row>
    <row r="782" spans="2:59" hidden="1" x14ac:dyDescent="0.25">
      <c r="B782" s="2" t="s">
        <v>3477</v>
      </c>
      <c r="C782" s="2" t="s">
        <v>3478</v>
      </c>
      <c r="D782" s="44" t="s">
        <v>3479</v>
      </c>
      <c r="F782" s="2" t="e">
        <v>#N/A</v>
      </c>
      <c r="G782" s="2" t="s">
        <v>1</v>
      </c>
      <c r="H782" s="2" t="s">
        <v>120</v>
      </c>
      <c r="I782" s="2" t="s">
        <v>140</v>
      </c>
      <c r="J782" s="2" t="s">
        <v>122</v>
      </c>
      <c r="K782" s="2" t="s">
        <v>723</v>
      </c>
      <c r="L782" s="2" t="s">
        <v>724</v>
      </c>
      <c r="M782" s="2">
        <v>0</v>
      </c>
      <c r="N782" s="2">
        <v>0</v>
      </c>
      <c r="O782" s="2">
        <v>0</v>
      </c>
      <c r="P782" s="2" t="e">
        <v>#N/A</v>
      </c>
      <c r="Q782" s="2" t="e">
        <v>#N/A</v>
      </c>
      <c r="R782" s="29" t="e">
        <f>IF(INDEX(#REF!,MATCH('data '!$B782,#REF!,0),MATCH('data '!R$3,#REF!,0))=0,"",INDEX(#REF!,MATCH('data '!$B782,#REF!,0),MATCH('data '!R$3,#REF!,0)))</f>
        <v>#REF!</v>
      </c>
      <c r="S782" s="29" t="e">
        <f>IF(INDEX(#REF!,MATCH('data '!$B782,#REF!,0),MATCH('data '!S$3,#REF!,0))=0,"",INDEX(#REF!,MATCH('data '!$B782,#REF!,0),MATCH('data '!S$3,#REF!,0)))</f>
        <v>#REF!</v>
      </c>
      <c r="T782" s="29" t="e">
        <f>IF(INDEX(#REF!,MATCH('data '!$B782,#REF!,0),MATCH('data '!T$3,#REF!,0))=0,"",INDEX(#REF!,MATCH('data '!$B782,#REF!,0),MATCH('data '!T$3,#REF!,0)))</f>
        <v>#REF!</v>
      </c>
      <c r="V782" s="25" t="s">
        <v>125</v>
      </c>
      <c r="W782" s="25">
        <v>0</v>
      </c>
      <c r="AC782" s="8" t="e">
        <f>VLOOKUP(B782,#REF!,19,0)</f>
        <v>#REF!</v>
      </c>
      <c r="AP782" s="8" t="str">
        <f t="shared" si="32"/>
        <v>Not yet endorsed</v>
      </c>
      <c r="AQ782" s="10" t="b" cm="1">
        <f t="array" aca="1" ref="AQ782" ca="1">IF(AM782&gt;0,(TODAY()-AM782),IF(AL782&gt;0,(TODAY()-AL782),IF(AK782&gt;0,(TODAY()-AK782,IF(AI782&gt;0,(TODAY()-AI782),IF(AG782&gt;0,(TODAY()-AG782),IF(AF782&gt;0,(TODAY()-AF782),IF(X782&gt;0,(TODAY()-X782)," "))))))))</f>
        <v>0</v>
      </c>
      <c r="BD782" s="2" t="str">
        <f t="shared" si="33"/>
        <v>Not yet endorsed</v>
      </c>
      <c r="BE782" s="2" t="s">
        <v>75</v>
      </c>
      <c r="BG782" s="2" t="e">
        <v>#N/A</v>
      </c>
    </row>
    <row r="783" spans="2:59" hidden="1" x14ac:dyDescent="0.25">
      <c r="B783" s="2" t="s">
        <v>3480</v>
      </c>
      <c r="C783" s="2" t="s">
        <v>3481</v>
      </c>
      <c r="D783" s="44" t="s">
        <v>3482</v>
      </c>
      <c r="E783" s="2" t="s">
        <v>11</v>
      </c>
      <c r="F783" s="2">
        <v>0</v>
      </c>
      <c r="G783" s="2" t="s">
        <v>1</v>
      </c>
      <c r="H783" s="2" t="s">
        <v>67</v>
      </c>
      <c r="I783" s="2" t="s">
        <v>68</v>
      </c>
      <c r="J783" s="2" t="s">
        <v>330</v>
      </c>
      <c r="K783" s="2" t="s">
        <v>331</v>
      </c>
      <c r="L783" s="2" t="s">
        <v>972</v>
      </c>
      <c r="M783" s="2">
        <v>0</v>
      </c>
      <c r="N783" s="2">
        <v>0</v>
      </c>
      <c r="O783" s="2">
        <v>0</v>
      </c>
      <c r="P783" s="2" t="s">
        <v>204</v>
      </c>
      <c r="Q783" s="2">
        <v>0</v>
      </c>
      <c r="R783" s="29" t="e">
        <f>IF(INDEX(#REF!,MATCH('data '!$B783,#REF!,0),MATCH('data '!R$3,#REF!,0))=0,"",INDEX(#REF!,MATCH('data '!$B783,#REF!,0),MATCH('data '!R$3,#REF!,0)))</f>
        <v>#REF!</v>
      </c>
      <c r="S783" s="29" t="e">
        <f>IF(INDEX(#REF!,MATCH('data '!$B783,#REF!,0),MATCH('data '!S$3,#REF!,0))=0,"",INDEX(#REF!,MATCH('data '!$B783,#REF!,0),MATCH('data '!S$3,#REF!,0)))</f>
        <v>#REF!</v>
      </c>
      <c r="T783" s="29" t="e">
        <f>IF(INDEX(#REF!,MATCH('data '!$B783,#REF!,0),MATCH('data '!T$3,#REF!,0))=0,"",INDEX(#REF!,MATCH('data '!$B783,#REF!,0),MATCH('data '!T$3,#REF!,0)))</f>
        <v>#REF!</v>
      </c>
      <c r="V783" s="25" t="s">
        <v>160</v>
      </c>
      <c r="W783" s="25" t="s">
        <v>144</v>
      </c>
      <c r="X783" s="61"/>
      <c r="Y783" s="61"/>
      <c r="AC783" s="8" t="e">
        <f>VLOOKUP(B783,#REF!,19,0)</f>
        <v>#REF!</v>
      </c>
      <c r="AP783" s="8" t="str">
        <f t="shared" si="32"/>
        <v>Not yet endorsed</v>
      </c>
      <c r="AQ783" s="10" t="b" cm="1">
        <f t="array" aca="1" ref="AQ783" ca="1">IF(AM783&gt;0,(TODAY()-AM783),IF(AL783&gt;0,(TODAY()-AL783),IF(AK783&gt;0,(TODAY()-AK783,IF(AI783&gt;0,(TODAY()-AI783),IF(AG783&gt;0,(TODAY()-AG783),IF(AF783&gt;0,(TODAY()-AF783),IF(X783&gt;0,(TODAY()-X783)," "))))))))</f>
        <v>0</v>
      </c>
      <c r="BD783" s="2" t="str">
        <f t="shared" si="33"/>
        <v>Not yet endorsed</v>
      </c>
      <c r="BE783" s="2" t="s">
        <v>75</v>
      </c>
      <c r="BG783" s="2" t="e">
        <v>#N/A</v>
      </c>
    </row>
    <row r="784" spans="2:59" hidden="1" x14ac:dyDescent="0.25">
      <c r="B784" s="2" t="s">
        <v>3483</v>
      </c>
      <c r="C784" s="2" t="s">
        <v>3484</v>
      </c>
      <c r="D784" s="44" t="s">
        <v>3485</v>
      </c>
      <c r="E784" s="2" t="s">
        <v>11</v>
      </c>
      <c r="F784" s="2">
        <v>0</v>
      </c>
      <c r="G784" s="2" t="s">
        <v>1</v>
      </c>
      <c r="H784" s="2" t="s">
        <v>67</v>
      </c>
      <c r="I784" s="2" t="s">
        <v>68</v>
      </c>
      <c r="J784" s="2" t="s">
        <v>80</v>
      </c>
      <c r="K784" s="2" t="s">
        <v>81</v>
      </c>
      <c r="L784" s="2" t="s">
        <v>93</v>
      </c>
      <c r="M784" s="2">
        <v>0</v>
      </c>
      <c r="N784" s="2">
        <v>0</v>
      </c>
      <c r="O784" s="2">
        <v>0</v>
      </c>
      <c r="P784" s="2" t="s">
        <v>655</v>
      </c>
      <c r="Q784" s="2">
        <v>0</v>
      </c>
      <c r="R784" s="29" t="e">
        <f>IF(INDEX(#REF!,MATCH('data '!$B784,#REF!,0),MATCH('data '!R$3,#REF!,0))=0,"",INDEX(#REF!,MATCH('data '!$B784,#REF!,0),MATCH('data '!R$3,#REF!,0)))</f>
        <v>#REF!</v>
      </c>
      <c r="S784" s="29" t="e">
        <f>IF(INDEX(#REF!,MATCH('data '!$B784,#REF!,0),MATCH('data '!S$3,#REF!,0))=0,"",INDEX(#REF!,MATCH('data '!$B784,#REF!,0),MATCH('data '!S$3,#REF!,0)))</f>
        <v>#REF!</v>
      </c>
      <c r="T784" s="29" t="e">
        <f>IF(INDEX(#REF!,MATCH('data '!$B784,#REF!,0),MATCH('data '!T$3,#REF!,0))=0,"",INDEX(#REF!,MATCH('data '!$B784,#REF!,0),MATCH('data '!T$3,#REF!,0)))</f>
        <v>#REF!</v>
      </c>
      <c r="V784" s="25" t="s">
        <v>204</v>
      </c>
      <c r="W784" s="25">
        <v>0</v>
      </c>
      <c r="AC784" s="8" t="e">
        <f>VLOOKUP(B784,#REF!,19,0)</f>
        <v>#REF!</v>
      </c>
      <c r="AP784" s="8" t="str">
        <f t="shared" si="32"/>
        <v>Not yet endorsed</v>
      </c>
      <c r="AQ784" s="10" t="b" cm="1">
        <f t="array" aca="1" ref="AQ784" ca="1">IF(AM784&gt;0,(TODAY()-AM784),IF(AL784&gt;0,(TODAY()-AL784),IF(AK784&gt;0,(TODAY()-AK784,IF(AI784&gt;0,(TODAY()-AI784),IF(AG784&gt;0,(TODAY()-AG784),IF(AF784&gt;0,(TODAY()-AF784),IF(X784&gt;0,(TODAY()-X784)," "))))))))</f>
        <v>0</v>
      </c>
      <c r="BD784" s="2" t="str">
        <f t="shared" si="33"/>
        <v>Not yet endorsed</v>
      </c>
      <c r="BE784" s="2" t="s">
        <v>75</v>
      </c>
      <c r="BG784" s="2" t="e">
        <v>#N/A</v>
      </c>
    </row>
    <row r="785" spans="2:60" hidden="1" x14ac:dyDescent="0.25">
      <c r="B785" s="2" t="s">
        <v>3486</v>
      </c>
      <c r="C785" s="2" t="s">
        <v>3487</v>
      </c>
      <c r="D785" s="44" t="s">
        <v>3488</v>
      </c>
      <c r="E785" s="2" t="s">
        <v>11</v>
      </c>
      <c r="F785" s="2">
        <v>0</v>
      </c>
      <c r="G785" s="2" t="s">
        <v>1</v>
      </c>
      <c r="H785" s="2" t="s">
        <v>67</v>
      </c>
      <c r="I785" s="2" t="s">
        <v>68</v>
      </c>
      <c r="J785" s="2" t="s">
        <v>80</v>
      </c>
      <c r="K785" s="2" t="s">
        <v>81</v>
      </c>
      <c r="L785" s="2" t="s">
        <v>93</v>
      </c>
      <c r="M785" s="2">
        <v>0</v>
      </c>
      <c r="N785" s="2">
        <v>0</v>
      </c>
      <c r="O785" s="2">
        <v>0</v>
      </c>
      <c r="P785" s="2" t="s">
        <v>490</v>
      </c>
      <c r="Q785" s="2">
        <v>0</v>
      </c>
      <c r="R785" s="29" t="e">
        <f>IF(INDEX(#REF!,MATCH('data '!$B785,#REF!,0),MATCH('data '!R$3,#REF!,0))=0,"",INDEX(#REF!,MATCH('data '!$B785,#REF!,0),MATCH('data '!R$3,#REF!,0)))</f>
        <v>#REF!</v>
      </c>
      <c r="S785" s="29" t="e">
        <f>IF(INDEX(#REF!,MATCH('data '!$B785,#REF!,0),MATCH('data '!S$3,#REF!,0))=0,"",INDEX(#REF!,MATCH('data '!$B785,#REF!,0),MATCH('data '!S$3,#REF!,0)))</f>
        <v>#REF!</v>
      </c>
      <c r="T785" s="29" t="e">
        <f>IF(INDEX(#REF!,MATCH('data '!$B785,#REF!,0),MATCH('data '!T$3,#REF!,0))=0,"",INDEX(#REF!,MATCH('data '!$B785,#REF!,0),MATCH('data '!T$3,#REF!,0)))</f>
        <v>#REF!</v>
      </c>
      <c r="V785" s="25" t="s">
        <v>82</v>
      </c>
      <c r="W785" s="25" t="s">
        <v>83</v>
      </c>
      <c r="AC785" s="8" t="e">
        <f>VLOOKUP(B785,#REF!,19,0)</f>
        <v>#REF!</v>
      </c>
      <c r="AP785" s="8" t="str">
        <f t="shared" si="32"/>
        <v>Not yet endorsed</v>
      </c>
      <c r="AQ785" s="10" t="b" cm="1">
        <f t="array" aca="1" ref="AQ785" ca="1">IF(AM785&gt;0,(TODAY()-AM785),IF(AL785&gt;0,(TODAY()-AL785),IF(AK785&gt;0,(TODAY()-AK785,IF(AI785&gt;0,(TODAY()-AI785),IF(AG785&gt;0,(TODAY()-AG785),IF(AF785&gt;0,(TODAY()-AF785),IF(X785&gt;0,(TODAY()-X785)," "))))))))</f>
        <v>0</v>
      </c>
      <c r="BD785" s="2" t="str">
        <f t="shared" si="33"/>
        <v>Not yet endorsed</v>
      </c>
      <c r="BE785" s="2" t="s">
        <v>75</v>
      </c>
      <c r="BG785" s="2" t="e">
        <v>#N/A</v>
      </c>
    </row>
    <row r="786" spans="2:60" hidden="1" x14ac:dyDescent="0.25">
      <c r="B786" s="2" t="s">
        <v>3489</v>
      </c>
      <c r="C786" s="2" t="s">
        <v>3490</v>
      </c>
      <c r="D786" s="44" t="s">
        <v>3491</v>
      </c>
      <c r="E786" s="2" t="s">
        <v>4</v>
      </c>
      <c r="F786" s="2">
        <v>0</v>
      </c>
      <c r="G786" s="2" t="s">
        <v>1</v>
      </c>
      <c r="H786" s="2" t="s">
        <v>120</v>
      </c>
      <c r="I786" s="2" t="s">
        <v>121</v>
      </c>
      <c r="J786" s="2" t="s">
        <v>122</v>
      </c>
      <c r="K786" s="2" t="s">
        <v>123</v>
      </c>
      <c r="L786" s="2" t="s">
        <v>793</v>
      </c>
      <c r="M786" s="2">
        <v>0</v>
      </c>
      <c r="N786" s="2">
        <v>0</v>
      </c>
      <c r="O786" s="2">
        <v>0</v>
      </c>
      <c r="P786" s="2" t="s">
        <v>824</v>
      </c>
      <c r="Q786" s="2">
        <v>0</v>
      </c>
      <c r="R786" s="29" t="e">
        <f>IF(INDEX(#REF!,MATCH('data '!$B786,#REF!,0),MATCH('data '!R$3,#REF!,0))=0,"",INDEX(#REF!,MATCH('data '!$B786,#REF!,0),MATCH('data '!R$3,#REF!,0)))</f>
        <v>#REF!</v>
      </c>
      <c r="S786" s="29" t="e">
        <f>IF(INDEX(#REF!,MATCH('data '!$B786,#REF!,0),MATCH('data '!S$3,#REF!,0))=0,"",INDEX(#REF!,MATCH('data '!$B786,#REF!,0),MATCH('data '!S$3,#REF!,0)))</f>
        <v>#REF!</v>
      </c>
      <c r="T786" s="29" t="e">
        <f>IF(INDEX(#REF!,MATCH('data '!$B786,#REF!,0),MATCH('data '!T$3,#REF!,0))=0,"",INDEX(#REF!,MATCH('data '!$B786,#REF!,0),MATCH('data '!T$3,#REF!,0)))</f>
        <v>#REF!</v>
      </c>
      <c r="V786" s="25" t="s">
        <v>125</v>
      </c>
      <c r="W786" s="25">
        <v>0</v>
      </c>
      <c r="AC786" s="8" t="e">
        <f>VLOOKUP(B786,#REF!,19,0)</f>
        <v>#REF!</v>
      </c>
      <c r="AP786" s="8" t="str">
        <f t="shared" si="32"/>
        <v>Not yet endorsed</v>
      </c>
      <c r="AQ786" s="10" t="b" cm="1">
        <f t="array" aca="1" ref="AQ786" ca="1">IF(AM786&gt;0,(TODAY()-AM786),IF(AL786&gt;0,(TODAY()-AL786),IF(AK786&gt;0,(TODAY()-AK786,IF(AI786&gt;0,(TODAY()-AI786),IF(AG786&gt;0,(TODAY()-AG786),IF(AF786&gt;0,(TODAY()-AF786),IF(X786&gt;0,(TODAY()-X786)," "))))))))</f>
        <v>0</v>
      </c>
      <c r="BD786" s="2" t="str">
        <f t="shared" si="33"/>
        <v>Not yet endorsed</v>
      </c>
      <c r="BE786" s="2" t="s">
        <v>75</v>
      </c>
      <c r="BG786" s="2" t="e">
        <v>#N/A</v>
      </c>
    </row>
    <row r="787" spans="2:60" hidden="1" x14ac:dyDescent="0.25">
      <c r="B787" s="2" t="s">
        <v>3492</v>
      </c>
      <c r="C787" s="2" t="s">
        <v>3493</v>
      </c>
      <c r="D787" s="44" t="s">
        <v>3494</v>
      </c>
      <c r="E787" s="2" t="s">
        <v>3</v>
      </c>
      <c r="F787" s="2">
        <v>0</v>
      </c>
      <c r="G787" s="2" t="s">
        <v>1</v>
      </c>
      <c r="H787" s="2" t="s">
        <v>120</v>
      </c>
      <c r="I787" s="2" t="s">
        <v>121</v>
      </c>
      <c r="J787" s="2" t="s">
        <v>141</v>
      </c>
      <c r="K787" s="2" t="s">
        <v>370</v>
      </c>
      <c r="L787" s="2" t="s">
        <v>814</v>
      </c>
      <c r="M787" s="2">
        <v>0</v>
      </c>
      <c r="N787" s="2">
        <v>0</v>
      </c>
      <c r="O787" s="2">
        <v>0</v>
      </c>
      <c r="P787" s="2" t="s">
        <v>824</v>
      </c>
      <c r="Q787" s="2">
        <v>0</v>
      </c>
      <c r="R787" s="29" t="e">
        <f>IF(INDEX(#REF!,MATCH('data '!$B787,#REF!,0),MATCH('data '!R$3,#REF!,0))=0,"",INDEX(#REF!,MATCH('data '!$B787,#REF!,0),MATCH('data '!R$3,#REF!,0)))</f>
        <v>#REF!</v>
      </c>
      <c r="S787" s="29" t="e">
        <f>IF(INDEX(#REF!,MATCH('data '!$B787,#REF!,0),MATCH('data '!S$3,#REF!,0))=0,"",INDEX(#REF!,MATCH('data '!$B787,#REF!,0),MATCH('data '!S$3,#REF!,0)))</f>
        <v>#REF!</v>
      </c>
      <c r="T787" s="29" t="e">
        <f>IF(INDEX(#REF!,MATCH('data '!$B787,#REF!,0),MATCH('data '!T$3,#REF!,0))=0,"",INDEX(#REF!,MATCH('data '!$B787,#REF!,0),MATCH('data '!T$3,#REF!,0)))</f>
        <v>#REF!</v>
      </c>
      <c r="V787" s="25" t="s">
        <v>731</v>
      </c>
      <c r="W787" s="25">
        <v>0</v>
      </c>
      <c r="AC787" s="8" t="e">
        <f>VLOOKUP(B787,#REF!,19,0)</f>
        <v>#REF!</v>
      </c>
      <c r="AP787" s="8" t="str">
        <f t="shared" si="32"/>
        <v>Not yet endorsed</v>
      </c>
      <c r="AQ787" s="10" t="b" cm="1">
        <f t="array" aca="1" ref="AQ787" ca="1">IF(AM787&gt;0,(TODAY()-AM787),IF(AL787&gt;0,(TODAY()-AL787),IF(AK787&gt;0,(TODAY()-AK787,IF(AI787&gt;0,(TODAY()-AI787),IF(AG787&gt;0,(TODAY()-AG787),IF(AF787&gt;0,(TODAY()-AF787),IF(X787&gt;0,(TODAY()-X787)," "))))))))</f>
        <v>0</v>
      </c>
      <c r="BD787" s="2" t="str">
        <f t="shared" si="33"/>
        <v>Not yet endorsed</v>
      </c>
      <c r="BE787" s="2" t="s">
        <v>75</v>
      </c>
      <c r="BG787" s="2" t="e">
        <v>#N/A</v>
      </c>
      <c r="BH787" s="2" t="e" vm="1">
        <v>#REF!</v>
      </c>
    </row>
    <row r="788" spans="2:60" hidden="1" x14ac:dyDescent="0.25">
      <c r="B788" s="2" t="s">
        <v>3495</v>
      </c>
      <c r="C788" s="2" t="s">
        <v>3496</v>
      </c>
      <c r="D788" s="44" t="s">
        <v>3497</v>
      </c>
      <c r="E788" s="2" t="s">
        <v>3</v>
      </c>
      <c r="F788" s="2">
        <v>0</v>
      </c>
      <c r="G788" s="2" t="s">
        <v>1</v>
      </c>
      <c r="H788" s="2" t="s">
        <v>120</v>
      </c>
      <c r="I788" s="2" t="s">
        <v>121</v>
      </c>
      <c r="J788" s="2" t="s">
        <v>141</v>
      </c>
      <c r="K788" s="2" t="s">
        <v>370</v>
      </c>
      <c r="L788" s="2" t="s">
        <v>814</v>
      </c>
      <c r="M788" s="2">
        <v>0</v>
      </c>
      <c r="N788" s="2">
        <v>0</v>
      </c>
      <c r="O788" s="2">
        <v>0</v>
      </c>
      <c r="P788" s="2" t="s">
        <v>824</v>
      </c>
      <c r="Q788" s="2">
        <v>0</v>
      </c>
      <c r="R788" s="29" t="e">
        <f>IF(INDEX(#REF!,MATCH('data '!$B788,#REF!,0),MATCH('data '!R$3,#REF!,0))=0,"",INDEX(#REF!,MATCH('data '!$B788,#REF!,0),MATCH('data '!R$3,#REF!,0)))</f>
        <v>#REF!</v>
      </c>
      <c r="S788" s="29" t="e">
        <f>IF(INDEX(#REF!,MATCH('data '!$B788,#REF!,0),MATCH('data '!S$3,#REF!,0))=0,"",INDEX(#REF!,MATCH('data '!$B788,#REF!,0),MATCH('data '!S$3,#REF!,0)))</f>
        <v>#REF!</v>
      </c>
      <c r="T788" s="29" t="e">
        <f>IF(INDEX(#REF!,MATCH('data '!$B788,#REF!,0),MATCH('data '!T$3,#REF!,0))=0,"",INDEX(#REF!,MATCH('data '!$B788,#REF!,0),MATCH('data '!T$3,#REF!,0)))</f>
        <v>#REF!</v>
      </c>
      <c r="V788" s="25" t="s">
        <v>74</v>
      </c>
      <c r="W788" s="25">
        <v>0</v>
      </c>
      <c r="AC788" s="8" t="e">
        <f>VLOOKUP(B788,#REF!,19,0)</f>
        <v>#REF!</v>
      </c>
      <c r="AP788" s="8" t="str">
        <f t="shared" si="32"/>
        <v>Not yet endorsed</v>
      </c>
      <c r="AQ788" s="10" t="b" cm="1">
        <f t="array" aca="1" ref="AQ788" ca="1">IF(AM788&gt;0,(TODAY()-AM788),IF(AL788&gt;0,(TODAY()-AL788),IF(AK788&gt;0,(TODAY()-AK788,IF(AI788&gt;0,(TODAY()-AI788),IF(AG788&gt;0,(TODAY()-AG788),IF(AF788&gt;0,(TODAY()-AF788),IF(X788&gt;0,(TODAY()-X788)," "))))))))</f>
        <v>0</v>
      </c>
      <c r="BD788" s="2" t="str">
        <f t="shared" si="33"/>
        <v>Not yet endorsed</v>
      </c>
      <c r="BE788" s="2" t="s">
        <v>75</v>
      </c>
      <c r="BG788" s="2" t="e">
        <v>#N/A</v>
      </c>
      <c r="BH788" s="2" t="e" vm="1">
        <v>#REF!</v>
      </c>
    </row>
    <row r="789" spans="2:60" hidden="1" x14ac:dyDescent="0.25">
      <c r="B789" s="2" t="s">
        <v>3498</v>
      </c>
      <c r="C789" s="2" t="s">
        <v>3499</v>
      </c>
      <c r="D789" s="44" t="s">
        <v>3500</v>
      </c>
      <c r="F789" s="2" t="e">
        <v>#N/A</v>
      </c>
      <c r="G789" s="2" t="s">
        <v>1</v>
      </c>
      <c r="H789" s="2" t="s">
        <v>3445</v>
      </c>
      <c r="I789" s="2" t="s">
        <v>140</v>
      </c>
      <c r="J789" s="2" t="e">
        <v>#N/A</v>
      </c>
      <c r="K789" s="2" t="e">
        <v>#N/A</v>
      </c>
      <c r="L789" s="2" t="e">
        <v>#N/A</v>
      </c>
      <c r="M789" s="2" t="e">
        <v>#N/A</v>
      </c>
      <c r="N789" s="2" t="e">
        <v>#N/A</v>
      </c>
      <c r="O789" s="2" t="e">
        <v>#N/A</v>
      </c>
      <c r="P789" s="2" t="e">
        <v>#N/A</v>
      </c>
      <c r="Q789" s="2" t="e">
        <v>#N/A</v>
      </c>
      <c r="R789" s="29" t="e">
        <f>IF(INDEX(#REF!,MATCH('data '!$B789,#REF!,0),MATCH('data '!R$3,#REF!,0))=0,"",INDEX(#REF!,MATCH('data '!$B789,#REF!,0),MATCH('data '!R$3,#REF!,0)))</f>
        <v>#REF!</v>
      </c>
      <c r="S789" s="29" t="e">
        <f>IF(INDEX(#REF!,MATCH('data '!$B789,#REF!,0),MATCH('data '!S$3,#REF!,0))=0,"",INDEX(#REF!,MATCH('data '!$B789,#REF!,0),MATCH('data '!S$3,#REF!,0)))</f>
        <v>#REF!</v>
      </c>
      <c r="T789" s="29" t="e">
        <f>IF(INDEX(#REF!,MATCH('data '!$B789,#REF!,0),MATCH('data '!T$3,#REF!,0))=0,"",INDEX(#REF!,MATCH('data '!$B789,#REF!,0),MATCH('data '!T$3,#REF!,0)))</f>
        <v>#REF!</v>
      </c>
      <c r="V789" s="25" t="s">
        <v>789</v>
      </c>
      <c r="W789" s="25">
        <v>0</v>
      </c>
      <c r="AC789" s="8" t="e">
        <f>VLOOKUP(B789,#REF!,19,0)</f>
        <v>#REF!</v>
      </c>
      <c r="AP789" s="8" t="str">
        <f t="shared" si="32"/>
        <v>Not yet endorsed</v>
      </c>
      <c r="AQ789" s="10" t="b" cm="1">
        <f t="array" aca="1" ref="AQ789" ca="1">IF(AM789&gt;0,(TODAY()-AM789),IF(AL789&gt;0,(TODAY()-AL789),IF(AK789&gt;0,(TODAY()-AK789,IF(AI789&gt;0,(TODAY()-AI789),IF(AG789&gt;0,(TODAY()-AG789),IF(AF789&gt;0,(TODAY()-AF789),IF(X789&gt;0,(TODAY()-X789)," "))))))))</f>
        <v>0</v>
      </c>
      <c r="BD789" s="2" t="str">
        <f t="shared" si="33"/>
        <v>Not yet endorsed</v>
      </c>
      <c r="BE789" s="2" t="s">
        <v>75</v>
      </c>
      <c r="BG789" s="2" t="e">
        <v>#N/A</v>
      </c>
    </row>
    <row r="790" spans="2:60" hidden="1" x14ac:dyDescent="0.25">
      <c r="B790" s="2" t="s">
        <v>3501</v>
      </c>
      <c r="C790" s="2" t="s">
        <v>3502</v>
      </c>
      <c r="D790" s="44" t="s">
        <v>3503</v>
      </c>
      <c r="E790" s="2" t="s">
        <v>3</v>
      </c>
      <c r="F790" s="2" t="e">
        <v>#N/A</v>
      </c>
      <c r="G790" s="2" t="s">
        <v>1</v>
      </c>
      <c r="H790" s="2" t="s">
        <v>120</v>
      </c>
      <c r="I790" s="2" t="s">
        <v>121</v>
      </c>
      <c r="J790" s="2" t="s">
        <v>209</v>
      </c>
      <c r="K790" s="2" t="s">
        <v>566</v>
      </c>
      <c r="L790" s="2" t="s">
        <v>1885</v>
      </c>
      <c r="M790" s="2">
        <v>0</v>
      </c>
      <c r="N790" s="2">
        <v>0</v>
      </c>
      <c r="O790" s="2">
        <v>0</v>
      </c>
      <c r="P790" s="2" t="e">
        <v>#N/A</v>
      </c>
      <c r="Q790" s="2" t="e">
        <v>#N/A</v>
      </c>
      <c r="R790" s="29" t="e">
        <f>IF(INDEX(#REF!,MATCH('data '!$B790,#REF!,0),MATCH('data '!R$3,#REF!,0))=0,"",INDEX(#REF!,MATCH('data '!$B790,#REF!,0),MATCH('data '!R$3,#REF!,0)))</f>
        <v>#REF!</v>
      </c>
      <c r="S790" s="29" t="e">
        <f>IF(INDEX(#REF!,MATCH('data '!$B790,#REF!,0),MATCH('data '!S$3,#REF!,0))=0,"",INDEX(#REF!,MATCH('data '!$B790,#REF!,0),MATCH('data '!S$3,#REF!,0)))</f>
        <v>#REF!</v>
      </c>
      <c r="T790" s="29" t="e">
        <f>IF(INDEX(#REF!,MATCH('data '!$B790,#REF!,0),MATCH('data '!T$3,#REF!,0))=0,"",INDEX(#REF!,MATCH('data '!$B790,#REF!,0),MATCH('data '!T$3,#REF!,0)))</f>
        <v>#REF!</v>
      </c>
      <c r="V790" s="25" t="s">
        <v>3504</v>
      </c>
      <c r="W790" s="25">
        <v>0</v>
      </c>
      <c r="AC790" s="8" t="e">
        <f>VLOOKUP(B790,#REF!,19,0)</f>
        <v>#REF!</v>
      </c>
      <c r="AP790" s="8" t="str">
        <f t="shared" si="32"/>
        <v>Not yet endorsed</v>
      </c>
      <c r="AQ790" s="10" t="b" cm="1">
        <f t="array" aca="1" ref="AQ790" ca="1">IF(AM790&gt;0,(TODAY()-AM790),IF(AL790&gt;0,(TODAY()-AL790),IF(AK790&gt;0,(TODAY()-AK790,IF(AI790&gt;0,(TODAY()-AI790),IF(AG790&gt;0,(TODAY()-AG790),IF(AF790&gt;0,(TODAY()-AF790),IF(X790&gt;0,(TODAY()-X790)," "))))))))</f>
        <v>0</v>
      </c>
      <c r="BD790" s="2" t="str">
        <f t="shared" si="33"/>
        <v>Not yet endorsed</v>
      </c>
      <c r="BE790" s="2" t="s">
        <v>75</v>
      </c>
      <c r="BG790" s="2" t="e">
        <v>#N/A</v>
      </c>
      <c r="BH790" s="2" t="e" vm="1">
        <v>#REF!</v>
      </c>
    </row>
    <row r="791" spans="2:60" ht="30" hidden="1" x14ac:dyDescent="0.25">
      <c r="B791" s="2" t="s">
        <v>3505</v>
      </c>
      <c r="C791" s="2" t="s">
        <v>3506</v>
      </c>
      <c r="D791" s="62" t="s">
        <v>3507</v>
      </c>
      <c r="E791" s="2" t="s">
        <v>5</v>
      </c>
      <c r="F791" s="2" t="s">
        <v>575</v>
      </c>
      <c r="G791" s="2" t="s">
        <v>1</v>
      </c>
      <c r="H791" s="2" t="s">
        <v>3445</v>
      </c>
      <c r="I791" s="2" t="s">
        <v>121</v>
      </c>
      <c r="J791" s="2" t="s">
        <v>3508</v>
      </c>
      <c r="K791" s="2" t="s">
        <v>2069</v>
      </c>
      <c r="L791" s="2" t="s">
        <v>3509</v>
      </c>
      <c r="M791" s="2">
        <v>0</v>
      </c>
      <c r="N791" s="2">
        <v>0</v>
      </c>
      <c r="O791" s="2">
        <v>0</v>
      </c>
      <c r="P791" s="2" t="e">
        <v>#N/A</v>
      </c>
      <c r="Q791" s="2" t="e">
        <v>#N/A</v>
      </c>
      <c r="R791" s="29" t="e">
        <f>IF(INDEX(#REF!,MATCH('data '!$B791,#REF!,0),MATCH('data '!R$3,#REF!,0))=0,"",INDEX(#REF!,MATCH('data '!$B791,#REF!,0),MATCH('data '!R$3,#REF!,0)))</f>
        <v>#REF!</v>
      </c>
      <c r="S791" s="29" t="e">
        <f>IF(INDEX(#REF!,MATCH('data '!$B791,#REF!,0),MATCH('data '!S$3,#REF!,0))=0,"",INDEX(#REF!,MATCH('data '!$B791,#REF!,0),MATCH('data '!S$3,#REF!,0)))</f>
        <v>#REF!</v>
      </c>
      <c r="T791" s="29" t="e">
        <f>IF(INDEX(#REF!,MATCH('data '!$B791,#REF!,0),MATCH('data '!T$3,#REF!,0))=0,"",INDEX(#REF!,MATCH('data '!$B791,#REF!,0),MATCH('data '!T$3,#REF!,0)))</f>
        <v>#REF!</v>
      </c>
      <c r="V791" s="25" t="s">
        <v>3504</v>
      </c>
      <c r="W791" s="25">
        <v>0</v>
      </c>
      <c r="AC791" s="8" t="e">
        <f>VLOOKUP(B791,#REF!,19,0)</f>
        <v>#REF!</v>
      </c>
      <c r="AE791" s="8" t="s">
        <v>3394</v>
      </c>
      <c r="AP791" s="8" t="str">
        <f>IF(AM791&gt;0,"Tempo Energized",IF(AL791&gt;0,"Tempo Permit Released",IF(AK791&gt;0,"COOP Surveyed",IF(AI791&gt;0,"PO Issued",IF(AG791&gt;0,"PQ Raised",IF(AE791&gt;0,"Vendor Allocated",IF(X791&gt;0,"BP Secured","Not yet endorsed")))))))</f>
        <v>Vendor Allocated</v>
      </c>
      <c r="AQ791" s="10" t="b" cm="1">
        <f t="array" aca="1" ref="AQ791" ca="1">IF(AM791&gt;0,(TODAY()-AM791),IF(AL791&gt;0,(TODAY()-AL791),IF(AK791&gt;0,(TODAY()-AK791,IF(AI791&gt;0,(TODAY()-AI791),IF(AG791&gt;0,(TODAY()-AG791),IF(AE791&gt;0,(TODAY()-AE791),IF(X791&gt;0,(TODAY()-X791)," "))))))))</f>
        <v>0</v>
      </c>
      <c r="BD791" s="2" t="str">
        <f>IF(BC791&gt;0,"Permanent Energized",IF(BB791&gt;0,"Bill deposit Paid",IF(BA791&gt;0,"Line Construction Completed",IF(AZ791&gt;0,"Line Construction Started",IF(AX791&gt;0,"PO Issued",IF(AV791&gt;0,"PQ Raised",IF(AU791&gt;0,"BoQ Approved",IF(AT791&gt;0,"BoQ Submitted",IF(AE791&gt;0,"Vendor Allocated",IF(X791&gt;0,"BP Secured",IF(U791&gt;0,"TSSR Approved","Not yet endorsed")))))))))))</f>
        <v>Vendor Allocated</v>
      </c>
      <c r="BE791" s="2" t="s">
        <v>75</v>
      </c>
      <c r="BG791" s="2" t="e">
        <v>#N/A</v>
      </c>
    </row>
    <row r="792" spans="2:60" hidden="1" x14ac:dyDescent="0.25">
      <c r="B792" s="2" t="s">
        <v>3510</v>
      </c>
      <c r="C792" s="2" t="s">
        <v>3511</v>
      </c>
      <c r="D792" s="44" t="s">
        <v>3512</v>
      </c>
      <c r="E792" s="2" t="s">
        <v>6</v>
      </c>
      <c r="F792" s="2">
        <v>0</v>
      </c>
      <c r="G792" s="2" t="s">
        <v>1</v>
      </c>
      <c r="H792" s="2" t="s">
        <v>111</v>
      </c>
      <c r="I792" s="2" t="s">
        <v>112</v>
      </c>
      <c r="J792" s="2" t="s">
        <v>113</v>
      </c>
      <c r="K792" s="2" t="s">
        <v>114</v>
      </c>
      <c r="L792" s="2">
        <v>0</v>
      </c>
      <c r="M792" s="2">
        <v>0</v>
      </c>
      <c r="N792" s="2">
        <v>0</v>
      </c>
      <c r="O792" s="2">
        <v>0</v>
      </c>
      <c r="P792" s="2" t="s">
        <v>72</v>
      </c>
      <c r="Q792" s="2">
        <v>0</v>
      </c>
      <c r="R792" s="29" t="e">
        <f>IF(INDEX(#REF!,MATCH('data '!$B792,#REF!,0),MATCH('data '!R$3,#REF!,0))=0,"",INDEX(#REF!,MATCH('data '!$B792,#REF!,0),MATCH('data '!R$3,#REF!,0)))</f>
        <v>#REF!</v>
      </c>
      <c r="S792" s="29" t="e">
        <f>IF(INDEX(#REF!,MATCH('data '!$B792,#REF!,0),MATCH('data '!S$3,#REF!,0))=0,"",INDEX(#REF!,MATCH('data '!$B792,#REF!,0),MATCH('data '!S$3,#REF!,0)))</f>
        <v>#REF!</v>
      </c>
      <c r="T792" s="29" t="e">
        <f>IF(INDEX(#REF!,MATCH('data '!$B792,#REF!,0),MATCH('data '!T$3,#REF!,0))=0,"",INDEX(#REF!,MATCH('data '!$B792,#REF!,0),MATCH('data '!T$3,#REF!,0)))</f>
        <v>#REF!</v>
      </c>
      <c r="V792" s="25" t="s">
        <v>74</v>
      </c>
      <c r="W792" s="25">
        <v>0</v>
      </c>
      <c r="AC792" s="8" t="e">
        <f>VLOOKUP(B792,#REF!,19,0)</f>
        <v>#REF!</v>
      </c>
      <c r="AP792" s="8" t="str">
        <f t="shared" si="32"/>
        <v>Not yet endorsed</v>
      </c>
      <c r="AQ792" s="10" t="b" cm="1">
        <f t="array" aca="1" ref="AQ792" ca="1">IF(AM792&gt;0,(TODAY()-AM792),IF(AL792&gt;0,(TODAY()-AL792),IF(AK792&gt;0,(TODAY()-AK792,IF(AI792&gt;0,(TODAY()-AI792),IF(AG792&gt;0,(TODAY()-AG792),IF(AF792&gt;0,(TODAY()-AF792),IF(X792&gt;0,(TODAY()-X792)," "))))))))</f>
        <v>0</v>
      </c>
      <c r="BD792" s="2" t="str">
        <f t="shared" si="33"/>
        <v>Not yet endorsed</v>
      </c>
      <c r="BE792" s="2" t="s">
        <v>75</v>
      </c>
      <c r="BG792" s="2" t="e">
        <v>#N/A</v>
      </c>
    </row>
    <row r="793" spans="2:60" hidden="1" x14ac:dyDescent="0.25">
      <c r="B793" s="2" t="s">
        <v>3513</v>
      </c>
      <c r="C793" s="2" t="s">
        <v>3514</v>
      </c>
      <c r="D793" s="44" t="s">
        <v>3515</v>
      </c>
      <c r="E793" s="2" t="s">
        <v>11</v>
      </c>
      <c r="F793" s="2" t="s">
        <v>1268</v>
      </c>
      <c r="G793" s="2" t="s">
        <v>1</v>
      </c>
      <c r="H793" s="2" t="s">
        <v>165</v>
      </c>
      <c r="I793" s="2" t="s">
        <v>68</v>
      </c>
      <c r="J793" s="2" t="s">
        <v>173</v>
      </c>
      <c r="K793" s="2" t="s">
        <v>303</v>
      </c>
      <c r="L793" s="2" t="s">
        <v>3102</v>
      </c>
      <c r="M793" s="2">
        <v>0</v>
      </c>
      <c r="N793" s="2">
        <v>7.8376999999999999</v>
      </c>
      <c r="O793" s="2">
        <v>125.1665</v>
      </c>
      <c r="P793" s="2" t="s">
        <v>72</v>
      </c>
      <c r="Q793" s="2">
        <v>0</v>
      </c>
      <c r="R793" s="29" t="e">
        <f>IF(INDEX(#REF!,MATCH('data '!$B793,#REF!,0),MATCH('data '!R$3,#REF!,0))=0,"",INDEX(#REF!,MATCH('data '!$B793,#REF!,0),MATCH('data '!R$3,#REF!,0)))</f>
        <v>#REF!</v>
      </c>
      <c r="S793" s="29" t="e">
        <f>IF(INDEX(#REF!,MATCH('data '!$B793,#REF!,0),MATCH('data '!S$3,#REF!,0))=0,"",INDEX(#REF!,MATCH('data '!$B793,#REF!,0),MATCH('data '!S$3,#REF!,0)))</f>
        <v>#REF!</v>
      </c>
      <c r="T793" s="29" t="e">
        <f>IF(INDEX(#REF!,MATCH('data '!$B793,#REF!,0),MATCH('data '!T$3,#REF!,0))=0,"",INDEX(#REF!,MATCH('data '!$B793,#REF!,0),MATCH('data '!T$3,#REF!,0)))</f>
        <v>#REF!</v>
      </c>
      <c r="U793" s="8" t="s">
        <v>25</v>
      </c>
      <c r="V793" s="25" t="s">
        <v>74</v>
      </c>
      <c r="W793" s="25">
        <v>0</v>
      </c>
      <c r="AC793" s="8" t="e">
        <f>VLOOKUP(B793,#REF!,19,0)</f>
        <v>#REF!</v>
      </c>
      <c r="AP793" s="8" t="str">
        <f t="shared" si="32"/>
        <v>Not yet endorsed</v>
      </c>
      <c r="AQ793" s="10" t="b" cm="1">
        <f t="array" aca="1" ref="AQ793" ca="1">IF(AM793&gt;0,(TODAY()-AM793),IF(AL793&gt;0,(TODAY()-AL793),IF(AK793&gt;0,(TODAY()-AK793,IF(AI793&gt;0,(TODAY()-AI793),IF(AG793&gt;0,(TODAY()-AG793),IF(AF793&gt;0,(TODAY()-AF793),IF(X793&gt;0,(TODAY()-X793)," "))))))))</f>
        <v>0</v>
      </c>
      <c r="BD793" s="2" t="str">
        <f t="shared" si="33"/>
        <v>TSSR Approved</v>
      </c>
      <c r="BE793" s="2" t="e">
        <v>#VALUE!</v>
      </c>
      <c r="BG793" s="2" t="e">
        <v>#N/A</v>
      </c>
    </row>
    <row r="794" spans="2:60" hidden="1" x14ac:dyDescent="0.25">
      <c r="B794" s="2" t="s">
        <v>3516</v>
      </c>
      <c r="C794" s="2" t="s">
        <v>3517</v>
      </c>
      <c r="D794" s="44" t="s">
        <v>3518</v>
      </c>
      <c r="E794" s="2" t="s">
        <v>6</v>
      </c>
      <c r="F794" s="2">
        <v>0</v>
      </c>
      <c r="G794" s="2" t="s">
        <v>1</v>
      </c>
      <c r="H794" s="2" t="s">
        <v>111</v>
      </c>
      <c r="I794" s="2" t="s">
        <v>112</v>
      </c>
      <c r="J794" s="2" t="s">
        <v>113</v>
      </c>
      <c r="K794" s="2" t="s">
        <v>114</v>
      </c>
      <c r="L794" s="2">
        <v>0</v>
      </c>
      <c r="M794" s="2">
        <v>0</v>
      </c>
      <c r="N794" s="2">
        <v>0</v>
      </c>
      <c r="O794" s="2">
        <v>0</v>
      </c>
      <c r="P794" s="2" t="s">
        <v>72</v>
      </c>
      <c r="Q794" s="2">
        <v>0</v>
      </c>
      <c r="R794" s="29" t="e">
        <f>IF(INDEX(#REF!,MATCH('data '!$B794,#REF!,0),MATCH('data '!R$3,#REF!,0))=0,"",INDEX(#REF!,MATCH('data '!$B794,#REF!,0),MATCH('data '!R$3,#REF!,0)))</f>
        <v>#REF!</v>
      </c>
      <c r="S794" s="29" t="e">
        <f>IF(INDEX(#REF!,MATCH('data '!$B794,#REF!,0),MATCH('data '!S$3,#REF!,0))=0,"",INDEX(#REF!,MATCH('data '!$B794,#REF!,0),MATCH('data '!S$3,#REF!,0)))</f>
        <v>#REF!</v>
      </c>
      <c r="T794" s="29" t="e">
        <f>IF(INDEX(#REF!,MATCH('data '!$B794,#REF!,0),MATCH('data '!T$3,#REF!,0))=0,"",INDEX(#REF!,MATCH('data '!$B794,#REF!,0),MATCH('data '!T$3,#REF!,0)))</f>
        <v>#REF!</v>
      </c>
      <c r="V794" s="25" t="s">
        <v>74</v>
      </c>
      <c r="W794" s="25">
        <v>0</v>
      </c>
      <c r="AC794" s="8" t="e">
        <f>VLOOKUP(B794,#REF!,19,0)</f>
        <v>#REF!</v>
      </c>
      <c r="AP794" s="8" t="str">
        <f t="shared" si="32"/>
        <v>Not yet endorsed</v>
      </c>
      <c r="AQ794" s="10" t="b" cm="1">
        <f t="array" aca="1" ref="AQ794" ca="1">IF(AM794&gt;0,(TODAY()-AM794),IF(AL794&gt;0,(TODAY()-AL794),IF(AK794&gt;0,(TODAY()-AK794,IF(AI794&gt;0,(TODAY()-AI794),IF(AG794&gt;0,(TODAY()-AG794),IF(AF794&gt;0,(TODAY()-AF794),IF(X794&gt;0,(TODAY()-X794)," "))))))))</f>
        <v>0</v>
      </c>
      <c r="BD794" s="2" t="str">
        <f t="shared" si="33"/>
        <v>Not yet endorsed</v>
      </c>
      <c r="BE794" s="2" t="s">
        <v>75</v>
      </c>
      <c r="BG794" s="2" t="e">
        <v>#N/A</v>
      </c>
    </row>
    <row r="795" spans="2:60" hidden="1" x14ac:dyDescent="0.25">
      <c r="B795" s="2" t="s">
        <v>3519</v>
      </c>
      <c r="C795" s="2" t="s">
        <v>3520</v>
      </c>
      <c r="D795" s="44" t="s">
        <v>3521</v>
      </c>
      <c r="E795" s="2" t="s">
        <v>6</v>
      </c>
      <c r="F795" s="2" t="s">
        <v>110</v>
      </c>
      <c r="G795" s="2" t="s">
        <v>1</v>
      </c>
      <c r="H795" s="2" t="s">
        <v>111</v>
      </c>
      <c r="I795" s="2" t="s">
        <v>112</v>
      </c>
      <c r="J795" s="2" t="s">
        <v>113</v>
      </c>
      <c r="K795" s="2" t="s">
        <v>114</v>
      </c>
      <c r="L795" s="2" t="s">
        <v>115</v>
      </c>
      <c r="M795" s="2" t="s">
        <v>3522</v>
      </c>
      <c r="N795" s="2">
        <v>0</v>
      </c>
      <c r="O795" s="2">
        <v>0</v>
      </c>
      <c r="P795" s="2" t="s">
        <v>72</v>
      </c>
      <c r="Q795" s="2" t="s">
        <v>73</v>
      </c>
      <c r="R795" s="29" t="e">
        <f>IF(INDEX(#REF!,MATCH('data '!$B795,#REF!,0),MATCH('data '!R$3,#REF!,0))=0,"",INDEX(#REF!,MATCH('data '!$B795,#REF!,0),MATCH('data '!R$3,#REF!,0)))</f>
        <v>#REF!</v>
      </c>
      <c r="S795" s="29" t="e">
        <f>IF(INDEX(#REF!,MATCH('data '!$B795,#REF!,0),MATCH('data '!S$3,#REF!,0))=0,"",INDEX(#REF!,MATCH('data '!$B795,#REF!,0),MATCH('data '!S$3,#REF!,0)))</f>
        <v>#REF!</v>
      </c>
      <c r="T795" s="29" t="e">
        <f>IF(INDEX(#REF!,MATCH('data '!$B795,#REF!,0),MATCH('data '!T$3,#REF!,0))=0,"",INDEX(#REF!,MATCH('data '!$B795,#REF!,0),MATCH('data '!T$3,#REF!,0)))</f>
        <v>#REF!</v>
      </c>
      <c r="V795" s="25" t="s">
        <v>74</v>
      </c>
      <c r="W795" s="25">
        <v>0</v>
      </c>
      <c r="AC795" s="8" t="e">
        <f>VLOOKUP(B795,#REF!,19,0)</f>
        <v>#REF!</v>
      </c>
      <c r="AP795" s="8" t="str">
        <f t="shared" si="32"/>
        <v>Not yet endorsed</v>
      </c>
      <c r="AQ795" s="10" t="b" cm="1">
        <f t="array" aca="1" ref="AQ795" ca="1">IF(AM795&gt;0,(TODAY()-AM795),IF(AL795&gt;0,(TODAY()-AL795),IF(AK795&gt;0,(TODAY()-AK795,IF(AI795&gt;0,(TODAY()-AI795),IF(AG795&gt;0,(TODAY()-AG795),IF(AF795&gt;0,(TODAY()-AF795),IF(X795&gt;0,(TODAY()-X795)," "))))))))</f>
        <v>0</v>
      </c>
      <c r="BD795" s="2" t="str">
        <f t="shared" si="33"/>
        <v>Not yet endorsed</v>
      </c>
      <c r="BE795" s="2" t="s">
        <v>75</v>
      </c>
      <c r="BG795" s="2" t="e">
        <v>#N/A</v>
      </c>
    </row>
    <row r="796" spans="2:60" hidden="1" x14ac:dyDescent="0.25">
      <c r="B796" s="2" t="s">
        <v>3523</v>
      </c>
      <c r="C796" s="2" t="s">
        <v>3524</v>
      </c>
      <c r="D796" s="44" t="s">
        <v>3525</v>
      </c>
      <c r="E796" s="2" t="s">
        <v>6</v>
      </c>
      <c r="F796" s="2">
        <v>0</v>
      </c>
      <c r="G796" s="2" t="s">
        <v>1</v>
      </c>
      <c r="H796" s="2" t="s">
        <v>111</v>
      </c>
      <c r="I796" s="2" t="s">
        <v>112</v>
      </c>
      <c r="J796" s="2" t="s">
        <v>344</v>
      </c>
      <c r="K796" s="2" t="s">
        <v>620</v>
      </c>
      <c r="L796" s="2">
        <v>0</v>
      </c>
      <c r="M796" s="2">
        <v>0</v>
      </c>
      <c r="N796" s="2">
        <v>0</v>
      </c>
      <c r="O796" s="2">
        <v>0</v>
      </c>
      <c r="P796" s="2" t="s">
        <v>72</v>
      </c>
      <c r="Q796" s="2">
        <v>0</v>
      </c>
      <c r="R796" s="29" t="e">
        <f>IF(INDEX(#REF!,MATCH('data '!$B796,#REF!,0),MATCH('data '!R$3,#REF!,0))=0,"",INDEX(#REF!,MATCH('data '!$B796,#REF!,0),MATCH('data '!R$3,#REF!,0)))</f>
        <v>#REF!</v>
      </c>
      <c r="S796" s="29" t="e">
        <f>IF(INDEX(#REF!,MATCH('data '!$B796,#REF!,0),MATCH('data '!S$3,#REF!,0))=0,"",INDEX(#REF!,MATCH('data '!$B796,#REF!,0),MATCH('data '!S$3,#REF!,0)))</f>
        <v>#REF!</v>
      </c>
      <c r="T796" s="29" t="e">
        <f>IF(INDEX(#REF!,MATCH('data '!$B796,#REF!,0),MATCH('data '!T$3,#REF!,0))=0,"",INDEX(#REF!,MATCH('data '!$B796,#REF!,0),MATCH('data '!T$3,#REF!,0)))</f>
        <v>#REF!</v>
      </c>
      <c r="V796" s="25" t="s">
        <v>74</v>
      </c>
      <c r="W796" s="25">
        <v>0</v>
      </c>
      <c r="AC796" s="8" t="e">
        <f>VLOOKUP(B796,#REF!,19,0)</f>
        <v>#REF!</v>
      </c>
      <c r="AP796" s="8" t="str">
        <f t="shared" si="32"/>
        <v>Not yet endorsed</v>
      </c>
      <c r="AQ796" s="10" t="b" cm="1">
        <f t="array" aca="1" ref="AQ796" ca="1">IF(AM796&gt;0,(TODAY()-AM796),IF(AL796&gt;0,(TODAY()-AL796),IF(AK796&gt;0,(TODAY()-AK796,IF(AI796&gt;0,(TODAY()-AI796),IF(AG796&gt;0,(TODAY()-AG796),IF(AF796&gt;0,(TODAY()-AF796),IF(X796&gt;0,(TODAY()-X796)," "))))))))</f>
        <v>0</v>
      </c>
      <c r="BD796" s="2" t="str">
        <f t="shared" si="33"/>
        <v>Not yet endorsed</v>
      </c>
      <c r="BE796" s="2" t="s">
        <v>75</v>
      </c>
      <c r="BG796" s="2" t="e">
        <v>#N/A</v>
      </c>
    </row>
    <row r="797" spans="2:60" hidden="1" x14ac:dyDescent="0.25">
      <c r="B797" s="2" t="s">
        <v>3526</v>
      </c>
      <c r="C797" s="2" t="s">
        <v>3527</v>
      </c>
      <c r="D797" s="44" t="s">
        <v>3528</v>
      </c>
      <c r="E797" s="2" t="s">
        <v>6</v>
      </c>
      <c r="F797" s="2">
        <v>0</v>
      </c>
      <c r="G797" s="2" t="s">
        <v>1</v>
      </c>
      <c r="H797" s="2" t="s">
        <v>111</v>
      </c>
      <c r="I797" s="2" t="s">
        <v>112</v>
      </c>
      <c r="J797" s="2" t="s">
        <v>344</v>
      </c>
      <c r="K797" s="2" t="s">
        <v>620</v>
      </c>
      <c r="L797" s="2">
        <v>0</v>
      </c>
      <c r="M797" s="2">
        <v>0</v>
      </c>
      <c r="N797" s="2">
        <v>0</v>
      </c>
      <c r="O797" s="2">
        <v>0</v>
      </c>
      <c r="P797" s="2" t="s">
        <v>72</v>
      </c>
      <c r="Q797" s="2">
        <v>0</v>
      </c>
      <c r="R797" s="29" t="e">
        <f>IF(INDEX(#REF!,MATCH('data '!$B797,#REF!,0),MATCH('data '!R$3,#REF!,0))=0,"",INDEX(#REF!,MATCH('data '!$B797,#REF!,0),MATCH('data '!R$3,#REF!,0)))</f>
        <v>#REF!</v>
      </c>
      <c r="S797" s="29" t="e">
        <f>IF(INDEX(#REF!,MATCH('data '!$B797,#REF!,0),MATCH('data '!S$3,#REF!,0))=0,"",INDEX(#REF!,MATCH('data '!$B797,#REF!,0),MATCH('data '!S$3,#REF!,0)))</f>
        <v>#REF!</v>
      </c>
      <c r="T797" s="29" t="e">
        <f>IF(INDEX(#REF!,MATCH('data '!$B797,#REF!,0),MATCH('data '!T$3,#REF!,0))=0,"",INDEX(#REF!,MATCH('data '!$B797,#REF!,0),MATCH('data '!T$3,#REF!,0)))</f>
        <v>#REF!</v>
      </c>
      <c r="V797" s="25" t="s">
        <v>74</v>
      </c>
      <c r="W797" s="25">
        <v>0</v>
      </c>
      <c r="AC797" s="8" t="e">
        <f>VLOOKUP(B797,#REF!,19,0)</f>
        <v>#REF!</v>
      </c>
      <c r="AP797" s="8" t="str">
        <f t="shared" si="32"/>
        <v>Not yet endorsed</v>
      </c>
      <c r="AQ797" s="10" t="b" cm="1">
        <f t="array" aca="1" ref="AQ797" ca="1">IF(AM797&gt;0,(TODAY()-AM797),IF(AL797&gt;0,(TODAY()-AL797),IF(AK797&gt;0,(TODAY()-AK797,IF(AI797&gt;0,(TODAY()-AI797),IF(AG797&gt;0,(TODAY()-AG797),IF(AF797&gt;0,(TODAY()-AF797),IF(X797&gt;0,(TODAY()-X797)," "))))))))</f>
        <v>0</v>
      </c>
      <c r="BD797" s="2" t="str">
        <f t="shared" si="33"/>
        <v>Not yet endorsed</v>
      </c>
      <c r="BE797" s="2" t="s">
        <v>75</v>
      </c>
      <c r="BG797" s="2" t="e">
        <v>#N/A</v>
      </c>
    </row>
    <row r="798" spans="2:60" hidden="1" x14ac:dyDescent="0.25">
      <c r="B798" s="2" t="s">
        <v>3529</v>
      </c>
      <c r="C798" s="2" t="s">
        <v>3530</v>
      </c>
      <c r="D798" s="44" t="s">
        <v>3531</v>
      </c>
      <c r="E798" s="2" t="s">
        <v>6</v>
      </c>
      <c r="F798" s="2" t="s">
        <v>110</v>
      </c>
      <c r="G798" s="2" t="s">
        <v>1</v>
      </c>
      <c r="H798" s="2" t="s">
        <v>111</v>
      </c>
      <c r="I798" s="2" t="s">
        <v>112</v>
      </c>
      <c r="J798" s="2" t="s">
        <v>113</v>
      </c>
      <c r="K798" s="2" t="s">
        <v>114</v>
      </c>
      <c r="L798" s="2" t="s">
        <v>115</v>
      </c>
      <c r="M798" s="2">
        <v>0</v>
      </c>
      <c r="N798" s="2">
        <v>0</v>
      </c>
      <c r="O798" s="2">
        <v>0</v>
      </c>
      <c r="P798" s="2" t="s">
        <v>72</v>
      </c>
      <c r="Q798" s="2" t="s">
        <v>73</v>
      </c>
      <c r="R798" s="29" t="e">
        <f>IF(INDEX(#REF!,MATCH('data '!$B798,#REF!,0),MATCH('data '!R$3,#REF!,0))=0,"",INDEX(#REF!,MATCH('data '!$B798,#REF!,0),MATCH('data '!R$3,#REF!,0)))</f>
        <v>#REF!</v>
      </c>
      <c r="S798" s="29" t="e">
        <f>IF(INDEX(#REF!,MATCH('data '!$B798,#REF!,0),MATCH('data '!S$3,#REF!,0))=0,"",INDEX(#REF!,MATCH('data '!$B798,#REF!,0),MATCH('data '!S$3,#REF!,0)))</f>
        <v>#REF!</v>
      </c>
      <c r="T798" s="29" t="e">
        <f>IF(INDEX(#REF!,MATCH('data '!$B798,#REF!,0),MATCH('data '!T$3,#REF!,0))=0,"",INDEX(#REF!,MATCH('data '!$B798,#REF!,0),MATCH('data '!T$3,#REF!,0)))</f>
        <v>#REF!</v>
      </c>
      <c r="V798" s="25" t="s">
        <v>74</v>
      </c>
      <c r="W798" s="25">
        <v>0</v>
      </c>
      <c r="AC798" s="8" t="e">
        <f>VLOOKUP(B798,#REF!,19,0)</f>
        <v>#REF!</v>
      </c>
      <c r="AP798" s="8" t="str">
        <f t="shared" si="32"/>
        <v>Not yet endorsed</v>
      </c>
      <c r="AQ798" s="10" t="b" cm="1">
        <f t="array" aca="1" ref="AQ798" ca="1">IF(AM798&gt;0,(TODAY()-AM798),IF(AL798&gt;0,(TODAY()-AL798),IF(AK798&gt;0,(TODAY()-AK798,IF(AI798&gt;0,(TODAY()-AI798),IF(AG798&gt;0,(TODAY()-AG798),IF(AF798&gt;0,(TODAY()-AF798),IF(X798&gt;0,(TODAY()-X798)," "))))))))</f>
        <v>0</v>
      </c>
      <c r="BD798" s="2" t="str">
        <f t="shared" si="33"/>
        <v>Not yet endorsed</v>
      </c>
      <c r="BE798" s="2" t="s">
        <v>75</v>
      </c>
      <c r="BG798" s="2" t="e">
        <v>#N/A</v>
      </c>
    </row>
    <row r="799" spans="2:60" hidden="1" x14ac:dyDescent="0.25">
      <c r="B799" s="2" t="s">
        <v>3532</v>
      </c>
      <c r="C799" s="2" t="s">
        <v>3533</v>
      </c>
      <c r="D799" s="44" t="s">
        <v>3534</v>
      </c>
      <c r="E799" s="2" t="s">
        <v>6</v>
      </c>
      <c r="F799" s="2" t="s">
        <v>110</v>
      </c>
      <c r="G799" s="2" t="s">
        <v>1</v>
      </c>
      <c r="H799" s="2" t="s">
        <v>111</v>
      </c>
      <c r="I799" s="2" t="s">
        <v>112</v>
      </c>
      <c r="J799" s="2" t="s">
        <v>113</v>
      </c>
      <c r="K799" s="2" t="s">
        <v>114</v>
      </c>
      <c r="L799" s="2" t="s">
        <v>115</v>
      </c>
      <c r="M799" s="2">
        <v>0</v>
      </c>
      <c r="N799" s="2">
        <v>0</v>
      </c>
      <c r="O799" s="2">
        <v>0</v>
      </c>
      <c r="P799" s="2" t="s">
        <v>72</v>
      </c>
      <c r="Q799" s="2" t="s">
        <v>73</v>
      </c>
      <c r="R799" s="29" t="e">
        <f>IF(INDEX(#REF!,MATCH('data '!$B799,#REF!,0),MATCH('data '!R$3,#REF!,0))=0,"",INDEX(#REF!,MATCH('data '!$B799,#REF!,0),MATCH('data '!R$3,#REF!,0)))</f>
        <v>#REF!</v>
      </c>
      <c r="S799" s="29" t="e">
        <f>IF(INDEX(#REF!,MATCH('data '!$B799,#REF!,0),MATCH('data '!S$3,#REF!,0))=0,"",INDEX(#REF!,MATCH('data '!$B799,#REF!,0),MATCH('data '!S$3,#REF!,0)))</f>
        <v>#REF!</v>
      </c>
      <c r="T799" s="29" t="e">
        <f>IF(INDEX(#REF!,MATCH('data '!$B799,#REF!,0),MATCH('data '!T$3,#REF!,0))=0,"",INDEX(#REF!,MATCH('data '!$B799,#REF!,0),MATCH('data '!T$3,#REF!,0)))</f>
        <v>#REF!</v>
      </c>
      <c r="V799" s="25" t="s">
        <v>74</v>
      </c>
      <c r="W799" s="25">
        <v>0</v>
      </c>
      <c r="AC799" s="8" t="e">
        <f>VLOOKUP(B799,#REF!,19,0)</f>
        <v>#REF!</v>
      </c>
      <c r="AP799" s="8" t="str">
        <f t="shared" si="32"/>
        <v>Not yet endorsed</v>
      </c>
      <c r="AQ799" s="10" t="b" cm="1">
        <f t="array" aca="1" ref="AQ799" ca="1">IF(AM799&gt;0,(TODAY()-AM799),IF(AL799&gt;0,(TODAY()-AL799),IF(AK799&gt;0,(TODAY()-AK799,IF(AI799&gt;0,(TODAY()-AI799),IF(AG799&gt;0,(TODAY()-AG799),IF(AF799&gt;0,(TODAY()-AF799),IF(X799&gt;0,(TODAY()-X799)," "))))))))</f>
        <v>0</v>
      </c>
      <c r="BD799" s="2" t="str">
        <f t="shared" si="33"/>
        <v>Not yet endorsed</v>
      </c>
      <c r="BE799" s="2" t="s">
        <v>75</v>
      </c>
      <c r="BG799" s="2" t="e">
        <v>#N/A</v>
      </c>
    </row>
    <row r="800" spans="2:60" hidden="1" x14ac:dyDescent="0.25">
      <c r="B800" s="2" t="s">
        <v>3535</v>
      </c>
      <c r="C800" s="2" t="s">
        <v>3536</v>
      </c>
      <c r="D800" s="44" t="s">
        <v>3537</v>
      </c>
      <c r="E800" s="2" t="s">
        <v>6</v>
      </c>
      <c r="F800" s="2" t="s">
        <v>110</v>
      </c>
      <c r="G800" s="2" t="s">
        <v>1</v>
      </c>
      <c r="H800" s="2" t="s">
        <v>111</v>
      </c>
      <c r="I800" s="2" t="s">
        <v>112</v>
      </c>
      <c r="J800" s="2" t="s">
        <v>113</v>
      </c>
      <c r="K800" s="2" t="s">
        <v>114</v>
      </c>
      <c r="L800" s="2" t="s">
        <v>3455</v>
      </c>
      <c r="M800" s="2">
        <v>0</v>
      </c>
      <c r="N800" s="2">
        <v>0</v>
      </c>
      <c r="O800" s="2">
        <v>0</v>
      </c>
      <c r="P800" s="2" t="s">
        <v>72</v>
      </c>
      <c r="Q800" s="2" t="s">
        <v>73</v>
      </c>
      <c r="R800" s="29" t="e">
        <f>IF(INDEX(#REF!,MATCH('data '!$B800,#REF!,0),MATCH('data '!R$3,#REF!,0))=0,"",INDEX(#REF!,MATCH('data '!$B800,#REF!,0),MATCH('data '!R$3,#REF!,0)))</f>
        <v>#REF!</v>
      </c>
      <c r="S800" s="29" t="e">
        <f>IF(INDEX(#REF!,MATCH('data '!$B800,#REF!,0),MATCH('data '!S$3,#REF!,0))=0,"",INDEX(#REF!,MATCH('data '!$B800,#REF!,0),MATCH('data '!S$3,#REF!,0)))</f>
        <v>#REF!</v>
      </c>
      <c r="T800" s="29" t="e">
        <f>IF(INDEX(#REF!,MATCH('data '!$B800,#REF!,0),MATCH('data '!T$3,#REF!,0))=0,"",INDEX(#REF!,MATCH('data '!$B800,#REF!,0),MATCH('data '!T$3,#REF!,0)))</f>
        <v>#REF!</v>
      </c>
      <c r="V800" s="25" t="s">
        <v>74</v>
      </c>
      <c r="W800" s="25">
        <v>0</v>
      </c>
      <c r="AC800" s="8" t="e">
        <f>VLOOKUP(B800,#REF!,19,0)</f>
        <v>#REF!</v>
      </c>
      <c r="AP800" s="8" t="str">
        <f t="shared" si="32"/>
        <v>Not yet endorsed</v>
      </c>
      <c r="AQ800" s="10" t="b" cm="1">
        <f t="array" aca="1" ref="AQ800" ca="1">IF(AM800&gt;0,(TODAY()-AM800),IF(AL800&gt;0,(TODAY()-AL800),IF(AK800&gt;0,(TODAY()-AK800,IF(AI800&gt;0,(TODAY()-AI800),IF(AG800&gt;0,(TODAY()-AG800),IF(AF800&gt;0,(TODAY()-AF800),IF(X800&gt;0,(TODAY()-X800)," "))))))))</f>
        <v>0</v>
      </c>
      <c r="BD800" s="2" t="str">
        <f t="shared" si="33"/>
        <v>Not yet endorsed</v>
      </c>
      <c r="BE800" s="2" t="s">
        <v>75</v>
      </c>
      <c r="BG800" s="2" t="e">
        <v>#N/A</v>
      </c>
    </row>
    <row r="801" spans="2:60" hidden="1" x14ac:dyDescent="0.25">
      <c r="B801" s="2" t="s">
        <v>3538</v>
      </c>
      <c r="C801" s="2" t="s">
        <v>3539</v>
      </c>
      <c r="D801" s="44" t="s">
        <v>3540</v>
      </c>
      <c r="E801" s="2" t="s">
        <v>6</v>
      </c>
      <c r="F801" s="2">
        <v>0</v>
      </c>
      <c r="G801" s="2" t="s">
        <v>1</v>
      </c>
      <c r="H801" s="2" t="s">
        <v>111</v>
      </c>
      <c r="I801" s="2" t="s">
        <v>112</v>
      </c>
      <c r="J801" s="2" t="s">
        <v>113</v>
      </c>
      <c r="K801" s="2" t="s">
        <v>114</v>
      </c>
      <c r="L801" s="2">
        <v>0</v>
      </c>
      <c r="M801" s="2">
        <v>0</v>
      </c>
      <c r="N801" s="2">
        <v>0</v>
      </c>
      <c r="O801" s="2">
        <v>0</v>
      </c>
      <c r="P801" s="2" t="s">
        <v>72</v>
      </c>
      <c r="Q801" s="2">
        <v>0</v>
      </c>
      <c r="R801" s="29" t="e">
        <f>IF(INDEX(#REF!,MATCH('data '!$B801,#REF!,0),MATCH('data '!R$3,#REF!,0))=0,"",INDEX(#REF!,MATCH('data '!$B801,#REF!,0),MATCH('data '!R$3,#REF!,0)))</f>
        <v>#REF!</v>
      </c>
      <c r="S801" s="29" t="e">
        <f>IF(INDEX(#REF!,MATCH('data '!$B801,#REF!,0),MATCH('data '!S$3,#REF!,0))=0,"",INDEX(#REF!,MATCH('data '!$B801,#REF!,0),MATCH('data '!S$3,#REF!,0)))</f>
        <v>#REF!</v>
      </c>
      <c r="T801" s="29" t="e">
        <f>IF(INDEX(#REF!,MATCH('data '!$B801,#REF!,0),MATCH('data '!T$3,#REF!,0))=0,"",INDEX(#REF!,MATCH('data '!$B801,#REF!,0),MATCH('data '!T$3,#REF!,0)))</f>
        <v>#REF!</v>
      </c>
      <c r="V801" s="25" t="s">
        <v>74</v>
      </c>
      <c r="W801" s="25">
        <v>0</v>
      </c>
      <c r="AC801" s="8" t="e">
        <f>VLOOKUP(B801,#REF!,19,0)</f>
        <v>#REF!</v>
      </c>
      <c r="AP801" s="8" t="str">
        <f t="shared" si="32"/>
        <v>Not yet endorsed</v>
      </c>
      <c r="AQ801" s="10" t="b" cm="1">
        <f t="array" aca="1" ref="AQ801" ca="1">IF(AM801&gt;0,(TODAY()-AM801),IF(AL801&gt;0,(TODAY()-AL801),IF(AK801&gt;0,(TODAY()-AK801,IF(AI801&gt;0,(TODAY()-AI801),IF(AG801&gt;0,(TODAY()-AG801),IF(AF801&gt;0,(TODAY()-AF801),IF(X801&gt;0,(TODAY()-X801)," "))))))))</f>
        <v>0</v>
      </c>
      <c r="BD801" s="2" t="str">
        <f t="shared" si="33"/>
        <v>Not yet endorsed</v>
      </c>
      <c r="BE801" s="2" t="s">
        <v>75</v>
      </c>
      <c r="BG801" s="2" t="e">
        <v>#N/A</v>
      </c>
    </row>
    <row r="802" spans="2:60" hidden="1" x14ac:dyDescent="0.25">
      <c r="B802" s="2" t="s">
        <v>3541</v>
      </c>
      <c r="C802" s="2" t="s">
        <v>3542</v>
      </c>
      <c r="D802" s="44" t="s">
        <v>3543</v>
      </c>
      <c r="E802" s="2" t="s">
        <v>6</v>
      </c>
      <c r="F802" s="2" t="s">
        <v>110</v>
      </c>
      <c r="G802" s="2" t="s">
        <v>1</v>
      </c>
      <c r="H802" s="2" t="s">
        <v>111</v>
      </c>
      <c r="I802" s="2" t="s">
        <v>112</v>
      </c>
      <c r="J802" s="2" t="s">
        <v>113</v>
      </c>
      <c r="K802" s="2" t="s">
        <v>114</v>
      </c>
      <c r="L802" s="2" t="s">
        <v>1029</v>
      </c>
      <c r="M802" s="2">
        <v>0</v>
      </c>
      <c r="N802" s="2">
        <v>0</v>
      </c>
      <c r="O802" s="2">
        <v>0</v>
      </c>
      <c r="P802" s="2" t="s">
        <v>72</v>
      </c>
      <c r="Q802" s="2" t="s">
        <v>73</v>
      </c>
      <c r="R802" s="29" t="e">
        <f>IF(INDEX(#REF!,MATCH('data '!$B802,#REF!,0),MATCH('data '!R$3,#REF!,0))=0,"",INDEX(#REF!,MATCH('data '!$B802,#REF!,0),MATCH('data '!R$3,#REF!,0)))</f>
        <v>#REF!</v>
      </c>
      <c r="S802" s="29" t="e">
        <f>IF(INDEX(#REF!,MATCH('data '!$B802,#REF!,0),MATCH('data '!S$3,#REF!,0))=0,"",INDEX(#REF!,MATCH('data '!$B802,#REF!,0),MATCH('data '!S$3,#REF!,0)))</f>
        <v>#REF!</v>
      </c>
      <c r="T802" s="29" t="e">
        <f>IF(INDEX(#REF!,MATCH('data '!$B802,#REF!,0),MATCH('data '!T$3,#REF!,0))=0,"",INDEX(#REF!,MATCH('data '!$B802,#REF!,0),MATCH('data '!T$3,#REF!,0)))</f>
        <v>#REF!</v>
      </c>
      <c r="V802" s="25" t="s">
        <v>74</v>
      </c>
      <c r="W802" s="25">
        <v>0</v>
      </c>
      <c r="AC802" s="8" t="e">
        <f>VLOOKUP(B802,#REF!,19,0)</f>
        <v>#REF!</v>
      </c>
      <c r="AP802" s="8" t="str">
        <f t="shared" si="32"/>
        <v>Not yet endorsed</v>
      </c>
      <c r="AQ802" s="10" t="b" cm="1">
        <f t="array" aca="1" ref="AQ802" ca="1">IF(AM802&gt;0,(TODAY()-AM802),IF(AL802&gt;0,(TODAY()-AL802),IF(AK802&gt;0,(TODAY()-AK802,IF(AI802&gt;0,(TODAY()-AI802),IF(AG802&gt;0,(TODAY()-AG802),IF(AF802&gt;0,(TODAY()-AF802),IF(X802&gt;0,(TODAY()-X802)," "))))))))</f>
        <v>0</v>
      </c>
      <c r="BD802" s="2" t="str">
        <f t="shared" si="33"/>
        <v>Not yet endorsed</v>
      </c>
      <c r="BE802" s="2" t="s">
        <v>75</v>
      </c>
      <c r="BG802" s="2" t="e">
        <v>#N/A</v>
      </c>
    </row>
    <row r="803" spans="2:60" hidden="1" x14ac:dyDescent="0.25">
      <c r="B803" s="2" t="s">
        <v>3544</v>
      </c>
      <c r="C803" s="2" t="s">
        <v>3545</v>
      </c>
      <c r="D803" s="44" t="s">
        <v>3546</v>
      </c>
      <c r="E803" s="2" t="s">
        <v>6</v>
      </c>
      <c r="F803" s="2">
        <v>0</v>
      </c>
      <c r="G803" s="2" t="s">
        <v>1</v>
      </c>
      <c r="H803" s="2" t="s">
        <v>111</v>
      </c>
      <c r="I803" s="2" t="s">
        <v>112</v>
      </c>
      <c r="J803" s="2" t="s">
        <v>113</v>
      </c>
      <c r="K803" s="2" t="s">
        <v>114</v>
      </c>
      <c r="L803" s="2">
        <v>0</v>
      </c>
      <c r="M803" s="2">
        <v>0</v>
      </c>
      <c r="N803" s="2">
        <v>0</v>
      </c>
      <c r="O803" s="2">
        <v>0</v>
      </c>
      <c r="P803" s="2" t="s">
        <v>72</v>
      </c>
      <c r="Q803" s="2">
        <v>0</v>
      </c>
      <c r="R803" s="29" t="e">
        <f>IF(INDEX(#REF!,MATCH('data '!$B803,#REF!,0),MATCH('data '!R$3,#REF!,0))=0,"",INDEX(#REF!,MATCH('data '!$B803,#REF!,0),MATCH('data '!R$3,#REF!,0)))</f>
        <v>#REF!</v>
      </c>
      <c r="S803" s="29" t="e">
        <f>IF(INDEX(#REF!,MATCH('data '!$B803,#REF!,0),MATCH('data '!S$3,#REF!,0))=0,"",INDEX(#REF!,MATCH('data '!$B803,#REF!,0),MATCH('data '!S$3,#REF!,0)))</f>
        <v>#REF!</v>
      </c>
      <c r="T803" s="29" t="e">
        <f>IF(INDEX(#REF!,MATCH('data '!$B803,#REF!,0),MATCH('data '!T$3,#REF!,0))=0,"",INDEX(#REF!,MATCH('data '!$B803,#REF!,0),MATCH('data '!T$3,#REF!,0)))</f>
        <v>#REF!</v>
      </c>
      <c r="V803" s="25" t="s">
        <v>74</v>
      </c>
      <c r="W803" s="25">
        <v>0</v>
      </c>
      <c r="AC803" s="8" t="e">
        <f>VLOOKUP(B803,#REF!,19,0)</f>
        <v>#REF!</v>
      </c>
      <c r="AP803" s="8" t="str">
        <f t="shared" si="32"/>
        <v>Not yet endorsed</v>
      </c>
      <c r="AQ803" s="10" t="b" cm="1">
        <f t="array" aca="1" ref="AQ803" ca="1">IF(AM803&gt;0,(TODAY()-AM803),IF(AL803&gt;0,(TODAY()-AL803),IF(AK803&gt;0,(TODAY()-AK803,IF(AI803&gt;0,(TODAY()-AI803),IF(AG803&gt;0,(TODAY()-AG803),IF(AF803&gt;0,(TODAY()-AF803),IF(X803&gt;0,(TODAY()-X803)," "))))))))</f>
        <v>0</v>
      </c>
      <c r="BD803" s="2" t="str">
        <f t="shared" si="33"/>
        <v>Not yet endorsed</v>
      </c>
      <c r="BE803" s="2" t="s">
        <v>75</v>
      </c>
      <c r="BG803" s="2" t="e">
        <v>#N/A</v>
      </c>
    </row>
    <row r="804" spans="2:60" hidden="1" x14ac:dyDescent="0.25">
      <c r="B804" s="2" t="s">
        <v>3547</v>
      </c>
      <c r="C804" s="2" t="s">
        <v>3548</v>
      </c>
      <c r="D804" s="44" t="s">
        <v>3549</v>
      </c>
      <c r="E804" s="2" t="s">
        <v>6</v>
      </c>
      <c r="F804" s="2" t="s">
        <v>110</v>
      </c>
      <c r="G804" s="2" t="s">
        <v>1</v>
      </c>
      <c r="H804" s="2" t="s">
        <v>111</v>
      </c>
      <c r="I804" s="2" t="s">
        <v>112</v>
      </c>
      <c r="J804" s="2" t="s">
        <v>113</v>
      </c>
      <c r="K804" s="2" t="s">
        <v>114</v>
      </c>
      <c r="L804" s="2" t="s">
        <v>115</v>
      </c>
      <c r="M804" s="2">
        <v>0</v>
      </c>
      <c r="N804" s="2">
        <v>0</v>
      </c>
      <c r="O804" s="2">
        <v>0</v>
      </c>
      <c r="P804" s="2" t="s">
        <v>72</v>
      </c>
      <c r="Q804" s="2" t="s">
        <v>73</v>
      </c>
      <c r="R804" s="29" t="e">
        <f>IF(INDEX(#REF!,MATCH('data '!$B804,#REF!,0),MATCH('data '!R$3,#REF!,0))=0,"",INDEX(#REF!,MATCH('data '!$B804,#REF!,0),MATCH('data '!R$3,#REF!,0)))</f>
        <v>#REF!</v>
      </c>
      <c r="S804" s="29" t="e">
        <f>IF(INDEX(#REF!,MATCH('data '!$B804,#REF!,0),MATCH('data '!S$3,#REF!,0))=0,"",INDEX(#REF!,MATCH('data '!$B804,#REF!,0),MATCH('data '!S$3,#REF!,0)))</f>
        <v>#REF!</v>
      </c>
      <c r="T804" s="29" t="e">
        <f>IF(INDEX(#REF!,MATCH('data '!$B804,#REF!,0),MATCH('data '!T$3,#REF!,0))=0,"",INDEX(#REF!,MATCH('data '!$B804,#REF!,0),MATCH('data '!T$3,#REF!,0)))</f>
        <v>#REF!</v>
      </c>
      <c r="V804" s="25" t="s">
        <v>74</v>
      </c>
      <c r="W804" s="25">
        <v>0</v>
      </c>
      <c r="AC804" s="8" t="e">
        <f>VLOOKUP(B804,#REF!,19,0)</f>
        <v>#REF!</v>
      </c>
      <c r="AP804" s="8" t="str">
        <f t="shared" si="32"/>
        <v>Not yet endorsed</v>
      </c>
      <c r="AQ804" s="10" t="b" cm="1">
        <f t="array" aca="1" ref="AQ804" ca="1">IF(AM804&gt;0,(TODAY()-AM804),IF(AL804&gt;0,(TODAY()-AL804),IF(AK804&gt;0,(TODAY()-AK804,IF(AI804&gt;0,(TODAY()-AI804),IF(AG804&gt;0,(TODAY()-AG804),IF(AF804&gt;0,(TODAY()-AF804),IF(X804&gt;0,(TODAY()-X804)," "))))))))</f>
        <v>0</v>
      </c>
      <c r="BD804" s="2" t="str">
        <f t="shared" si="33"/>
        <v>Not yet endorsed</v>
      </c>
      <c r="BE804" s="2" t="s">
        <v>75</v>
      </c>
      <c r="BG804" s="2" t="e">
        <v>#N/A</v>
      </c>
    </row>
    <row r="805" spans="2:60" hidden="1" x14ac:dyDescent="0.25">
      <c r="B805" s="2" t="s">
        <v>3550</v>
      </c>
      <c r="C805" s="2" t="s">
        <v>3551</v>
      </c>
      <c r="D805" s="44" t="s">
        <v>3552</v>
      </c>
      <c r="E805" s="2" t="s">
        <v>6</v>
      </c>
      <c r="F805" s="2" t="s">
        <v>110</v>
      </c>
      <c r="G805" s="2" t="s">
        <v>1</v>
      </c>
      <c r="H805" s="2" t="s">
        <v>111</v>
      </c>
      <c r="I805" s="2" t="s">
        <v>112</v>
      </c>
      <c r="J805" s="2" t="s">
        <v>113</v>
      </c>
      <c r="K805" s="2" t="s">
        <v>114</v>
      </c>
      <c r="L805" s="2" t="s">
        <v>115</v>
      </c>
      <c r="M805" s="2">
        <v>0</v>
      </c>
      <c r="N805" s="2">
        <v>10.322827999999999</v>
      </c>
      <c r="O805" s="2">
        <v>123.918211</v>
      </c>
      <c r="P805" s="2" t="s">
        <v>72</v>
      </c>
      <c r="Q805" s="2" t="s">
        <v>73</v>
      </c>
      <c r="R805" s="29" t="e">
        <f>IF(INDEX(#REF!,MATCH('data '!$B805,#REF!,0),MATCH('data '!R$3,#REF!,0))=0,"",INDEX(#REF!,MATCH('data '!$B805,#REF!,0),MATCH('data '!R$3,#REF!,0)))</f>
        <v>#REF!</v>
      </c>
      <c r="S805" s="29" t="e">
        <f>IF(INDEX(#REF!,MATCH('data '!$B805,#REF!,0),MATCH('data '!S$3,#REF!,0))=0,"",INDEX(#REF!,MATCH('data '!$B805,#REF!,0),MATCH('data '!S$3,#REF!,0)))</f>
        <v>#REF!</v>
      </c>
      <c r="T805" s="29" t="e">
        <f>IF(INDEX(#REF!,MATCH('data '!$B805,#REF!,0),MATCH('data '!T$3,#REF!,0))=0,"",INDEX(#REF!,MATCH('data '!$B805,#REF!,0),MATCH('data '!T$3,#REF!,0)))</f>
        <v>#REF!</v>
      </c>
      <c r="U805" s="8" t="s">
        <v>25</v>
      </c>
      <c r="V805" s="25" t="s">
        <v>74</v>
      </c>
      <c r="W805" s="25">
        <v>0</v>
      </c>
      <c r="AC805" s="8" t="e">
        <f>VLOOKUP(B805,#REF!,19,0)</f>
        <v>#REF!</v>
      </c>
      <c r="AP805" s="8" t="str">
        <f t="shared" si="32"/>
        <v>Not yet endorsed</v>
      </c>
      <c r="AQ805" s="10" t="b" cm="1">
        <f t="array" aca="1" ref="AQ805" ca="1">IF(AM805&gt;0,(TODAY()-AM805),IF(AL805&gt;0,(TODAY()-AL805),IF(AK805&gt;0,(TODAY()-AK805,IF(AI805&gt;0,(TODAY()-AI805),IF(AG805&gt;0,(TODAY()-AG805),IF(AF805&gt;0,(TODAY()-AF805),IF(X805&gt;0,(TODAY()-X805)," "))))))))</f>
        <v>0</v>
      </c>
      <c r="BD805" s="2" t="str">
        <f t="shared" si="33"/>
        <v>TSSR Approved</v>
      </c>
      <c r="BE805" s="2" t="e">
        <v>#VALUE!</v>
      </c>
      <c r="BG805" s="2" t="e">
        <v>#N/A</v>
      </c>
    </row>
    <row r="806" spans="2:60" hidden="1" x14ac:dyDescent="0.25">
      <c r="B806" s="2" t="s">
        <v>3553</v>
      </c>
      <c r="C806" s="2" t="s">
        <v>3554</v>
      </c>
      <c r="D806" s="44" t="s">
        <v>3555</v>
      </c>
      <c r="E806" s="2" t="s">
        <v>5</v>
      </c>
      <c r="F806" s="2" t="s">
        <v>813</v>
      </c>
      <c r="G806" s="2" t="s">
        <v>1</v>
      </c>
      <c r="H806" s="2" t="s">
        <v>120</v>
      </c>
      <c r="I806" s="2" t="s">
        <v>140</v>
      </c>
      <c r="J806" s="2" t="s">
        <v>141</v>
      </c>
      <c r="K806" s="2" t="s">
        <v>370</v>
      </c>
      <c r="L806" s="2" t="s">
        <v>814</v>
      </c>
      <c r="M806" s="2">
        <v>0</v>
      </c>
      <c r="N806" s="2">
        <v>0</v>
      </c>
      <c r="O806" s="2">
        <v>0</v>
      </c>
      <c r="P806" s="2" t="s">
        <v>72</v>
      </c>
      <c r="Q806" s="2" t="s">
        <v>73</v>
      </c>
      <c r="R806" s="29" t="e">
        <f>IF(INDEX(#REF!,MATCH('data '!$B806,#REF!,0),MATCH('data '!R$3,#REF!,0))=0,"",INDEX(#REF!,MATCH('data '!$B806,#REF!,0),MATCH('data '!R$3,#REF!,0)))</f>
        <v>#REF!</v>
      </c>
      <c r="S806" s="29" t="e">
        <f>IF(INDEX(#REF!,MATCH('data '!$B806,#REF!,0),MATCH('data '!S$3,#REF!,0))=0,"",INDEX(#REF!,MATCH('data '!$B806,#REF!,0),MATCH('data '!S$3,#REF!,0)))</f>
        <v>#REF!</v>
      </c>
      <c r="T806" s="29" t="e">
        <f>IF(INDEX(#REF!,MATCH('data '!$B806,#REF!,0),MATCH('data '!T$3,#REF!,0))=0,"",INDEX(#REF!,MATCH('data '!$B806,#REF!,0),MATCH('data '!T$3,#REF!,0)))</f>
        <v>#REF!</v>
      </c>
      <c r="V806" s="25" t="s">
        <v>74</v>
      </c>
      <c r="W806" s="25">
        <v>0</v>
      </c>
      <c r="AC806" s="8" t="e">
        <f>VLOOKUP(B806,#REF!,19,0)</f>
        <v>#REF!</v>
      </c>
      <c r="AE806" s="8" t="s">
        <v>295</v>
      </c>
      <c r="AP806" s="8" t="str">
        <f t="shared" si="32"/>
        <v>Not yet endorsed</v>
      </c>
      <c r="AQ806" s="10" t="b" cm="1">
        <f t="array" aca="1" ref="AQ806" ca="1">IF(AM806&gt;0,(TODAY()-AM806),IF(AL806&gt;0,(TODAY()-AL806),IF(AK806&gt;0,(TODAY()-AK806,IF(AI806&gt;0,(TODAY()-AI806),IF(AG806&gt;0,(TODAY()-AG806),IF(AF806&gt;0,(TODAY()-AF806),IF(X806&gt;0,(TODAY()-X806)," "))))))))</f>
        <v>0</v>
      </c>
      <c r="BD806" s="2" t="str">
        <f t="shared" si="33"/>
        <v>Not yet endorsed</v>
      </c>
      <c r="BE806" s="2" t="s">
        <v>75</v>
      </c>
      <c r="BG806" s="2" t="e">
        <v>#N/A</v>
      </c>
      <c r="BH806" s="2" t="e" vm="1">
        <v>#REF!</v>
      </c>
    </row>
    <row r="807" spans="2:60" hidden="1" x14ac:dyDescent="0.25">
      <c r="B807" s="2" t="s">
        <v>3556</v>
      </c>
      <c r="C807" s="2" t="s">
        <v>3557</v>
      </c>
      <c r="D807" s="44" t="s">
        <v>3558</v>
      </c>
      <c r="E807" s="2" t="s">
        <v>4</v>
      </c>
      <c r="F807" s="2" t="s">
        <v>245</v>
      </c>
      <c r="G807" s="2" t="s">
        <v>1</v>
      </c>
      <c r="H807" s="2" t="s">
        <v>120</v>
      </c>
      <c r="I807" s="2" t="s">
        <v>140</v>
      </c>
      <c r="J807" s="2" t="s">
        <v>122</v>
      </c>
      <c r="K807" s="2" t="s">
        <v>246</v>
      </c>
      <c r="L807" s="2" t="s">
        <v>3559</v>
      </c>
      <c r="M807" s="2">
        <v>0</v>
      </c>
      <c r="N807" s="2">
        <v>0</v>
      </c>
      <c r="O807" s="2">
        <v>0</v>
      </c>
      <c r="P807" s="2" t="s">
        <v>72</v>
      </c>
      <c r="Q807" s="2" t="s">
        <v>73</v>
      </c>
      <c r="R807" s="29" t="e">
        <f>IF(INDEX(#REF!,MATCH('data '!$B807,#REF!,0),MATCH('data '!R$3,#REF!,0))=0,"",INDEX(#REF!,MATCH('data '!$B807,#REF!,0),MATCH('data '!R$3,#REF!,0)))</f>
        <v>#REF!</v>
      </c>
      <c r="S807" s="29" t="e">
        <f>IF(INDEX(#REF!,MATCH('data '!$B807,#REF!,0),MATCH('data '!S$3,#REF!,0))=0,"",INDEX(#REF!,MATCH('data '!$B807,#REF!,0),MATCH('data '!S$3,#REF!,0)))</f>
        <v>#REF!</v>
      </c>
      <c r="T807" s="29" t="e">
        <f>IF(INDEX(#REF!,MATCH('data '!$B807,#REF!,0),MATCH('data '!T$3,#REF!,0))=0,"",INDEX(#REF!,MATCH('data '!$B807,#REF!,0),MATCH('data '!T$3,#REF!,0)))</f>
        <v>#REF!</v>
      </c>
      <c r="V807" s="25" t="s">
        <v>74</v>
      </c>
      <c r="W807" s="25">
        <v>0</v>
      </c>
      <c r="AC807" s="8" t="e">
        <f>VLOOKUP(B807,#REF!,19,0)</f>
        <v>#REF!</v>
      </c>
      <c r="AP807" s="8" t="str">
        <f t="shared" si="32"/>
        <v>Not yet endorsed</v>
      </c>
      <c r="AQ807" s="10" t="b" cm="1">
        <f t="array" aca="1" ref="AQ807" ca="1">IF(AM807&gt;0,(TODAY()-AM807),IF(AL807&gt;0,(TODAY()-AL807),IF(AK807&gt;0,(TODAY()-AK807,IF(AI807&gt;0,(TODAY()-AI807),IF(AG807&gt;0,(TODAY()-AG807),IF(AF807&gt;0,(TODAY()-AF807),IF(X807&gt;0,(TODAY()-X807)," "))))))))</f>
        <v>0</v>
      </c>
      <c r="BD807" s="2" t="str">
        <f t="shared" si="33"/>
        <v>Not yet endorsed</v>
      </c>
      <c r="BE807" s="2" t="s">
        <v>75</v>
      </c>
      <c r="BG807" s="2" t="e">
        <v>#N/A</v>
      </c>
    </row>
    <row r="808" spans="2:60" hidden="1" x14ac:dyDescent="0.25">
      <c r="B808" s="2" t="s">
        <v>3560</v>
      </c>
      <c r="C808" s="2" t="s">
        <v>3561</v>
      </c>
      <c r="D808" s="44" t="s">
        <v>3562</v>
      </c>
      <c r="E808" s="2" t="s">
        <v>4</v>
      </c>
      <c r="F808" s="2" t="s">
        <v>1135</v>
      </c>
      <c r="G808" s="2" t="s">
        <v>1</v>
      </c>
      <c r="H808" s="2" t="s">
        <v>120</v>
      </c>
      <c r="I808" s="2" t="s">
        <v>140</v>
      </c>
      <c r="J808" s="2" t="s">
        <v>122</v>
      </c>
      <c r="K808" s="2" t="s">
        <v>723</v>
      </c>
      <c r="L808" s="2" t="s">
        <v>1136</v>
      </c>
      <c r="M808" s="2">
        <v>0</v>
      </c>
      <c r="N808" s="2">
        <v>0</v>
      </c>
      <c r="O808" s="2">
        <v>0</v>
      </c>
      <c r="P808" s="2" t="s">
        <v>72</v>
      </c>
      <c r="Q808" s="2" t="s">
        <v>73</v>
      </c>
      <c r="R808" s="29" t="e">
        <f>IF(INDEX(#REF!,MATCH('data '!$B808,#REF!,0),MATCH('data '!R$3,#REF!,0))=0,"",INDEX(#REF!,MATCH('data '!$B808,#REF!,0),MATCH('data '!R$3,#REF!,0)))</f>
        <v>#REF!</v>
      </c>
      <c r="S808" s="29" t="e">
        <f>IF(INDEX(#REF!,MATCH('data '!$B808,#REF!,0),MATCH('data '!S$3,#REF!,0))=0,"",INDEX(#REF!,MATCH('data '!$B808,#REF!,0),MATCH('data '!S$3,#REF!,0)))</f>
        <v>#REF!</v>
      </c>
      <c r="T808" s="29" t="e">
        <f>IF(INDEX(#REF!,MATCH('data '!$B808,#REF!,0),MATCH('data '!T$3,#REF!,0))=0,"",INDEX(#REF!,MATCH('data '!$B808,#REF!,0),MATCH('data '!T$3,#REF!,0)))</f>
        <v>#REF!</v>
      </c>
      <c r="V808" s="25" t="s">
        <v>74</v>
      </c>
      <c r="W808" s="25">
        <v>0</v>
      </c>
      <c r="AC808" s="8" t="e">
        <f>VLOOKUP(B808,#REF!,19,0)</f>
        <v>#REF!</v>
      </c>
      <c r="AP808" s="8" t="str">
        <f t="shared" si="32"/>
        <v>Not yet endorsed</v>
      </c>
      <c r="AQ808" s="10" t="b" cm="1">
        <f t="array" aca="1" ref="AQ808" ca="1">IF(AM808&gt;0,(TODAY()-AM808),IF(AL808&gt;0,(TODAY()-AL808),IF(AK808&gt;0,(TODAY()-AK808,IF(AI808&gt;0,(TODAY()-AI808),IF(AG808&gt;0,(TODAY()-AG808),IF(AF808&gt;0,(TODAY()-AF808),IF(X808&gt;0,(TODAY()-X808)," "))))))))</f>
        <v>0</v>
      </c>
      <c r="BD808" s="2" t="str">
        <f t="shared" si="33"/>
        <v>Not yet endorsed</v>
      </c>
      <c r="BE808" s="2" t="s">
        <v>75</v>
      </c>
      <c r="BG808" s="2" t="e">
        <v>#N/A</v>
      </c>
    </row>
    <row r="809" spans="2:60" hidden="1" x14ac:dyDescent="0.25">
      <c r="B809" s="2" t="s">
        <v>3563</v>
      </c>
      <c r="C809" s="2" t="s">
        <v>3564</v>
      </c>
      <c r="D809" s="44" t="s">
        <v>3565</v>
      </c>
      <c r="E809" s="2" t="s">
        <v>4</v>
      </c>
      <c r="F809" s="2" t="s">
        <v>1118</v>
      </c>
      <c r="G809" s="2" t="s">
        <v>1</v>
      </c>
      <c r="H809" s="2" t="s">
        <v>139</v>
      </c>
      <c r="I809" s="2" t="s">
        <v>140</v>
      </c>
      <c r="J809" s="2" t="s">
        <v>122</v>
      </c>
      <c r="K809" s="2" t="s">
        <v>359</v>
      </c>
      <c r="L809" s="2" t="s">
        <v>3566</v>
      </c>
      <c r="M809" s="2">
        <v>0</v>
      </c>
      <c r="N809" s="2">
        <v>0</v>
      </c>
      <c r="O809" s="2">
        <v>0</v>
      </c>
      <c r="P809" s="2" t="s">
        <v>72</v>
      </c>
      <c r="Q809" s="2" t="s">
        <v>73</v>
      </c>
      <c r="R809" s="29" t="e">
        <f>IF(INDEX(#REF!,MATCH('data '!$B809,#REF!,0),MATCH('data '!R$3,#REF!,0))=0,"",INDEX(#REF!,MATCH('data '!$B809,#REF!,0),MATCH('data '!R$3,#REF!,0)))</f>
        <v>#REF!</v>
      </c>
      <c r="S809" s="29" t="e">
        <f>IF(INDEX(#REF!,MATCH('data '!$B809,#REF!,0),MATCH('data '!S$3,#REF!,0))=0,"",INDEX(#REF!,MATCH('data '!$B809,#REF!,0),MATCH('data '!S$3,#REF!,0)))</f>
        <v>#REF!</v>
      </c>
      <c r="T809" s="29" t="e">
        <f>IF(INDEX(#REF!,MATCH('data '!$B809,#REF!,0),MATCH('data '!T$3,#REF!,0))=0,"",INDEX(#REF!,MATCH('data '!$B809,#REF!,0),MATCH('data '!T$3,#REF!,0)))</f>
        <v>#REF!</v>
      </c>
      <c r="V809" s="25" t="s">
        <v>74</v>
      </c>
      <c r="W809" s="25">
        <v>0</v>
      </c>
      <c r="AC809" s="8" t="e">
        <f>VLOOKUP(B809,#REF!,19,0)</f>
        <v>#REF!</v>
      </c>
      <c r="AP809" s="8" t="str">
        <f t="shared" si="32"/>
        <v>Not yet endorsed</v>
      </c>
      <c r="AQ809" s="10" t="b" cm="1">
        <f t="array" aca="1" ref="AQ809" ca="1">IF(AM809&gt;0,(TODAY()-AM809),IF(AL809&gt;0,(TODAY()-AL809),IF(AK809&gt;0,(TODAY()-AK809,IF(AI809&gt;0,(TODAY()-AI809),IF(AG809&gt;0,(TODAY()-AG809),IF(AF809&gt;0,(TODAY()-AF809),IF(X809&gt;0,(TODAY()-X809)," "))))))))</f>
        <v>0</v>
      </c>
      <c r="BD809" s="2" t="str">
        <f t="shared" si="33"/>
        <v>Not yet endorsed</v>
      </c>
      <c r="BE809" s="2" t="s">
        <v>75</v>
      </c>
      <c r="BG809" s="2" t="e">
        <v>#N/A</v>
      </c>
    </row>
    <row r="810" spans="2:60" hidden="1" x14ac:dyDescent="0.25">
      <c r="B810" s="2" t="s">
        <v>3567</v>
      </c>
      <c r="C810" s="2" t="s">
        <v>3568</v>
      </c>
      <c r="D810" s="44" t="s">
        <v>3569</v>
      </c>
      <c r="E810" s="2" t="s">
        <v>4</v>
      </c>
      <c r="F810" s="2" t="s">
        <v>575</v>
      </c>
      <c r="G810" s="2" t="s">
        <v>1</v>
      </c>
      <c r="H810" s="2" t="s">
        <v>120</v>
      </c>
      <c r="I810" s="2" t="s">
        <v>140</v>
      </c>
      <c r="J810" s="2" t="s">
        <v>122</v>
      </c>
      <c r="K810" s="2" t="s">
        <v>123</v>
      </c>
      <c r="L810" s="2" t="s">
        <v>3570</v>
      </c>
      <c r="M810" s="2">
        <v>0</v>
      </c>
      <c r="N810" s="2">
        <v>0</v>
      </c>
      <c r="O810" s="2">
        <v>0</v>
      </c>
      <c r="P810" s="2" t="s">
        <v>72</v>
      </c>
      <c r="Q810" s="2" t="s">
        <v>73</v>
      </c>
      <c r="R810" s="29" t="e">
        <f>IF(INDEX(#REF!,MATCH('data '!$B810,#REF!,0),MATCH('data '!R$3,#REF!,0))=0,"",INDEX(#REF!,MATCH('data '!$B810,#REF!,0),MATCH('data '!R$3,#REF!,0)))</f>
        <v>#REF!</v>
      </c>
      <c r="S810" s="29" t="e">
        <f>IF(INDEX(#REF!,MATCH('data '!$B810,#REF!,0),MATCH('data '!S$3,#REF!,0))=0,"",INDEX(#REF!,MATCH('data '!$B810,#REF!,0),MATCH('data '!S$3,#REF!,0)))</f>
        <v>#REF!</v>
      </c>
      <c r="T810" s="29" t="e">
        <f>IF(INDEX(#REF!,MATCH('data '!$B810,#REF!,0),MATCH('data '!T$3,#REF!,0))=0,"",INDEX(#REF!,MATCH('data '!$B810,#REF!,0),MATCH('data '!T$3,#REF!,0)))</f>
        <v>#REF!</v>
      </c>
      <c r="V810" s="25" t="s">
        <v>74</v>
      </c>
      <c r="W810" s="25">
        <v>0</v>
      </c>
      <c r="AC810" s="8" t="e">
        <f>VLOOKUP(B810,#REF!,19,0)</f>
        <v>#REF!</v>
      </c>
      <c r="AP810" s="8" t="str">
        <f t="shared" si="32"/>
        <v>Not yet endorsed</v>
      </c>
      <c r="AQ810" s="10" t="b" cm="1">
        <f t="array" aca="1" ref="AQ810" ca="1">IF(AM810&gt;0,(TODAY()-AM810),IF(AL810&gt;0,(TODAY()-AL810),IF(AK810&gt;0,(TODAY()-AK810,IF(AI810&gt;0,(TODAY()-AI810),IF(AG810&gt;0,(TODAY()-AG810),IF(AF810&gt;0,(TODAY()-AF810),IF(X810&gt;0,(TODAY()-X810)," "))))))))</f>
        <v>0</v>
      </c>
      <c r="BD810" s="2" t="str">
        <f t="shared" si="33"/>
        <v>Not yet endorsed</v>
      </c>
      <c r="BE810" s="2" t="s">
        <v>75</v>
      </c>
      <c r="BG810" s="2" t="e">
        <v>#N/A</v>
      </c>
    </row>
    <row r="811" spans="2:60" hidden="1" x14ac:dyDescent="0.25">
      <c r="B811" s="2" t="s">
        <v>3571</v>
      </c>
      <c r="C811" s="2" t="s">
        <v>3572</v>
      </c>
      <c r="D811" s="44" t="s">
        <v>3573</v>
      </c>
      <c r="E811" s="2" t="s">
        <v>4</v>
      </c>
      <c r="F811" s="2" t="s">
        <v>2271</v>
      </c>
      <c r="G811" s="2" t="s">
        <v>1</v>
      </c>
      <c r="H811" s="2" t="s">
        <v>120</v>
      </c>
      <c r="I811" s="2" t="s">
        <v>140</v>
      </c>
      <c r="J811" s="2" t="s">
        <v>122</v>
      </c>
      <c r="K811" s="2" t="s">
        <v>723</v>
      </c>
      <c r="L811" s="2" t="s">
        <v>3366</v>
      </c>
      <c r="M811" s="2">
        <v>0</v>
      </c>
      <c r="N811" s="2">
        <v>0</v>
      </c>
      <c r="O811" s="2">
        <v>0</v>
      </c>
      <c r="P811" s="2" t="s">
        <v>72</v>
      </c>
      <c r="Q811" s="2" t="s">
        <v>73</v>
      </c>
      <c r="R811" s="29" t="e">
        <f>IF(INDEX(#REF!,MATCH('data '!$B811,#REF!,0),MATCH('data '!R$3,#REF!,0))=0,"",INDEX(#REF!,MATCH('data '!$B811,#REF!,0),MATCH('data '!R$3,#REF!,0)))</f>
        <v>#REF!</v>
      </c>
      <c r="S811" s="29" t="e">
        <f>IF(INDEX(#REF!,MATCH('data '!$B811,#REF!,0),MATCH('data '!S$3,#REF!,0))=0,"",INDEX(#REF!,MATCH('data '!$B811,#REF!,0),MATCH('data '!S$3,#REF!,0)))</f>
        <v>#REF!</v>
      </c>
      <c r="T811" s="29" t="e">
        <f>IF(INDEX(#REF!,MATCH('data '!$B811,#REF!,0),MATCH('data '!T$3,#REF!,0))=0,"",INDEX(#REF!,MATCH('data '!$B811,#REF!,0),MATCH('data '!T$3,#REF!,0)))</f>
        <v>#REF!</v>
      </c>
      <c r="V811" s="25" t="s">
        <v>74</v>
      </c>
      <c r="W811" s="25">
        <v>0</v>
      </c>
      <c r="AC811" s="8" t="e">
        <f>VLOOKUP(B811,#REF!,19,0)</f>
        <v>#REF!</v>
      </c>
      <c r="AP811" s="8" t="str">
        <f t="shared" si="32"/>
        <v>Not yet endorsed</v>
      </c>
      <c r="AQ811" s="10" t="b" cm="1">
        <f t="array" aca="1" ref="AQ811" ca="1">IF(AM811&gt;0,(TODAY()-AM811),IF(AL811&gt;0,(TODAY()-AL811),IF(AK811&gt;0,(TODAY()-AK811,IF(AI811&gt;0,(TODAY()-AI811),IF(AG811&gt;0,(TODAY()-AG811),IF(AF811&gt;0,(TODAY()-AF811),IF(X811&gt;0,(TODAY()-X811)," "))))))))</f>
        <v>0</v>
      </c>
      <c r="BD811" s="2" t="str">
        <f t="shared" si="33"/>
        <v>Not yet endorsed</v>
      </c>
      <c r="BE811" s="2" t="s">
        <v>75</v>
      </c>
      <c r="BG811" s="2" t="e">
        <v>#N/A</v>
      </c>
    </row>
    <row r="812" spans="2:60" hidden="1" x14ac:dyDescent="0.25">
      <c r="B812" s="2" t="s">
        <v>3574</v>
      </c>
      <c r="C812" s="2" t="s">
        <v>3575</v>
      </c>
      <c r="D812" s="44" t="s">
        <v>3576</v>
      </c>
      <c r="E812" s="2" t="s">
        <v>6</v>
      </c>
      <c r="F812" s="2" t="s">
        <v>1060</v>
      </c>
      <c r="G812" s="2" t="s">
        <v>1</v>
      </c>
      <c r="H812" s="2" t="s">
        <v>111</v>
      </c>
      <c r="I812" s="2" t="s">
        <v>112</v>
      </c>
      <c r="J812" s="2" t="s">
        <v>344</v>
      </c>
      <c r="K812" s="2" t="s">
        <v>345</v>
      </c>
      <c r="L812" s="2" t="s">
        <v>1061</v>
      </c>
      <c r="M812" s="2">
        <v>0</v>
      </c>
      <c r="N812" s="2">
        <v>0</v>
      </c>
      <c r="O812" s="2">
        <v>0</v>
      </c>
      <c r="P812" s="2" t="s">
        <v>72</v>
      </c>
      <c r="Q812" s="2" t="s">
        <v>73</v>
      </c>
      <c r="R812" s="29" t="e">
        <f>IF(INDEX(#REF!,MATCH('data '!$B812,#REF!,0),MATCH('data '!R$3,#REF!,0))=0,"",INDEX(#REF!,MATCH('data '!$B812,#REF!,0),MATCH('data '!R$3,#REF!,0)))</f>
        <v>#REF!</v>
      </c>
      <c r="S812" s="29" t="e">
        <f>IF(INDEX(#REF!,MATCH('data '!$B812,#REF!,0),MATCH('data '!S$3,#REF!,0))=0,"",INDEX(#REF!,MATCH('data '!$B812,#REF!,0),MATCH('data '!S$3,#REF!,0)))</f>
        <v>#REF!</v>
      </c>
      <c r="T812" s="29" t="e">
        <f>IF(INDEX(#REF!,MATCH('data '!$B812,#REF!,0),MATCH('data '!T$3,#REF!,0))=0,"",INDEX(#REF!,MATCH('data '!$B812,#REF!,0),MATCH('data '!T$3,#REF!,0)))</f>
        <v>#REF!</v>
      </c>
      <c r="V812" s="25" t="s">
        <v>74</v>
      </c>
      <c r="W812" s="25">
        <v>0</v>
      </c>
      <c r="AC812" s="8" t="e">
        <f>VLOOKUP(B812,#REF!,19,0)</f>
        <v>#REF!</v>
      </c>
      <c r="AP812" s="8" t="str">
        <f t="shared" si="32"/>
        <v>Not yet endorsed</v>
      </c>
      <c r="AQ812" s="10" t="b" cm="1">
        <f t="array" aca="1" ref="AQ812" ca="1">IF(AM812&gt;0,(TODAY()-AM812),IF(AL812&gt;0,(TODAY()-AL812),IF(AK812&gt;0,(TODAY()-AK812,IF(AI812&gt;0,(TODAY()-AI812),IF(AG812&gt;0,(TODAY()-AG812),IF(AF812&gt;0,(TODAY()-AF812),IF(X812&gt;0,(TODAY()-X812)," "))))))))</f>
        <v>0</v>
      </c>
      <c r="BD812" s="2" t="str">
        <f t="shared" si="33"/>
        <v>Not yet endorsed</v>
      </c>
      <c r="BE812" s="2" t="s">
        <v>75</v>
      </c>
      <c r="BG812" s="2" t="e">
        <v>#N/A</v>
      </c>
    </row>
    <row r="813" spans="2:60" hidden="1" x14ac:dyDescent="0.25">
      <c r="B813" s="2" t="s">
        <v>3577</v>
      </c>
      <c r="C813" s="2" t="s">
        <v>3578</v>
      </c>
      <c r="D813" s="44" t="s">
        <v>3579</v>
      </c>
      <c r="E813" s="2" t="s">
        <v>3</v>
      </c>
      <c r="F813" s="2" t="s">
        <v>138</v>
      </c>
      <c r="G813" s="2" t="s">
        <v>1</v>
      </c>
      <c r="H813" s="2" t="s">
        <v>139</v>
      </c>
      <c r="I813" s="2" t="s">
        <v>140</v>
      </c>
      <c r="J813" s="2" t="s">
        <v>141</v>
      </c>
      <c r="K813" s="2" t="s">
        <v>142</v>
      </c>
      <c r="L813" s="2" t="s">
        <v>3580</v>
      </c>
      <c r="M813" s="2">
        <v>0</v>
      </c>
      <c r="N813" s="2">
        <v>0</v>
      </c>
      <c r="O813" s="2">
        <v>0</v>
      </c>
      <c r="P813" s="2" t="s">
        <v>72</v>
      </c>
      <c r="Q813" s="2" t="s">
        <v>73</v>
      </c>
      <c r="R813" s="29" t="e">
        <f>IF(INDEX(#REF!,MATCH('data '!$B813,#REF!,0),MATCH('data '!R$3,#REF!,0))=0,"",INDEX(#REF!,MATCH('data '!$B813,#REF!,0),MATCH('data '!R$3,#REF!,0)))</f>
        <v>#REF!</v>
      </c>
      <c r="S813" s="29" t="e">
        <f>IF(INDEX(#REF!,MATCH('data '!$B813,#REF!,0),MATCH('data '!S$3,#REF!,0))=0,"",INDEX(#REF!,MATCH('data '!$B813,#REF!,0),MATCH('data '!S$3,#REF!,0)))</f>
        <v>#REF!</v>
      </c>
      <c r="T813" s="29" t="e">
        <f>IF(INDEX(#REF!,MATCH('data '!$B813,#REF!,0),MATCH('data '!T$3,#REF!,0))=0,"",INDEX(#REF!,MATCH('data '!$B813,#REF!,0),MATCH('data '!T$3,#REF!,0)))</f>
        <v>#REF!</v>
      </c>
      <c r="V813" s="25" t="s">
        <v>74</v>
      </c>
      <c r="W813" s="25">
        <v>0</v>
      </c>
      <c r="AC813" s="8" t="e">
        <f>VLOOKUP(B813,#REF!,19,0)</f>
        <v>#REF!</v>
      </c>
      <c r="AP813" s="8" t="str">
        <f t="shared" si="32"/>
        <v>Not yet endorsed</v>
      </c>
      <c r="AQ813" s="10" t="b" cm="1">
        <f t="array" aca="1" ref="AQ813" ca="1">IF(AM813&gt;0,(TODAY()-AM813),IF(AL813&gt;0,(TODAY()-AL813),IF(AK813&gt;0,(TODAY()-AK813,IF(AI813&gt;0,(TODAY()-AI813),IF(AG813&gt;0,(TODAY()-AG813),IF(AF813&gt;0,(TODAY()-AF813),IF(X813&gt;0,(TODAY()-X813)," "))))))))</f>
        <v>0</v>
      </c>
      <c r="BD813" s="2" t="str">
        <f t="shared" si="33"/>
        <v>Not yet endorsed</v>
      </c>
      <c r="BE813" s="2" t="s">
        <v>75</v>
      </c>
      <c r="BG813" s="2" t="e">
        <v>#N/A</v>
      </c>
      <c r="BH813" s="2" t="e" vm="1">
        <v>#REF!</v>
      </c>
    </row>
    <row r="814" spans="2:60" hidden="1" x14ac:dyDescent="0.25">
      <c r="B814" s="2" t="s">
        <v>3581</v>
      </c>
      <c r="C814" s="2" t="s">
        <v>3582</v>
      </c>
      <c r="D814" s="44" t="s">
        <v>3583</v>
      </c>
      <c r="E814" s="2" t="s">
        <v>4</v>
      </c>
      <c r="F814" s="2" t="s">
        <v>575</v>
      </c>
      <c r="G814" s="2" t="s">
        <v>1</v>
      </c>
      <c r="H814" s="2" t="s">
        <v>120</v>
      </c>
      <c r="I814" s="2" t="s">
        <v>140</v>
      </c>
      <c r="J814" s="2" t="s">
        <v>122</v>
      </c>
      <c r="K814" s="2" t="s">
        <v>123</v>
      </c>
      <c r="L814" s="2" t="s">
        <v>3584</v>
      </c>
      <c r="M814" s="2">
        <v>0</v>
      </c>
      <c r="N814" s="2">
        <v>0</v>
      </c>
      <c r="O814" s="2">
        <v>0</v>
      </c>
      <c r="P814" s="2" t="s">
        <v>72</v>
      </c>
      <c r="Q814" s="2" t="s">
        <v>73</v>
      </c>
      <c r="R814" s="29" t="e">
        <f>IF(INDEX(#REF!,MATCH('data '!$B814,#REF!,0),MATCH('data '!R$3,#REF!,0))=0,"",INDEX(#REF!,MATCH('data '!$B814,#REF!,0),MATCH('data '!R$3,#REF!,0)))</f>
        <v>#REF!</v>
      </c>
      <c r="S814" s="29" t="e">
        <f>IF(INDEX(#REF!,MATCH('data '!$B814,#REF!,0),MATCH('data '!S$3,#REF!,0))=0,"",INDEX(#REF!,MATCH('data '!$B814,#REF!,0),MATCH('data '!S$3,#REF!,0)))</f>
        <v>#REF!</v>
      </c>
      <c r="T814" s="29" t="e">
        <f>IF(INDEX(#REF!,MATCH('data '!$B814,#REF!,0),MATCH('data '!T$3,#REF!,0))=0,"",INDEX(#REF!,MATCH('data '!$B814,#REF!,0),MATCH('data '!T$3,#REF!,0)))</f>
        <v>#REF!</v>
      </c>
      <c r="V814" s="25" t="s">
        <v>74</v>
      </c>
      <c r="W814" s="25">
        <v>0</v>
      </c>
      <c r="AC814" s="8" t="e">
        <f>VLOOKUP(B814,#REF!,19,0)</f>
        <v>#REF!</v>
      </c>
      <c r="AP814" s="8" t="str">
        <f t="shared" si="32"/>
        <v>Not yet endorsed</v>
      </c>
      <c r="AQ814" s="10" t="b" cm="1">
        <f t="array" aca="1" ref="AQ814" ca="1">IF(AM814&gt;0,(TODAY()-AM814),IF(AL814&gt;0,(TODAY()-AL814),IF(AK814&gt;0,(TODAY()-AK814,IF(AI814&gt;0,(TODAY()-AI814),IF(AG814&gt;0,(TODAY()-AG814),IF(AF814&gt;0,(TODAY()-AF814),IF(X814&gt;0,(TODAY()-X814)," "))))))))</f>
        <v>0</v>
      </c>
      <c r="BD814" s="2" t="str">
        <f t="shared" si="33"/>
        <v>Not yet endorsed</v>
      </c>
      <c r="BE814" s="2" t="s">
        <v>75</v>
      </c>
      <c r="BG814" s="2" t="e">
        <v>#N/A</v>
      </c>
    </row>
    <row r="815" spans="2:60" hidden="1" x14ac:dyDescent="0.25">
      <c r="B815" s="2" t="s">
        <v>3585</v>
      </c>
      <c r="C815" s="2" t="s">
        <v>3586</v>
      </c>
      <c r="D815" s="44" t="s">
        <v>3587</v>
      </c>
      <c r="E815" s="2" t="s">
        <v>4</v>
      </c>
      <c r="F815" s="2" t="s">
        <v>2271</v>
      </c>
      <c r="G815" s="2" t="s">
        <v>1</v>
      </c>
      <c r="H815" s="2" t="s">
        <v>120</v>
      </c>
      <c r="I815" s="2" t="s">
        <v>140</v>
      </c>
      <c r="J815" s="2" t="s">
        <v>122</v>
      </c>
      <c r="K815" s="2" t="s">
        <v>723</v>
      </c>
      <c r="L815" s="2" t="s">
        <v>2272</v>
      </c>
      <c r="M815" s="2">
        <v>0</v>
      </c>
      <c r="N815" s="2">
        <v>0</v>
      </c>
      <c r="O815" s="2">
        <v>0</v>
      </c>
      <c r="P815" s="2" t="s">
        <v>72</v>
      </c>
      <c r="Q815" s="2" t="s">
        <v>73</v>
      </c>
      <c r="R815" s="29" t="e">
        <f>IF(INDEX(#REF!,MATCH('data '!$B815,#REF!,0),MATCH('data '!R$3,#REF!,0))=0,"",INDEX(#REF!,MATCH('data '!$B815,#REF!,0),MATCH('data '!R$3,#REF!,0)))</f>
        <v>#REF!</v>
      </c>
      <c r="S815" s="29" t="e">
        <f>IF(INDEX(#REF!,MATCH('data '!$B815,#REF!,0),MATCH('data '!S$3,#REF!,0))=0,"",INDEX(#REF!,MATCH('data '!$B815,#REF!,0),MATCH('data '!S$3,#REF!,0)))</f>
        <v>#REF!</v>
      </c>
      <c r="T815" s="29" t="e">
        <f>IF(INDEX(#REF!,MATCH('data '!$B815,#REF!,0),MATCH('data '!T$3,#REF!,0))=0,"",INDEX(#REF!,MATCH('data '!$B815,#REF!,0),MATCH('data '!T$3,#REF!,0)))</f>
        <v>#REF!</v>
      </c>
      <c r="V815" s="25" t="s">
        <v>74</v>
      </c>
      <c r="W815" s="25">
        <v>0</v>
      </c>
      <c r="AC815" s="8" t="e">
        <f>VLOOKUP(B815,#REF!,19,0)</f>
        <v>#REF!</v>
      </c>
      <c r="AP815" s="8" t="str">
        <f t="shared" si="32"/>
        <v>Not yet endorsed</v>
      </c>
      <c r="AQ815" s="10" t="b" cm="1">
        <f t="array" aca="1" ref="AQ815" ca="1">IF(AM815&gt;0,(TODAY()-AM815),IF(AL815&gt;0,(TODAY()-AL815),IF(AK815&gt;0,(TODAY()-AK815,IF(AI815&gt;0,(TODAY()-AI815),IF(AG815&gt;0,(TODAY()-AG815),IF(AF815&gt;0,(TODAY()-AF815),IF(X815&gt;0,(TODAY()-X815)," "))))))))</f>
        <v>0</v>
      </c>
      <c r="BD815" s="2" t="str">
        <f t="shared" si="33"/>
        <v>Not yet endorsed</v>
      </c>
      <c r="BE815" s="2" t="s">
        <v>75</v>
      </c>
      <c r="BG815" s="2" t="e">
        <v>#N/A</v>
      </c>
    </row>
    <row r="816" spans="2:60" hidden="1" x14ac:dyDescent="0.25">
      <c r="B816" s="2" t="s">
        <v>3588</v>
      </c>
      <c r="C816" s="2" t="s">
        <v>3589</v>
      </c>
      <c r="D816" s="44" t="s">
        <v>3590</v>
      </c>
      <c r="E816" s="2" t="s">
        <v>3</v>
      </c>
      <c r="F816" s="2" t="s">
        <v>138</v>
      </c>
      <c r="G816" s="2" t="s">
        <v>1</v>
      </c>
      <c r="H816" s="2" t="s">
        <v>139</v>
      </c>
      <c r="I816" s="2" t="s">
        <v>140</v>
      </c>
      <c r="J816" s="2" t="s">
        <v>141</v>
      </c>
      <c r="K816" s="2" t="s">
        <v>142</v>
      </c>
      <c r="L816" s="2" t="s">
        <v>1943</v>
      </c>
      <c r="M816" s="2">
        <v>0</v>
      </c>
      <c r="N816" s="2">
        <v>0</v>
      </c>
      <c r="O816" s="2">
        <v>0</v>
      </c>
      <c r="P816" s="2" t="s">
        <v>72</v>
      </c>
      <c r="Q816" s="2" t="s">
        <v>73</v>
      </c>
      <c r="R816" s="29" t="e">
        <f>IF(INDEX(#REF!,MATCH('data '!$B816,#REF!,0),MATCH('data '!R$3,#REF!,0))=0,"",INDEX(#REF!,MATCH('data '!$B816,#REF!,0),MATCH('data '!R$3,#REF!,0)))</f>
        <v>#REF!</v>
      </c>
      <c r="S816" s="29" t="e">
        <f>IF(INDEX(#REF!,MATCH('data '!$B816,#REF!,0),MATCH('data '!S$3,#REF!,0))=0,"",INDEX(#REF!,MATCH('data '!$B816,#REF!,0),MATCH('data '!S$3,#REF!,0)))</f>
        <v>#REF!</v>
      </c>
      <c r="T816" s="29" t="e">
        <f>IF(INDEX(#REF!,MATCH('data '!$B816,#REF!,0),MATCH('data '!T$3,#REF!,0))=0,"",INDEX(#REF!,MATCH('data '!$B816,#REF!,0),MATCH('data '!T$3,#REF!,0)))</f>
        <v>#REF!</v>
      </c>
      <c r="V816" s="25" t="s">
        <v>74</v>
      </c>
      <c r="W816" s="25">
        <v>0</v>
      </c>
      <c r="AC816" s="8" t="e">
        <f>VLOOKUP(B816,#REF!,19,0)</f>
        <v>#REF!</v>
      </c>
      <c r="AP816" s="8" t="str">
        <f t="shared" si="32"/>
        <v>Not yet endorsed</v>
      </c>
      <c r="AQ816" s="10" t="b" cm="1">
        <f t="array" aca="1" ref="AQ816" ca="1">IF(AM816&gt;0,(TODAY()-AM816),IF(AL816&gt;0,(TODAY()-AL816),IF(AK816&gt;0,(TODAY()-AK816,IF(AI816&gt;0,(TODAY()-AI816),IF(AG816&gt;0,(TODAY()-AG816),IF(AF816&gt;0,(TODAY()-AF816),IF(X816&gt;0,(TODAY()-X816)," "))))))))</f>
        <v>0</v>
      </c>
      <c r="BD816" s="2" t="str">
        <f t="shared" si="33"/>
        <v>Not yet endorsed</v>
      </c>
      <c r="BE816" s="2" t="s">
        <v>75</v>
      </c>
      <c r="BG816" s="2" t="e">
        <v>#N/A</v>
      </c>
      <c r="BH816" s="2" t="e" vm="1">
        <v>#REF!</v>
      </c>
    </row>
    <row r="817" spans="2:59" hidden="1" x14ac:dyDescent="0.25">
      <c r="B817" s="2" t="s">
        <v>3591</v>
      </c>
      <c r="C817" s="2" t="s">
        <v>3592</v>
      </c>
      <c r="D817" s="44" t="s">
        <v>3593</v>
      </c>
      <c r="E817" s="2" t="s">
        <v>4</v>
      </c>
      <c r="F817" s="2" t="s">
        <v>575</v>
      </c>
      <c r="G817" s="2" t="s">
        <v>1</v>
      </c>
      <c r="H817" s="2" t="s">
        <v>120</v>
      </c>
      <c r="I817" s="2" t="s">
        <v>140</v>
      </c>
      <c r="J817" s="2" t="s">
        <v>122</v>
      </c>
      <c r="K817" s="2" t="s">
        <v>123</v>
      </c>
      <c r="L817" s="2" t="s">
        <v>3584</v>
      </c>
      <c r="M817" s="2">
        <v>0</v>
      </c>
      <c r="N817" s="2">
        <v>0</v>
      </c>
      <c r="O817" s="2">
        <v>0</v>
      </c>
      <c r="P817" s="2" t="s">
        <v>72</v>
      </c>
      <c r="Q817" s="2" t="s">
        <v>73</v>
      </c>
      <c r="R817" s="29" t="e">
        <f>IF(INDEX(#REF!,MATCH('data '!$B817,#REF!,0),MATCH('data '!R$3,#REF!,0))=0,"",INDEX(#REF!,MATCH('data '!$B817,#REF!,0),MATCH('data '!R$3,#REF!,0)))</f>
        <v>#REF!</v>
      </c>
      <c r="S817" s="29" t="e">
        <f>IF(INDEX(#REF!,MATCH('data '!$B817,#REF!,0),MATCH('data '!S$3,#REF!,0))=0,"",INDEX(#REF!,MATCH('data '!$B817,#REF!,0),MATCH('data '!S$3,#REF!,0)))</f>
        <v>#REF!</v>
      </c>
      <c r="T817" s="29" t="e">
        <f>IF(INDEX(#REF!,MATCH('data '!$B817,#REF!,0),MATCH('data '!T$3,#REF!,0))=0,"",INDEX(#REF!,MATCH('data '!$B817,#REF!,0),MATCH('data '!T$3,#REF!,0)))</f>
        <v>#REF!</v>
      </c>
      <c r="V817" s="25" t="s">
        <v>74</v>
      </c>
      <c r="W817" s="25">
        <v>0</v>
      </c>
      <c r="AC817" s="8" t="e">
        <f>VLOOKUP(B817,#REF!,19,0)</f>
        <v>#REF!</v>
      </c>
      <c r="AP817" s="8" t="str">
        <f t="shared" si="32"/>
        <v>Not yet endorsed</v>
      </c>
      <c r="AQ817" s="10" t="b" cm="1">
        <f t="array" aca="1" ref="AQ817" ca="1">IF(AM817&gt;0,(TODAY()-AM817),IF(AL817&gt;0,(TODAY()-AL817),IF(AK817&gt;0,(TODAY()-AK817,IF(AI817&gt;0,(TODAY()-AI817),IF(AG817&gt;0,(TODAY()-AG817),IF(AF817&gt;0,(TODAY()-AF817),IF(X817&gt;0,(TODAY()-X817)," "))))))))</f>
        <v>0</v>
      </c>
      <c r="BD817" s="2" t="str">
        <f t="shared" si="33"/>
        <v>Not yet endorsed</v>
      </c>
      <c r="BE817" s="2" t="s">
        <v>75</v>
      </c>
      <c r="BG817" s="2" t="e">
        <v>#N/A</v>
      </c>
    </row>
    <row r="818" spans="2:59" hidden="1" x14ac:dyDescent="0.25">
      <c r="B818" s="2" t="s">
        <v>3594</v>
      </c>
      <c r="C818" s="2" t="s">
        <v>3595</v>
      </c>
      <c r="D818" s="44" t="s">
        <v>3596</v>
      </c>
      <c r="E818" s="2" t="s">
        <v>4</v>
      </c>
      <c r="F818" s="2" t="s">
        <v>722</v>
      </c>
      <c r="G818" s="2" t="s">
        <v>1</v>
      </c>
      <c r="H818" s="2" t="s">
        <v>120</v>
      </c>
      <c r="I818" s="2" t="s">
        <v>140</v>
      </c>
      <c r="J818" s="2" t="s">
        <v>122</v>
      </c>
      <c r="K818" s="2" t="s">
        <v>723</v>
      </c>
      <c r="L818" s="2" t="s">
        <v>724</v>
      </c>
      <c r="M818" s="2">
        <v>0</v>
      </c>
      <c r="N818" s="2">
        <v>0</v>
      </c>
      <c r="O818" s="2">
        <v>0</v>
      </c>
      <c r="P818" s="2" t="s">
        <v>72</v>
      </c>
      <c r="Q818" s="2" t="s">
        <v>73</v>
      </c>
      <c r="R818" s="29" t="e">
        <f>IF(INDEX(#REF!,MATCH('data '!$B818,#REF!,0),MATCH('data '!R$3,#REF!,0))=0,"",INDEX(#REF!,MATCH('data '!$B818,#REF!,0),MATCH('data '!R$3,#REF!,0)))</f>
        <v>#REF!</v>
      </c>
      <c r="S818" s="29" t="e">
        <f>IF(INDEX(#REF!,MATCH('data '!$B818,#REF!,0),MATCH('data '!S$3,#REF!,0))=0,"",INDEX(#REF!,MATCH('data '!$B818,#REF!,0),MATCH('data '!S$3,#REF!,0)))</f>
        <v>#REF!</v>
      </c>
      <c r="T818" s="29" t="e">
        <f>IF(INDEX(#REF!,MATCH('data '!$B818,#REF!,0),MATCH('data '!T$3,#REF!,0))=0,"",INDEX(#REF!,MATCH('data '!$B818,#REF!,0),MATCH('data '!T$3,#REF!,0)))</f>
        <v>#REF!</v>
      </c>
      <c r="V818" s="25" t="s">
        <v>74</v>
      </c>
      <c r="W818" s="25">
        <v>0</v>
      </c>
      <c r="AC818" s="8" t="e">
        <f>VLOOKUP(B818,#REF!,19,0)</f>
        <v>#REF!</v>
      </c>
      <c r="AP818" s="8" t="str">
        <f t="shared" si="32"/>
        <v>Not yet endorsed</v>
      </c>
      <c r="AQ818" s="10" t="b" cm="1">
        <f t="array" aca="1" ref="AQ818" ca="1">IF(AM818&gt;0,(TODAY()-AM818),IF(AL818&gt;0,(TODAY()-AL818),IF(AK818&gt;0,(TODAY()-AK818,IF(AI818&gt;0,(TODAY()-AI818),IF(AG818&gt;0,(TODAY()-AG818),IF(AF818&gt;0,(TODAY()-AF818),IF(X818&gt;0,(TODAY()-X818)," "))))))))</f>
        <v>0</v>
      </c>
      <c r="BD818" s="2" t="str">
        <f t="shared" si="33"/>
        <v>Not yet endorsed</v>
      </c>
      <c r="BE818" s="2" t="s">
        <v>75</v>
      </c>
      <c r="BG818" s="2" t="e">
        <v>#N/A</v>
      </c>
    </row>
    <row r="819" spans="2:59" hidden="1" x14ac:dyDescent="0.25">
      <c r="B819" s="2" t="s">
        <v>3597</v>
      </c>
      <c r="C819" s="2" t="s">
        <v>3598</v>
      </c>
      <c r="D819" s="44" t="s">
        <v>3599</v>
      </c>
      <c r="E819" s="2" t="s">
        <v>4</v>
      </c>
      <c r="F819" s="2" t="s">
        <v>2271</v>
      </c>
      <c r="G819" s="2" t="s">
        <v>1</v>
      </c>
      <c r="H819" s="2" t="s">
        <v>120</v>
      </c>
      <c r="I819" s="2" t="s">
        <v>140</v>
      </c>
      <c r="J819" s="2" t="s">
        <v>122</v>
      </c>
      <c r="K819" s="2" t="s">
        <v>723</v>
      </c>
      <c r="L819" s="2" t="s">
        <v>3366</v>
      </c>
      <c r="M819" s="2">
        <v>0</v>
      </c>
      <c r="N819" s="2">
        <v>0</v>
      </c>
      <c r="O819" s="2">
        <v>0</v>
      </c>
      <c r="P819" s="2" t="s">
        <v>72</v>
      </c>
      <c r="Q819" s="2" t="s">
        <v>73</v>
      </c>
      <c r="R819" s="29" t="e">
        <f>IF(INDEX(#REF!,MATCH('data '!$B819,#REF!,0),MATCH('data '!R$3,#REF!,0))=0,"",INDEX(#REF!,MATCH('data '!$B819,#REF!,0),MATCH('data '!R$3,#REF!,0)))</f>
        <v>#REF!</v>
      </c>
      <c r="S819" s="29" t="e">
        <f>IF(INDEX(#REF!,MATCH('data '!$B819,#REF!,0),MATCH('data '!S$3,#REF!,0))=0,"",INDEX(#REF!,MATCH('data '!$B819,#REF!,0),MATCH('data '!S$3,#REF!,0)))</f>
        <v>#REF!</v>
      </c>
      <c r="T819" s="29" t="e">
        <f>IF(INDEX(#REF!,MATCH('data '!$B819,#REF!,0),MATCH('data '!T$3,#REF!,0))=0,"",INDEX(#REF!,MATCH('data '!$B819,#REF!,0),MATCH('data '!T$3,#REF!,0)))</f>
        <v>#REF!</v>
      </c>
      <c r="V819" s="25" t="s">
        <v>74</v>
      </c>
      <c r="W819" s="25">
        <v>0</v>
      </c>
      <c r="AC819" s="8" t="e">
        <f>VLOOKUP(B819,#REF!,19,0)</f>
        <v>#REF!</v>
      </c>
      <c r="AP819" s="8" t="str">
        <f t="shared" si="32"/>
        <v>Not yet endorsed</v>
      </c>
      <c r="AQ819" s="10" t="b" cm="1">
        <f t="array" aca="1" ref="AQ819" ca="1">IF(AM819&gt;0,(TODAY()-AM819),IF(AL819&gt;0,(TODAY()-AL819),IF(AK819&gt;0,(TODAY()-AK819,IF(AI819&gt;0,(TODAY()-AI819),IF(AG819&gt;0,(TODAY()-AG819),IF(AF819&gt;0,(TODAY()-AF819),IF(X819&gt;0,(TODAY()-X819)," "))))))))</f>
        <v>0</v>
      </c>
      <c r="BD819" s="2" t="str">
        <f t="shared" si="33"/>
        <v>Not yet endorsed</v>
      </c>
      <c r="BE819" s="2" t="s">
        <v>75</v>
      </c>
      <c r="BG819" s="2" t="e">
        <v>#N/A</v>
      </c>
    </row>
    <row r="820" spans="2:59" hidden="1" x14ac:dyDescent="0.25">
      <c r="B820" s="2" t="s">
        <v>3600</v>
      </c>
      <c r="C820" s="2" t="s">
        <v>3601</v>
      </c>
      <c r="D820" s="44" t="s">
        <v>3602</v>
      </c>
      <c r="E820" s="2" t="s">
        <v>6</v>
      </c>
      <c r="F820" s="2" t="s">
        <v>110</v>
      </c>
      <c r="G820" s="2" t="s">
        <v>1</v>
      </c>
      <c r="H820" s="2" t="s">
        <v>111</v>
      </c>
      <c r="I820" s="2" t="s">
        <v>112</v>
      </c>
      <c r="J820" s="2" t="s">
        <v>113</v>
      </c>
      <c r="K820" s="2" t="s">
        <v>114</v>
      </c>
      <c r="L820" s="2" t="s">
        <v>115</v>
      </c>
      <c r="M820" s="2">
        <v>0</v>
      </c>
      <c r="N820" s="2">
        <v>0</v>
      </c>
      <c r="O820" s="2">
        <v>0</v>
      </c>
      <c r="P820" s="2" t="s">
        <v>72</v>
      </c>
      <c r="Q820" s="2" t="s">
        <v>73</v>
      </c>
      <c r="R820" s="29" t="e">
        <f>IF(INDEX(#REF!,MATCH('data '!$B820,#REF!,0),MATCH('data '!R$3,#REF!,0))=0,"",INDEX(#REF!,MATCH('data '!$B820,#REF!,0),MATCH('data '!R$3,#REF!,0)))</f>
        <v>#REF!</v>
      </c>
      <c r="S820" s="29" t="e">
        <f>IF(INDEX(#REF!,MATCH('data '!$B820,#REF!,0),MATCH('data '!S$3,#REF!,0))=0,"",INDEX(#REF!,MATCH('data '!$B820,#REF!,0),MATCH('data '!S$3,#REF!,0)))</f>
        <v>#REF!</v>
      </c>
      <c r="T820" s="29" t="e">
        <f>IF(INDEX(#REF!,MATCH('data '!$B820,#REF!,0),MATCH('data '!T$3,#REF!,0))=0,"",INDEX(#REF!,MATCH('data '!$B820,#REF!,0),MATCH('data '!T$3,#REF!,0)))</f>
        <v>#REF!</v>
      </c>
      <c r="V820" s="25" t="s">
        <v>74</v>
      </c>
      <c r="W820" s="25">
        <v>0</v>
      </c>
      <c r="AC820" s="8" t="e">
        <f>VLOOKUP(B820,#REF!,19,0)</f>
        <v>#REF!</v>
      </c>
      <c r="AP820" s="8" t="str">
        <f t="shared" si="32"/>
        <v>Not yet endorsed</v>
      </c>
      <c r="AQ820" s="10" t="b" cm="1">
        <f t="array" aca="1" ref="AQ820" ca="1">IF(AM820&gt;0,(TODAY()-AM820),IF(AL820&gt;0,(TODAY()-AL820),IF(AK820&gt;0,(TODAY()-AK820,IF(AI820&gt;0,(TODAY()-AI820),IF(AG820&gt;0,(TODAY()-AG820),IF(AF820&gt;0,(TODAY()-AF820),IF(X820&gt;0,(TODAY()-X820)," "))))))))</f>
        <v>0</v>
      </c>
      <c r="BD820" s="2" t="str">
        <f t="shared" si="33"/>
        <v>Not yet endorsed</v>
      </c>
      <c r="BE820" s="2" t="s">
        <v>75</v>
      </c>
      <c r="BG820" s="2" t="e">
        <v>#N/A</v>
      </c>
    </row>
    <row r="821" spans="2:59" hidden="1" x14ac:dyDescent="0.25">
      <c r="B821" s="2" t="s">
        <v>3603</v>
      </c>
      <c r="C821" s="2" t="s">
        <v>3604</v>
      </c>
      <c r="D821" s="44" t="s">
        <v>3605</v>
      </c>
      <c r="E821" s="2" t="s">
        <v>6</v>
      </c>
      <c r="F821" s="2" t="s">
        <v>110</v>
      </c>
      <c r="G821" s="2" t="s">
        <v>1</v>
      </c>
      <c r="H821" s="2" t="s">
        <v>111</v>
      </c>
      <c r="I821" s="2" t="s">
        <v>112</v>
      </c>
      <c r="J821" s="2" t="s">
        <v>113</v>
      </c>
      <c r="K821" s="2" t="s">
        <v>114</v>
      </c>
      <c r="L821" s="2" t="s">
        <v>1029</v>
      </c>
      <c r="M821" s="2">
        <v>0</v>
      </c>
      <c r="N821" s="2">
        <v>0</v>
      </c>
      <c r="O821" s="2">
        <v>0</v>
      </c>
      <c r="P821" s="2" t="s">
        <v>72</v>
      </c>
      <c r="Q821" s="2" t="s">
        <v>73</v>
      </c>
      <c r="R821" s="29" t="e">
        <f>IF(INDEX(#REF!,MATCH('data '!$B821,#REF!,0),MATCH('data '!R$3,#REF!,0))=0,"",INDEX(#REF!,MATCH('data '!$B821,#REF!,0),MATCH('data '!R$3,#REF!,0)))</f>
        <v>#REF!</v>
      </c>
      <c r="S821" s="29" t="e">
        <f>IF(INDEX(#REF!,MATCH('data '!$B821,#REF!,0),MATCH('data '!S$3,#REF!,0))=0,"",INDEX(#REF!,MATCH('data '!$B821,#REF!,0),MATCH('data '!S$3,#REF!,0)))</f>
        <v>#REF!</v>
      </c>
      <c r="T821" s="29" t="e">
        <f>IF(INDEX(#REF!,MATCH('data '!$B821,#REF!,0),MATCH('data '!T$3,#REF!,0))=0,"",INDEX(#REF!,MATCH('data '!$B821,#REF!,0),MATCH('data '!T$3,#REF!,0)))</f>
        <v>#REF!</v>
      </c>
      <c r="V821" s="25" t="s">
        <v>74</v>
      </c>
      <c r="W821" s="25">
        <v>0</v>
      </c>
      <c r="AC821" s="8" t="e">
        <f>VLOOKUP(B821,#REF!,19,0)</f>
        <v>#REF!</v>
      </c>
      <c r="AP821" s="8" t="str">
        <f t="shared" si="32"/>
        <v>Not yet endorsed</v>
      </c>
      <c r="AQ821" s="10" t="b" cm="1">
        <f t="array" aca="1" ref="AQ821" ca="1">IF(AM821&gt;0,(TODAY()-AM821),IF(AL821&gt;0,(TODAY()-AL821),IF(AK821&gt;0,(TODAY()-AK821,IF(AI821&gt;0,(TODAY()-AI821),IF(AG821&gt;0,(TODAY()-AG821),IF(AF821&gt;0,(TODAY()-AF821),IF(X821&gt;0,(TODAY()-X821)," "))))))))</f>
        <v>0</v>
      </c>
      <c r="BD821" s="2" t="str">
        <f t="shared" si="33"/>
        <v>Not yet endorsed</v>
      </c>
      <c r="BE821" s="2" t="s">
        <v>75</v>
      </c>
      <c r="BG821" s="2" t="e">
        <v>#N/A</v>
      </c>
    </row>
    <row r="822" spans="2:59" hidden="1" x14ac:dyDescent="0.25">
      <c r="B822" s="2" t="s">
        <v>3606</v>
      </c>
      <c r="C822" s="2" t="s">
        <v>3607</v>
      </c>
      <c r="D822" s="44" t="s">
        <v>3608</v>
      </c>
      <c r="E822" s="2" t="s">
        <v>6</v>
      </c>
      <c r="F822" s="2" t="s">
        <v>110</v>
      </c>
      <c r="G822" s="2" t="s">
        <v>1</v>
      </c>
      <c r="H822" s="2" t="s">
        <v>111</v>
      </c>
      <c r="I822" s="2" t="s">
        <v>112</v>
      </c>
      <c r="J822" s="2" t="s">
        <v>113</v>
      </c>
      <c r="K822" s="2" t="s">
        <v>114</v>
      </c>
      <c r="L822" s="2" t="s">
        <v>115</v>
      </c>
      <c r="M822" s="2">
        <v>0</v>
      </c>
      <c r="N822" s="2">
        <v>0</v>
      </c>
      <c r="O822" s="2">
        <v>0</v>
      </c>
      <c r="P822" s="2" t="s">
        <v>72</v>
      </c>
      <c r="Q822" s="2" t="s">
        <v>73</v>
      </c>
      <c r="R822" s="29" t="e">
        <f>IF(INDEX(#REF!,MATCH('data '!$B822,#REF!,0),MATCH('data '!R$3,#REF!,0))=0,"",INDEX(#REF!,MATCH('data '!$B822,#REF!,0),MATCH('data '!R$3,#REF!,0)))</f>
        <v>#REF!</v>
      </c>
      <c r="S822" s="29" t="e">
        <f>IF(INDEX(#REF!,MATCH('data '!$B822,#REF!,0),MATCH('data '!S$3,#REF!,0))=0,"",INDEX(#REF!,MATCH('data '!$B822,#REF!,0),MATCH('data '!S$3,#REF!,0)))</f>
        <v>#REF!</v>
      </c>
      <c r="T822" s="29" t="e">
        <f>IF(INDEX(#REF!,MATCH('data '!$B822,#REF!,0),MATCH('data '!T$3,#REF!,0))=0,"",INDEX(#REF!,MATCH('data '!$B822,#REF!,0),MATCH('data '!T$3,#REF!,0)))</f>
        <v>#REF!</v>
      </c>
      <c r="V822" s="25" t="s">
        <v>74</v>
      </c>
      <c r="W822" s="25">
        <v>0</v>
      </c>
      <c r="AC822" s="8" t="e">
        <f>VLOOKUP(B822,#REF!,19,0)</f>
        <v>#REF!</v>
      </c>
      <c r="AP822" s="8" t="str">
        <f t="shared" si="32"/>
        <v>Not yet endorsed</v>
      </c>
      <c r="AQ822" s="10" t="b" cm="1">
        <f t="array" aca="1" ref="AQ822" ca="1">IF(AM822&gt;0,(TODAY()-AM822),IF(AL822&gt;0,(TODAY()-AL822),IF(AK822&gt;0,(TODAY()-AK822,IF(AI822&gt;0,(TODAY()-AI822),IF(AG822&gt;0,(TODAY()-AG822),IF(AF822&gt;0,(TODAY()-AF822),IF(X822&gt;0,(TODAY()-X822)," "))))))))</f>
        <v>0</v>
      </c>
      <c r="BD822" s="2" t="str">
        <f t="shared" si="33"/>
        <v>Not yet endorsed</v>
      </c>
      <c r="BE822" s="2" t="s">
        <v>75</v>
      </c>
      <c r="BG822" s="2" t="e">
        <v>#N/A</v>
      </c>
    </row>
    <row r="823" spans="2:59" hidden="1" x14ac:dyDescent="0.25">
      <c r="B823" s="2" t="s">
        <v>3609</v>
      </c>
      <c r="C823" s="2" t="s">
        <v>3610</v>
      </c>
      <c r="D823" s="44" t="s">
        <v>3611</v>
      </c>
      <c r="E823" s="2" t="s">
        <v>6</v>
      </c>
      <c r="F823" s="2" t="s">
        <v>3612</v>
      </c>
      <c r="G823" s="2" t="s">
        <v>1</v>
      </c>
      <c r="H823" s="2" t="s">
        <v>111</v>
      </c>
      <c r="I823" s="2" t="s">
        <v>112</v>
      </c>
      <c r="J823" s="2" t="s">
        <v>130</v>
      </c>
      <c r="K823" s="2" t="s">
        <v>3613</v>
      </c>
      <c r="L823" s="2" t="s">
        <v>3614</v>
      </c>
      <c r="M823" s="2">
        <v>0</v>
      </c>
      <c r="N823" s="2">
        <v>0</v>
      </c>
      <c r="O823" s="2">
        <v>0</v>
      </c>
      <c r="P823" s="2" t="s">
        <v>72</v>
      </c>
      <c r="Q823" s="2" t="s">
        <v>73</v>
      </c>
      <c r="R823" s="29" t="e">
        <f>IF(INDEX(#REF!,MATCH('data '!$B823,#REF!,0),MATCH('data '!R$3,#REF!,0))=0,"",INDEX(#REF!,MATCH('data '!$B823,#REF!,0),MATCH('data '!R$3,#REF!,0)))</f>
        <v>#REF!</v>
      </c>
      <c r="S823" s="29" t="e">
        <f>IF(INDEX(#REF!,MATCH('data '!$B823,#REF!,0),MATCH('data '!S$3,#REF!,0))=0,"",INDEX(#REF!,MATCH('data '!$B823,#REF!,0),MATCH('data '!S$3,#REF!,0)))</f>
        <v>#REF!</v>
      </c>
      <c r="T823" s="29" t="e">
        <f>IF(INDEX(#REF!,MATCH('data '!$B823,#REF!,0),MATCH('data '!T$3,#REF!,0))=0,"",INDEX(#REF!,MATCH('data '!$B823,#REF!,0),MATCH('data '!T$3,#REF!,0)))</f>
        <v>#REF!</v>
      </c>
      <c r="V823" s="25" t="s">
        <v>74</v>
      </c>
      <c r="W823" s="25">
        <v>0</v>
      </c>
      <c r="AC823" s="8" t="e">
        <f>VLOOKUP(B823,#REF!,19,0)</f>
        <v>#REF!</v>
      </c>
      <c r="AP823" s="8" t="str">
        <f t="shared" si="32"/>
        <v>Not yet endorsed</v>
      </c>
      <c r="AQ823" s="10" t="b" cm="1">
        <f t="array" aca="1" ref="AQ823" ca="1">IF(AM823&gt;0,(TODAY()-AM823),IF(AL823&gt;0,(TODAY()-AL823),IF(AK823&gt;0,(TODAY()-AK823,IF(AI823&gt;0,(TODAY()-AI823),IF(AG823&gt;0,(TODAY()-AG823),IF(AF823&gt;0,(TODAY()-AF823),IF(X823&gt;0,(TODAY()-X823)," "))))))))</f>
        <v>0</v>
      </c>
      <c r="BD823" s="2" t="str">
        <f t="shared" si="33"/>
        <v>Not yet endorsed</v>
      </c>
      <c r="BE823" s="2" t="s">
        <v>75</v>
      </c>
      <c r="BG823" s="2" t="e">
        <v>#N/A</v>
      </c>
    </row>
    <row r="824" spans="2:59" hidden="1" x14ac:dyDescent="0.25">
      <c r="B824" s="2" t="s">
        <v>3615</v>
      </c>
      <c r="C824" s="2" t="s">
        <v>3616</v>
      </c>
      <c r="D824" s="44" t="s">
        <v>3617</v>
      </c>
      <c r="E824" s="2" t="s">
        <v>6</v>
      </c>
      <c r="F824" s="2" t="s">
        <v>768</v>
      </c>
      <c r="G824" s="2" t="s">
        <v>1</v>
      </c>
      <c r="H824" s="2" t="s">
        <v>111</v>
      </c>
      <c r="I824" s="2" t="s">
        <v>112</v>
      </c>
      <c r="J824" s="2" t="s">
        <v>344</v>
      </c>
      <c r="K824" s="2" t="s">
        <v>620</v>
      </c>
      <c r="L824" s="2" t="s">
        <v>3455</v>
      </c>
      <c r="M824" s="2" t="s">
        <v>3618</v>
      </c>
      <c r="N824" s="2">
        <v>0</v>
      </c>
      <c r="O824" s="2">
        <v>0</v>
      </c>
      <c r="P824" s="2" t="s">
        <v>72</v>
      </c>
      <c r="Q824" s="2" t="s">
        <v>73</v>
      </c>
      <c r="R824" s="29" t="e">
        <f>IF(INDEX(#REF!,MATCH('data '!$B824,#REF!,0),MATCH('data '!R$3,#REF!,0))=0,"",INDEX(#REF!,MATCH('data '!$B824,#REF!,0),MATCH('data '!R$3,#REF!,0)))</f>
        <v>#REF!</v>
      </c>
      <c r="S824" s="29" t="e">
        <f>IF(INDEX(#REF!,MATCH('data '!$B824,#REF!,0),MATCH('data '!S$3,#REF!,0))=0,"",INDEX(#REF!,MATCH('data '!$B824,#REF!,0),MATCH('data '!S$3,#REF!,0)))</f>
        <v>#REF!</v>
      </c>
      <c r="T824" s="29" t="e">
        <f>IF(INDEX(#REF!,MATCH('data '!$B824,#REF!,0),MATCH('data '!T$3,#REF!,0))=0,"",INDEX(#REF!,MATCH('data '!$B824,#REF!,0),MATCH('data '!T$3,#REF!,0)))</f>
        <v>#REF!</v>
      </c>
      <c r="V824" s="25" t="s">
        <v>74</v>
      </c>
      <c r="W824" s="25">
        <v>0</v>
      </c>
      <c r="AC824" s="8" t="e">
        <f>VLOOKUP(B824,#REF!,19,0)</f>
        <v>#REF!</v>
      </c>
      <c r="AP824" s="8" t="str">
        <f t="shared" si="32"/>
        <v>Not yet endorsed</v>
      </c>
      <c r="AQ824" s="10" t="b" cm="1">
        <f t="array" aca="1" ref="AQ824" ca="1">IF(AM824&gt;0,(TODAY()-AM824),IF(AL824&gt;0,(TODAY()-AL824),IF(AK824&gt;0,(TODAY()-AK824,IF(AI824&gt;0,(TODAY()-AI824),IF(AG824&gt;0,(TODAY()-AG824),IF(AF824&gt;0,(TODAY()-AF824),IF(X824&gt;0,(TODAY()-X824)," "))))))))</f>
        <v>0</v>
      </c>
      <c r="BD824" s="2" t="str">
        <f t="shared" si="33"/>
        <v>Not yet endorsed</v>
      </c>
      <c r="BE824" s="2" t="s">
        <v>75</v>
      </c>
      <c r="BG824" s="2" t="e">
        <v>#N/A</v>
      </c>
    </row>
    <row r="825" spans="2:59" hidden="1" x14ac:dyDescent="0.25">
      <c r="B825" s="2" t="s">
        <v>3619</v>
      </c>
      <c r="C825" s="2" t="s">
        <v>3620</v>
      </c>
      <c r="D825" s="44" t="s">
        <v>3621</v>
      </c>
      <c r="E825" s="2" t="s">
        <v>6</v>
      </c>
      <c r="F825" s="2" t="s">
        <v>110</v>
      </c>
      <c r="G825" s="2" t="s">
        <v>1</v>
      </c>
      <c r="H825" s="2" t="s">
        <v>111</v>
      </c>
      <c r="I825" s="2" t="s">
        <v>112</v>
      </c>
      <c r="J825" s="2" t="s">
        <v>113</v>
      </c>
      <c r="K825" s="2" t="s">
        <v>114</v>
      </c>
      <c r="L825" s="2" t="s">
        <v>1029</v>
      </c>
      <c r="M825" s="2">
        <v>0</v>
      </c>
      <c r="N825" s="2">
        <v>0</v>
      </c>
      <c r="O825" s="2">
        <v>0</v>
      </c>
      <c r="P825" s="2" t="s">
        <v>72</v>
      </c>
      <c r="Q825" s="2" t="s">
        <v>73</v>
      </c>
      <c r="R825" s="29" t="e">
        <f>IF(INDEX(#REF!,MATCH('data '!$B825,#REF!,0),MATCH('data '!R$3,#REF!,0))=0,"",INDEX(#REF!,MATCH('data '!$B825,#REF!,0),MATCH('data '!R$3,#REF!,0)))</f>
        <v>#REF!</v>
      </c>
      <c r="S825" s="29" t="e">
        <f>IF(INDEX(#REF!,MATCH('data '!$B825,#REF!,0),MATCH('data '!S$3,#REF!,0))=0,"",INDEX(#REF!,MATCH('data '!$B825,#REF!,0),MATCH('data '!S$3,#REF!,0)))</f>
        <v>#REF!</v>
      </c>
      <c r="T825" s="29" t="e">
        <f>IF(INDEX(#REF!,MATCH('data '!$B825,#REF!,0),MATCH('data '!T$3,#REF!,0))=0,"",INDEX(#REF!,MATCH('data '!$B825,#REF!,0),MATCH('data '!T$3,#REF!,0)))</f>
        <v>#REF!</v>
      </c>
      <c r="V825" s="25" t="s">
        <v>74</v>
      </c>
      <c r="W825" s="25">
        <v>0</v>
      </c>
      <c r="AC825" s="8" t="e">
        <f>VLOOKUP(B825,#REF!,19,0)</f>
        <v>#REF!</v>
      </c>
      <c r="AP825" s="8" t="str">
        <f t="shared" si="32"/>
        <v>Not yet endorsed</v>
      </c>
      <c r="AQ825" s="10" t="b" cm="1">
        <f t="array" aca="1" ref="AQ825" ca="1">IF(AM825&gt;0,(TODAY()-AM825),IF(AL825&gt;0,(TODAY()-AL825),IF(AK825&gt;0,(TODAY()-AK825,IF(AI825&gt;0,(TODAY()-AI825),IF(AG825&gt;0,(TODAY()-AG825),IF(AF825&gt;0,(TODAY()-AF825),IF(X825&gt;0,(TODAY()-X825)," "))))))))</f>
        <v>0</v>
      </c>
      <c r="BD825" s="2" t="str">
        <f t="shared" si="33"/>
        <v>Not yet endorsed</v>
      </c>
      <c r="BE825" s="2" t="s">
        <v>75</v>
      </c>
      <c r="BG825" s="2" t="e">
        <v>#N/A</v>
      </c>
    </row>
    <row r="826" spans="2:59" hidden="1" x14ac:dyDescent="0.25">
      <c r="B826" s="2" t="s">
        <v>3622</v>
      </c>
      <c r="C826" s="2" t="s">
        <v>3623</v>
      </c>
      <c r="D826" s="44" t="s">
        <v>3624</v>
      </c>
      <c r="E826" s="2" t="s">
        <v>11</v>
      </c>
      <c r="F826" s="2" t="s">
        <v>79</v>
      </c>
      <c r="G826" s="2" t="s">
        <v>1</v>
      </c>
      <c r="H826" s="2" t="s">
        <v>67</v>
      </c>
      <c r="I826" s="2" t="s">
        <v>68</v>
      </c>
      <c r="J826" s="2" t="s">
        <v>80</v>
      </c>
      <c r="K826" s="2" t="s">
        <v>81</v>
      </c>
      <c r="L826" s="2">
        <v>0</v>
      </c>
      <c r="M826" s="2">
        <v>0</v>
      </c>
      <c r="N826" s="2">
        <v>0</v>
      </c>
      <c r="O826" s="2">
        <v>0</v>
      </c>
      <c r="P826" s="2" t="s">
        <v>72</v>
      </c>
      <c r="Q826" s="2" t="s">
        <v>73</v>
      </c>
      <c r="R826" s="29" t="e">
        <f>IF(INDEX(#REF!,MATCH('data '!$B826,#REF!,0),MATCH('data '!R$3,#REF!,0))=0,"",INDEX(#REF!,MATCH('data '!$B826,#REF!,0),MATCH('data '!R$3,#REF!,0)))</f>
        <v>#REF!</v>
      </c>
      <c r="S826" s="29" t="e">
        <f>IF(INDEX(#REF!,MATCH('data '!$B826,#REF!,0),MATCH('data '!S$3,#REF!,0))=0,"",INDEX(#REF!,MATCH('data '!$B826,#REF!,0),MATCH('data '!S$3,#REF!,0)))</f>
        <v>#REF!</v>
      </c>
      <c r="T826" s="29" t="e">
        <f>IF(INDEX(#REF!,MATCH('data '!$B826,#REF!,0),MATCH('data '!T$3,#REF!,0))=0,"",INDEX(#REF!,MATCH('data '!$B826,#REF!,0),MATCH('data '!T$3,#REF!,0)))</f>
        <v>#REF!</v>
      </c>
      <c r="V826" s="25" t="s">
        <v>74</v>
      </c>
      <c r="W826" s="25">
        <v>0</v>
      </c>
      <c r="AC826" s="8" t="e">
        <f>VLOOKUP(B826,#REF!,19,0)</f>
        <v>#REF!</v>
      </c>
      <c r="AP826" s="8" t="str">
        <f t="shared" si="32"/>
        <v>Not yet endorsed</v>
      </c>
      <c r="AQ826" s="10" t="b" cm="1">
        <f t="array" aca="1" ref="AQ826" ca="1">IF(AM826&gt;0,(TODAY()-AM826),IF(AL826&gt;0,(TODAY()-AL826),IF(AK826&gt;0,(TODAY()-AK826,IF(AI826&gt;0,(TODAY()-AI826),IF(AG826&gt;0,(TODAY()-AG826),IF(AF826&gt;0,(TODAY()-AF826),IF(X826&gt;0,(TODAY()-X826)," "))))))))</f>
        <v>0</v>
      </c>
      <c r="BD826" s="2" t="str">
        <f t="shared" si="33"/>
        <v>Not yet endorsed</v>
      </c>
      <c r="BE826" s="2" t="s">
        <v>75</v>
      </c>
      <c r="BG826" s="2" t="e">
        <v>#N/A</v>
      </c>
    </row>
    <row r="827" spans="2:59" hidden="1" x14ac:dyDescent="0.25">
      <c r="B827" s="2" t="s">
        <v>3625</v>
      </c>
      <c r="C827" s="2" t="s">
        <v>3626</v>
      </c>
      <c r="D827" s="44" t="s">
        <v>3627</v>
      </c>
      <c r="E827" s="2" t="s">
        <v>11</v>
      </c>
      <c r="F827" s="2" t="s">
        <v>514</v>
      </c>
      <c r="G827" s="2" t="s">
        <v>1</v>
      </c>
      <c r="H827" s="2" t="s">
        <v>165</v>
      </c>
      <c r="I827" s="2" t="s">
        <v>68</v>
      </c>
      <c r="J827" s="2" t="s">
        <v>239</v>
      </c>
      <c r="K827" s="2" t="s">
        <v>515</v>
      </c>
      <c r="L827" s="2" t="s">
        <v>3041</v>
      </c>
      <c r="M827" s="2">
        <v>0</v>
      </c>
      <c r="N827" s="2">
        <v>0</v>
      </c>
      <c r="O827" s="2">
        <v>0</v>
      </c>
      <c r="P827" s="2" t="s">
        <v>72</v>
      </c>
      <c r="Q827" s="2" t="s">
        <v>73</v>
      </c>
      <c r="R827" s="29" t="e">
        <f>IF(INDEX(#REF!,MATCH('data '!$B827,#REF!,0),MATCH('data '!R$3,#REF!,0))=0,"",INDEX(#REF!,MATCH('data '!$B827,#REF!,0),MATCH('data '!R$3,#REF!,0)))</f>
        <v>#REF!</v>
      </c>
      <c r="S827" s="29" t="e">
        <f>IF(INDEX(#REF!,MATCH('data '!$B827,#REF!,0),MATCH('data '!S$3,#REF!,0))=0,"",INDEX(#REF!,MATCH('data '!$B827,#REF!,0),MATCH('data '!S$3,#REF!,0)))</f>
        <v>#REF!</v>
      </c>
      <c r="T827" s="29" t="e">
        <f>IF(INDEX(#REF!,MATCH('data '!$B827,#REF!,0),MATCH('data '!T$3,#REF!,0))=0,"",INDEX(#REF!,MATCH('data '!$B827,#REF!,0),MATCH('data '!T$3,#REF!,0)))</f>
        <v>#REF!</v>
      </c>
      <c r="V827" s="25" t="s">
        <v>74</v>
      </c>
      <c r="W827" s="25">
        <v>0</v>
      </c>
      <c r="AC827" s="8" t="e">
        <f>VLOOKUP(B827,#REF!,19,0)</f>
        <v>#REF!</v>
      </c>
      <c r="AP827" s="8" t="str">
        <f t="shared" si="32"/>
        <v>Not yet endorsed</v>
      </c>
      <c r="AQ827" s="10" t="b" cm="1">
        <f t="array" aca="1" ref="AQ827" ca="1">IF(AM827&gt;0,(TODAY()-AM827),IF(AL827&gt;0,(TODAY()-AL827),IF(AK827&gt;0,(TODAY()-AK827,IF(AI827&gt;0,(TODAY()-AI827),IF(AG827&gt;0,(TODAY()-AG827),IF(AF827&gt;0,(TODAY()-AF827),IF(X827&gt;0,(TODAY()-X827)," "))))))))</f>
        <v>0</v>
      </c>
      <c r="BD827" s="2" t="str">
        <f t="shared" si="33"/>
        <v>Not yet endorsed</v>
      </c>
      <c r="BE827" s="2" t="s">
        <v>75</v>
      </c>
      <c r="BG827" s="2" t="e">
        <v>#N/A</v>
      </c>
    </row>
    <row r="828" spans="2:59" hidden="1" x14ac:dyDescent="0.25">
      <c r="B828" s="2" t="s">
        <v>3628</v>
      </c>
      <c r="C828" s="2" t="s">
        <v>3629</v>
      </c>
      <c r="D828" s="44" t="s">
        <v>3630</v>
      </c>
      <c r="E828" s="2" t="s">
        <v>11</v>
      </c>
      <c r="F828" s="2" t="s">
        <v>591</v>
      </c>
      <c r="G828" s="2" t="s">
        <v>1</v>
      </c>
      <c r="H828" s="2" t="s">
        <v>165</v>
      </c>
      <c r="I828" s="2" t="s">
        <v>68</v>
      </c>
      <c r="J828" s="2" t="s">
        <v>173</v>
      </c>
      <c r="K828" s="2" t="s">
        <v>592</v>
      </c>
      <c r="L828" s="2" t="s">
        <v>593</v>
      </c>
      <c r="M828" s="2">
        <v>0</v>
      </c>
      <c r="N828" s="2">
        <v>0</v>
      </c>
      <c r="O828" s="2">
        <v>0</v>
      </c>
      <c r="P828" s="2" t="s">
        <v>72</v>
      </c>
      <c r="Q828" s="2" t="e">
        <v>#N/A</v>
      </c>
      <c r="R828" s="29" t="e">
        <f>IF(INDEX(#REF!,MATCH('data '!$B828,#REF!,0),MATCH('data '!R$3,#REF!,0))=0,"",INDEX(#REF!,MATCH('data '!$B828,#REF!,0),MATCH('data '!R$3,#REF!,0)))</f>
        <v>#REF!</v>
      </c>
      <c r="S828" s="29" t="e">
        <f>IF(INDEX(#REF!,MATCH('data '!$B828,#REF!,0),MATCH('data '!S$3,#REF!,0))=0,"",INDEX(#REF!,MATCH('data '!$B828,#REF!,0),MATCH('data '!S$3,#REF!,0)))</f>
        <v>#REF!</v>
      </c>
      <c r="T828" s="29" t="e">
        <f>IF(INDEX(#REF!,MATCH('data '!$B828,#REF!,0),MATCH('data '!T$3,#REF!,0))=0,"",INDEX(#REF!,MATCH('data '!$B828,#REF!,0),MATCH('data '!T$3,#REF!,0)))</f>
        <v>#REF!</v>
      </c>
      <c r="V828" s="25" t="s">
        <v>74</v>
      </c>
      <c r="W828" s="25">
        <v>0</v>
      </c>
      <c r="AC828" s="8" t="e">
        <f>VLOOKUP(B828,#REF!,19,0)</f>
        <v>#REF!</v>
      </c>
      <c r="AP828" s="8" t="str">
        <f t="shared" si="32"/>
        <v>Not yet endorsed</v>
      </c>
      <c r="AQ828" s="10" t="b" cm="1">
        <f t="array" aca="1" ref="AQ828" ca="1">IF(AM828&gt;0,(TODAY()-AM828),IF(AL828&gt;0,(TODAY()-AL828),IF(AK828&gt;0,(TODAY()-AK828,IF(AI828&gt;0,(TODAY()-AI828),IF(AG828&gt;0,(TODAY()-AG828),IF(AF828&gt;0,(TODAY()-AF828),IF(X828&gt;0,(TODAY()-X828)," "))))))))</f>
        <v>0</v>
      </c>
      <c r="BD828" s="2" t="str">
        <f t="shared" si="33"/>
        <v>Not yet endorsed</v>
      </c>
      <c r="BE828" s="2" t="s">
        <v>75</v>
      </c>
      <c r="BG828" s="2" t="e">
        <v>#N/A</v>
      </c>
    </row>
    <row r="829" spans="2:59" hidden="1" x14ac:dyDescent="0.25">
      <c r="B829" s="2" t="s">
        <v>3631</v>
      </c>
      <c r="C829" s="2" t="s">
        <v>3632</v>
      </c>
      <c r="D829" s="44" t="s">
        <v>3633</v>
      </c>
      <c r="E829" s="2" t="s">
        <v>6</v>
      </c>
      <c r="F829" s="2" t="s">
        <v>110</v>
      </c>
      <c r="G829" s="2" t="s">
        <v>1</v>
      </c>
      <c r="H829" s="2" t="s">
        <v>111</v>
      </c>
      <c r="I829" s="2" t="s">
        <v>112</v>
      </c>
      <c r="J829" s="2" t="s">
        <v>113</v>
      </c>
      <c r="K829" s="2" t="s">
        <v>114</v>
      </c>
      <c r="L829" s="2" t="s">
        <v>115</v>
      </c>
      <c r="M829" s="2">
        <v>0</v>
      </c>
      <c r="N829" s="2">
        <v>0</v>
      </c>
      <c r="O829" s="2">
        <v>0</v>
      </c>
      <c r="P829" s="2" t="s">
        <v>72</v>
      </c>
      <c r="Q829" s="2" t="s">
        <v>73</v>
      </c>
      <c r="R829" s="29" t="e">
        <f>IF(INDEX(#REF!,MATCH('data '!$B829,#REF!,0),MATCH('data '!R$3,#REF!,0))=0,"",INDEX(#REF!,MATCH('data '!$B829,#REF!,0),MATCH('data '!R$3,#REF!,0)))</f>
        <v>#REF!</v>
      </c>
      <c r="S829" s="29" t="e">
        <f>IF(INDEX(#REF!,MATCH('data '!$B829,#REF!,0),MATCH('data '!S$3,#REF!,0))=0,"",INDEX(#REF!,MATCH('data '!$B829,#REF!,0),MATCH('data '!S$3,#REF!,0)))</f>
        <v>#REF!</v>
      </c>
      <c r="T829" s="29" t="e">
        <f>IF(INDEX(#REF!,MATCH('data '!$B829,#REF!,0),MATCH('data '!T$3,#REF!,0))=0,"",INDEX(#REF!,MATCH('data '!$B829,#REF!,0),MATCH('data '!T$3,#REF!,0)))</f>
        <v>#REF!</v>
      </c>
      <c r="V829" s="25" t="s">
        <v>74</v>
      </c>
      <c r="W829" s="25">
        <v>0</v>
      </c>
      <c r="AC829" s="8" t="e">
        <f>VLOOKUP(B829,#REF!,19,0)</f>
        <v>#REF!</v>
      </c>
      <c r="AP829" s="8" t="str">
        <f t="shared" si="32"/>
        <v>Not yet endorsed</v>
      </c>
      <c r="AQ829" s="10" t="b" cm="1">
        <f t="array" aca="1" ref="AQ829" ca="1">IF(AM829&gt;0,(TODAY()-AM829),IF(AL829&gt;0,(TODAY()-AL829),IF(AK829&gt;0,(TODAY()-AK829,IF(AI829&gt;0,(TODAY()-AI829),IF(AG829&gt;0,(TODAY()-AG829),IF(AF829&gt;0,(TODAY()-AF829),IF(X829&gt;0,(TODAY()-X829)," "))))))))</f>
        <v>0</v>
      </c>
      <c r="BD829" s="2" t="str">
        <f t="shared" si="33"/>
        <v>Not yet endorsed</v>
      </c>
      <c r="BE829" s="2" t="s">
        <v>75</v>
      </c>
      <c r="BG829" s="2" t="e">
        <v>#N/A</v>
      </c>
    </row>
    <row r="830" spans="2:59" hidden="1" x14ac:dyDescent="0.25">
      <c r="B830" s="2" t="s">
        <v>3634</v>
      </c>
      <c r="C830" s="2" t="s">
        <v>3635</v>
      </c>
      <c r="D830" s="44" t="s">
        <v>3636</v>
      </c>
      <c r="E830" s="2" t="s">
        <v>6</v>
      </c>
      <c r="F830" s="2" t="s">
        <v>110</v>
      </c>
      <c r="G830" s="2" t="s">
        <v>1</v>
      </c>
      <c r="H830" s="2" t="s">
        <v>111</v>
      </c>
      <c r="I830" s="2" t="s">
        <v>112</v>
      </c>
      <c r="J830" s="2" t="s">
        <v>113</v>
      </c>
      <c r="K830" s="2" t="s">
        <v>114</v>
      </c>
      <c r="L830" s="2" t="s">
        <v>115</v>
      </c>
      <c r="M830" s="2">
        <v>0</v>
      </c>
      <c r="N830" s="2">
        <v>0</v>
      </c>
      <c r="O830" s="2">
        <v>0</v>
      </c>
      <c r="P830" s="2" t="s">
        <v>72</v>
      </c>
      <c r="Q830" s="2" t="s">
        <v>73</v>
      </c>
      <c r="R830" s="29" t="e">
        <f>IF(INDEX(#REF!,MATCH('data '!$B830,#REF!,0),MATCH('data '!R$3,#REF!,0))=0,"",INDEX(#REF!,MATCH('data '!$B830,#REF!,0),MATCH('data '!R$3,#REF!,0)))</f>
        <v>#REF!</v>
      </c>
      <c r="S830" s="29" t="e">
        <f>IF(INDEX(#REF!,MATCH('data '!$B830,#REF!,0),MATCH('data '!S$3,#REF!,0))=0,"",INDEX(#REF!,MATCH('data '!$B830,#REF!,0),MATCH('data '!S$3,#REF!,0)))</f>
        <v>#REF!</v>
      </c>
      <c r="T830" s="29" t="e">
        <f>IF(INDEX(#REF!,MATCH('data '!$B830,#REF!,0),MATCH('data '!T$3,#REF!,0))=0,"",INDEX(#REF!,MATCH('data '!$B830,#REF!,0),MATCH('data '!T$3,#REF!,0)))</f>
        <v>#REF!</v>
      </c>
      <c r="V830" s="25" t="s">
        <v>74</v>
      </c>
      <c r="W830" s="25">
        <v>0</v>
      </c>
      <c r="AC830" s="8" t="e">
        <f>VLOOKUP(B830,#REF!,19,0)</f>
        <v>#REF!</v>
      </c>
      <c r="AP830" s="8" t="str">
        <f t="shared" si="32"/>
        <v>Not yet endorsed</v>
      </c>
      <c r="AQ830" s="10" t="b" cm="1">
        <f t="array" aca="1" ref="AQ830" ca="1">IF(AM830&gt;0,(TODAY()-AM830),IF(AL830&gt;0,(TODAY()-AL830),IF(AK830&gt;0,(TODAY()-AK830,IF(AI830&gt;0,(TODAY()-AI830),IF(AG830&gt;0,(TODAY()-AG830),IF(AF830&gt;0,(TODAY()-AF830),IF(X830&gt;0,(TODAY()-X830)," "))))))))</f>
        <v>0</v>
      </c>
      <c r="BD830" s="2" t="str">
        <f t="shared" si="33"/>
        <v>Not yet endorsed</v>
      </c>
      <c r="BE830" s="2" t="s">
        <v>75</v>
      </c>
      <c r="BG830" s="2" t="e">
        <v>#N/A</v>
      </c>
    </row>
    <row r="831" spans="2:59" hidden="1" x14ac:dyDescent="0.25">
      <c r="B831" s="2" t="s">
        <v>3637</v>
      </c>
      <c r="C831" s="2" t="s">
        <v>3638</v>
      </c>
      <c r="D831" s="44" t="s">
        <v>3639</v>
      </c>
      <c r="E831" s="2" t="s">
        <v>6</v>
      </c>
      <c r="F831" s="2" t="s">
        <v>110</v>
      </c>
      <c r="G831" s="2" t="s">
        <v>1</v>
      </c>
      <c r="H831" s="2" t="s">
        <v>111</v>
      </c>
      <c r="I831" s="2" t="s">
        <v>112</v>
      </c>
      <c r="J831" s="2" t="s">
        <v>113</v>
      </c>
      <c r="K831" s="2" t="s">
        <v>114</v>
      </c>
      <c r="L831" s="2" t="s">
        <v>115</v>
      </c>
      <c r="M831" s="2">
        <v>0</v>
      </c>
      <c r="N831" s="2">
        <v>0</v>
      </c>
      <c r="O831" s="2">
        <v>0</v>
      </c>
      <c r="P831" s="2" t="s">
        <v>72</v>
      </c>
      <c r="Q831" s="2" t="s">
        <v>73</v>
      </c>
      <c r="R831" s="29" t="e">
        <f>IF(INDEX(#REF!,MATCH('data '!$B831,#REF!,0),MATCH('data '!R$3,#REF!,0))=0,"",INDEX(#REF!,MATCH('data '!$B831,#REF!,0),MATCH('data '!R$3,#REF!,0)))</f>
        <v>#REF!</v>
      </c>
      <c r="S831" s="29" t="e">
        <f>IF(INDEX(#REF!,MATCH('data '!$B831,#REF!,0),MATCH('data '!S$3,#REF!,0))=0,"",INDEX(#REF!,MATCH('data '!$B831,#REF!,0),MATCH('data '!S$3,#REF!,0)))</f>
        <v>#REF!</v>
      </c>
      <c r="T831" s="29" t="e">
        <f>IF(INDEX(#REF!,MATCH('data '!$B831,#REF!,0),MATCH('data '!T$3,#REF!,0))=0,"",INDEX(#REF!,MATCH('data '!$B831,#REF!,0),MATCH('data '!T$3,#REF!,0)))</f>
        <v>#REF!</v>
      </c>
      <c r="V831" s="25" t="s">
        <v>74</v>
      </c>
      <c r="W831" s="25">
        <v>0</v>
      </c>
      <c r="AC831" s="8" t="e">
        <f>VLOOKUP(B831,#REF!,19,0)</f>
        <v>#REF!</v>
      </c>
      <c r="AP831" s="8" t="str">
        <f t="shared" si="32"/>
        <v>Not yet endorsed</v>
      </c>
      <c r="AQ831" s="10" t="b" cm="1">
        <f t="array" aca="1" ref="AQ831" ca="1">IF(AM831&gt;0,(TODAY()-AM831),IF(AL831&gt;0,(TODAY()-AL831),IF(AK831&gt;0,(TODAY()-AK831,IF(AI831&gt;0,(TODAY()-AI831),IF(AG831&gt;0,(TODAY()-AG831),IF(AF831&gt;0,(TODAY()-AF831),IF(X831&gt;0,(TODAY()-X831)," "))))))))</f>
        <v>0</v>
      </c>
      <c r="BD831" s="2" t="str">
        <f t="shared" si="33"/>
        <v>Not yet endorsed</v>
      </c>
      <c r="BE831" s="2" t="s">
        <v>75</v>
      </c>
      <c r="BG831" s="2" t="e">
        <v>#N/A</v>
      </c>
    </row>
    <row r="832" spans="2:59" hidden="1" x14ac:dyDescent="0.25">
      <c r="B832" s="2" t="s">
        <v>3640</v>
      </c>
      <c r="C832" s="2" t="s">
        <v>3641</v>
      </c>
      <c r="D832" s="44" t="s">
        <v>3642</v>
      </c>
      <c r="E832" s="2" t="s">
        <v>6</v>
      </c>
      <c r="F832" s="2" t="s">
        <v>110</v>
      </c>
      <c r="G832" s="2" t="s">
        <v>1</v>
      </c>
      <c r="H832" s="2" t="s">
        <v>111</v>
      </c>
      <c r="I832" s="2" t="s">
        <v>112</v>
      </c>
      <c r="J832" s="2" t="s">
        <v>113</v>
      </c>
      <c r="K832" s="2" t="s">
        <v>114</v>
      </c>
      <c r="L832" s="2" t="s">
        <v>115</v>
      </c>
      <c r="M832" s="2">
        <v>0</v>
      </c>
      <c r="N832" s="2">
        <v>0</v>
      </c>
      <c r="O832" s="2">
        <v>0</v>
      </c>
      <c r="P832" s="2" t="s">
        <v>72</v>
      </c>
      <c r="Q832" s="2" t="s">
        <v>73</v>
      </c>
      <c r="R832" s="29" t="e">
        <f>IF(INDEX(#REF!,MATCH('data '!$B832,#REF!,0),MATCH('data '!R$3,#REF!,0))=0,"",INDEX(#REF!,MATCH('data '!$B832,#REF!,0),MATCH('data '!R$3,#REF!,0)))</f>
        <v>#REF!</v>
      </c>
      <c r="S832" s="29" t="e">
        <f>IF(INDEX(#REF!,MATCH('data '!$B832,#REF!,0),MATCH('data '!S$3,#REF!,0))=0,"",INDEX(#REF!,MATCH('data '!$B832,#REF!,0),MATCH('data '!S$3,#REF!,0)))</f>
        <v>#REF!</v>
      </c>
      <c r="T832" s="29" t="e">
        <f>IF(INDEX(#REF!,MATCH('data '!$B832,#REF!,0),MATCH('data '!T$3,#REF!,0))=0,"",INDEX(#REF!,MATCH('data '!$B832,#REF!,0),MATCH('data '!T$3,#REF!,0)))</f>
        <v>#REF!</v>
      </c>
      <c r="V832" s="25" t="s">
        <v>74</v>
      </c>
      <c r="W832" s="25">
        <v>0</v>
      </c>
      <c r="AC832" s="8" t="e">
        <f>VLOOKUP(B832,#REF!,19,0)</f>
        <v>#REF!</v>
      </c>
      <c r="AP832" s="8" t="str">
        <f t="shared" si="32"/>
        <v>Not yet endorsed</v>
      </c>
      <c r="AQ832" s="10" t="b" cm="1">
        <f t="array" aca="1" ref="AQ832" ca="1">IF(AM832&gt;0,(TODAY()-AM832),IF(AL832&gt;0,(TODAY()-AL832),IF(AK832&gt;0,(TODAY()-AK832,IF(AI832&gt;0,(TODAY()-AI832),IF(AG832&gt;0,(TODAY()-AG832),IF(AF832&gt;0,(TODAY()-AF832),IF(X832&gt;0,(TODAY()-X832)," "))))))))</f>
        <v>0</v>
      </c>
      <c r="BD832" s="2" t="str">
        <f t="shared" si="33"/>
        <v>Not yet endorsed</v>
      </c>
      <c r="BE832" s="2" t="s">
        <v>75</v>
      </c>
      <c r="BG832" s="2" t="e">
        <v>#N/A</v>
      </c>
    </row>
    <row r="833" spans="2:59" hidden="1" x14ac:dyDescent="0.25">
      <c r="B833" s="2" t="s">
        <v>3643</v>
      </c>
      <c r="C833" s="2" t="s">
        <v>3644</v>
      </c>
      <c r="D833" s="44" t="s">
        <v>3645</v>
      </c>
      <c r="E833" s="2" t="s">
        <v>6</v>
      </c>
      <c r="F833" s="2" t="s">
        <v>110</v>
      </c>
      <c r="G833" s="2" t="s">
        <v>1</v>
      </c>
      <c r="H833" s="2" t="s">
        <v>111</v>
      </c>
      <c r="I833" s="2" t="s">
        <v>112</v>
      </c>
      <c r="J833" s="2" t="s">
        <v>113</v>
      </c>
      <c r="K833" s="2" t="s">
        <v>114</v>
      </c>
      <c r="L833" s="2" t="s">
        <v>115</v>
      </c>
      <c r="M833" s="2">
        <v>0</v>
      </c>
      <c r="N833" s="2">
        <v>0</v>
      </c>
      <c r="O833" s="2">
        <v>0</v>
      </c>
      <c r="P833" s="2" t="s">
        <v>72</v>
      </c>
      <c r="Q833" s="2" t="s">
        <v>73</v>
      </c>
      <c r="R833" s="29" t="e">
        <f>IF(INDEX(#REF!,MATCH('data '!$B833,#REF!,0),MATCH('data '!R$3,#REF!,0))=0,"",INDEX(#REF!,MATCH('data '!$B833,#REF!,0),MATCH('data '!R$3,#REF!,0)))</f>
        <v>#REF!</v>
      </c>
      <c r="S833" s="29" t="e">
        <f>IF(INDEX(#REF!,MATCH('data '!$B833,#REF!,0),MATCH('data '!S$3,#REF!,0))=0,"",INDEX(#REF!,MATCH('data '!$B833,#REF!,0),MATCH('data '!S$3,#REF!,0)))</f>
        <v>#REF!</v>
      </c>
      <c r="T833" s="29" t="e">
        <f>IF(INDEX(#REF!,MATCH('data '!$B833,#REF!,0),MATCH('data '!T$3,#REF!,0))=0,"",INDEX(#REF!,MATCH('data '!$B833,#REF!,0),MATCH('data '!T$3,#REF!,0)))</f>
        <v>#REF!</v>
      </c>
      <c r="V833" s="25" t="s">
        <v>74</v>
      </c>
      <c r="W833" s="25">
        <v>0</v>
      </c>
      <c r="AC833" s="8" t="e">
        <f>VLOOKUP(B833,#REF!,19,0)</f>
        <v>#REF!</v>
      </c>
      <c r="AP833" s="8" t="str">
        <f t="shared" si="32"/>
        <v>Not yet endorsed</v>
      </c>
      <c r="AQ833" s="10" t="b" cm="1">
        <f t="array" aca="1" ref="AQ833" ca="1">IF(AM833&gt;0,(TODAY()-AM833),IF(AL833&gt;0,(TODAY()-AL833),IF(AK833&gt;0,(TODAY()-AK833,IF(AI833&gt;0,(TODAY()-AI833),IF(AG833&gt;0,(TODAY()-AG833),IF(AF833&gt;0,(TODAY()-AF833),IF(X833&gt;0,(TODAY()-X833)," "))))))))</f>
        <v>0</v>
      </c>
      <c r="BD833" s="2" t="str">
        <f t="shared" si="33"/>
        <v>Not yet endorsed</v>
      </c>
      <c r="BE833" s="2" t="s">
        <v>75</v>
      </c>
      <c r="BG833" s="2" t="e">
        <v>#N/A</v>
      </c>
    </row>
    <row r="834" spans="2:59" hidden="1" x14ac:dyDescent="0.25">
      <c r="B834" s="2" t="s">
        <v>3646</v>
      </c>
      <c r="C834" s="2" t="s">
        <v>3647</v>
      </c>
      <c r="D834" s="44" t="s">
        <v>3648</v>
      </c>
      <c r="E834" s="2" t="s">
        <v>6</v>
      </c>
      <c r="F834" s="2" t="s">
        <v>110</v>
      </c>
      <c r="G834" s="2" t="s">
        <v>1</v>
      </c>
      <c r="H834" s="2" t="s">
        <v>111</v>
      </c>
      <c r="I834" s="2" t="s">
        <v>112</v>
      </c>
      <c r="J834" s="2" t="s">
        <v>113</v>
      </c>
      <c r="K834" s="2" t="s">
        <v>114</v>
      </c>
      <c r="L834" s="2" t="s">
        <v>115</v>
      </c>
      <c r="M834" s="2">
        <v>0</v>
      </c>
      <c r="N834" s="2">
        <v>0</v>
      </c>
      <c r="O834" s="2">
        <v>0</v>
      </c>
      <c r="P834" s="2" t="s">
        <v>72</v>
      </c>
      <c r="Q834" s="2" t="s">
        <v>73</v>
      </c>
      <c r="R834" s="29" t="e">
        <f>IF(INDEX(#REF!,MATCH('data '!$B834,#REF!,0),MATCH('data '!R$3,#REF!,0))=0,"",INDEX(#REF!,MATCH('data '!$B834,#REF!,0),MATCH('data '!R$3,#REF!,0)))</f>
        <v>#REF!</v>
      </c>
      <c r="S834" s="29" t="e">
        <f>IF(INDEX(#REF!,MATCH('data '!$B834,#REF!,0),MATCH('data '!S$3,#REF!,0))=0,"",INDEX(#REF!,MATCH('data '!$B834,#REF!,0),MATCH('data '!S$3,#REF!,0)))</f>
        <v>#REF!</v>
      </c>
      <c r="T834" s="29" t="e">
        <f>IF(INDEX(#REF!,MATCH('data '!$B834,#REF!,0),MATCH('data '!T$3,#REF!,0))=0,"",INDEX(#REF!,MATCH('data '!$B834,#REF!,0),MATCH('data '!T$3,#REF!,0)))</f>
        <v>#REF!</v>
      </c>
      <c r="V834" s="25" t="s">
        <v>74</v>
      </c>
      <c r="W834" s="25">
        <v>0</v>
      </c>
      <c r="AC834" s="8" t="e">
        <f>VLOOKUP(B834,#REF!,19,0)</f>
        <v>#REF!</v>
      </c>
      <c r="AP834" s="8" t="str">
        <f t="shared" si="32"/>
        <v>Not yet endorsed</v>
      </c>
      <c r="AQ834" s="10" t="b" cm="1">
        <f t="array" aca="1" ref="AQ834" ca="1">IF(AM834&gt;0,(TODAY()-AM834),IF(AL834&gt;0,(TODAY()-AL834),IF(AK834&gt;0,(TODAY()-AK834,IF(AI834&gt;0,(TODAY()-AI834),IF(AG834&gt;0,(TODAY()-AG834),IF(AF834&gt;0,(TODAY()-AF834),IF(X834&gt;0,(TODAY()-X834)," "))))))))</f>
        <v>0</v>
      </c>
      <c r="BD834" s="2" t="str">
        <f t="shared" si="33"/>
        <v>Not yet endorsed</v>
      </c>
      <c r="BE834" s="2" t="s">
        <v>75</v>
      </c>
      <c r="BG834" s="2" t="e">
        <v>#N/A</v>
      </c>
    </row>
    <row r="835" spans="2:59" hidden="1" x14ac:dyDescent="0.25">
      <c r="B835" s="2" t="s">
        <v>3649</v>
      </c>
      <c r="C835" s="2" t="s">
        <v>3650</v>
      </c>
      <c r="D835" s="44" t="s">
        <v>3651</v>
      </c>
      <c r="E835" s="2" t="s">
        <v>6</v>
      </c>
      <c r="F835" s="2" t="s">
        <v>110</v>
      </c>
      <c r="G835" s="2" t="s">
        <v>1</v>
      </c>
      <c r="H835" s="2" t="s">
        <v>111</v>
      </c>
      <c r="I835" s="2" t="s">
        <v>112</v>
      </c>
      <c r="J835" s="2" t="s">
        <v>113</v>
      </c>
      <c r="K835" s="2" t="s">
        <v>114</v>
      </c>
      <c r="L835" s="2" t="s">
        <v>115</v>
      </c>
      <c r="M835" s="2">
        <v>0</v>
      </c>
      <c r="N835" s="2">
        <v>0</v>
      </c>
      <c r="O835" s="2">
        <v>0</v>
      </c>
      <c r="P835" s="2" t="s">
        <v>72</v>
      </c>
      <c r="Q835" s="2" t="s">
        <v>73</v>
      </c>
      <c r="R835" s="29" t="e">
        <f>IF(INDEX(#REF!,MATCH('data '!$B835,#REF!,0),MATCH('data '!R$3,#REF!,0))=0,"",INDEX(#REF!,MATCH('data '!$B835,#REF!,0),MATCH('data '!R$3,#REF!,0)))</f>
        <v>#REF!</v>
      </c>
      <c r="S835" s="29" t="e">
        <f>IF(INDEX(#REF!,MATCH('data '!$B835,#REF!,0),MATCH('data '!S$3,#REF!,0))=0,"",INDEX(#REF!,MATCH('data '!$B835,#REF!,0),MATCH('data '!S$3,#REF!,0)))</f>
        <v>#REF!</v>
      </c>
      <c r="T835" s="29" t="e">
        <f>IF(INDEX(#REF!,MATCH('data '!$B835,#REF!,0),MATCH('data '!T$3,#REF!,0))=0,"",INDEX(#REF!,MATCH('data '!$B835,#REF!,0),MATCH('data '!T$3,#REF!,0)))</f>
        <v>#REF!</v>
      </c>
      <c r="V835" s="25" t="s">
        <v>74</v>
      </c>
      <c r="W835" s="25">
        <v>0</v>
      </c>
      <c r="AC835" s="8" t="e">
        <f>VLOOKUP(B835,#REF!,19,0)</f>
        <v>#REF!</v>
      </c>
      <c r="AP835" s="8" t="str">
        <f t="shared" si="32"/>
        <v>Not yet endorsed</v>
      </c>
      <c r="AQ835" s="10" t="b" cm="1">
        <f t="array" aca="1" ref="AQ835" ca="1">IF(AM835&gt;0,(TODAY()-AM835),IF(AL835&gt;0,(TODAY()-AL835),IF(AK835&gt;0,(TODAY()-AK835,IF(AI835&gt;0,(TODAY()-AI835),IF(AG835&gt;0,(TODAY()-AG835),IF(AF835&gt;0,(TODAY()-AF835),IF(X835&gt;0,(TODAY()-X835)," "))))))))</f>
        <v>0</v>
      </c>
      <c r="BD835" s="2" t="str">
        <f t="shared" si="33"/>
        <v>Not yet endorsed</v>
      </c>
      <c r="BE835" s="2" t="s">
        <v>75</v>
      </c>
      <c r="BG835" s="2" t="e">
        <v>#N/A</v>
      </c>
    </row>
    <row r="836" spans="2:59" hidden="1" x14ac:dyDescent="0.25">
      <c r="B836" s="2" t="s">
        <v>3652</v>
      </c>
      <c r="C836" s="2" t="s">
        <v>3653</v>
      </c>
      <c r="D836" s="44" t="s">
        <v>3654</v>
      </c>
      <c r="E836" s="2" t="s">
        <v>6</v>
      </c>
      <c r="F836" s="2" t="s">
        <v>110</v>
      </c>
      <c r="G836" s="2" t="s">
        <v>1</v>
      </c>
      <c r="H836" s="2" t="s">
        <v>111</v>
      </c>
      <c r="I836" s="2" t="s">
        <v>112</v>
      </c>
      <c r="J836" s="2" t="s">
        <v>113</v>
      </c>
      <c r="K836" s="2" t="s">
        <v>114</v>
      </c>
      <c r="L836" s="2" t="s">
        <v>115</v>
      </c>
      <c r="M836" s="2">
        <v>0</v>
      </c>
      <c r="N836" s="2">
        <v>0</v>
      </c>
      <c r="O836" s="2">
        <v>0</v>
      </c>
      <c r="P836" s="2" t="s">
        <v>72</v>
      </c>
      <c r="Q836" s="2" t="s">
        <v>73</v>
      </c>
      <c r="R836" s="29" t="e">
        <f>IF(INDEX(#REF!,MATCH('data '!$B836,#REF!,0),MATCH('data '!R$3,#REF!,0))=0,"",INDEX(#REF!,MATCH('data '!$B836,#REF!,0),MATCH('data '!R$3,#REF!,0)))</f>
        <v>#REF!</v>
      </c>
      <c r="S836" s="29" t="e">
        <f>IF(INDEX(#REF!,MATCH('data '!$B836,#REF!,0),MATCH('data '!S$3,#REF!,0))=0,"",INDEX(#REF!,MATCH('data '!$B836,#REF!,0),MATCH('data '!S$3,#REF!,0)))</f>
        <v>#REF!</v>
      </c>
      <c r="T836" s="29" t="e">
        <f>IF(INDEX(#REF!,MATCH('data '!$B836,#REF!,0),MATCH('data '!T$3,#REF!,0))=0,"",INDEX(#REF!,MATCH('data '!$B836,#REF!,0),MATCH('data '!T$3,#REF!,0)))</f>
        <v>#REF!</v>
      </c>
      <c r="V836" s="25" t="s">
        <v>74</v>
      </c>
      <c r="W836" s="25">
        <v>0</v>
      </c>
      <c r="AC836" s="8" t="e">
        <f>VLOOKUP(B836,#REF!,19,0)</f>
        <v>#REF!</v>
      </c>
      <c r="AP836" s="8" t="str">
        <f t="shared" ref="AP836:AP899" si="34">IF(AM836&gt;0,"Tempo Energized",IF(AL836&gt;0,"Tempo Permit Released",IF(AK836&gt;0,"COOP Surveyed",IF(AI836&gt;0,"PO Issued",IF(AG836&gt;0,"PQ Raised",IF(AF836&gt;0,"Vendor Allocated",IF(X836&gt;0,"BP Secured","Not yet endorsed")))))))</f>
        <v>Not yet endorsed</v>
      </c>
      <c r="AQ836" s="10" t="b" cm="1">
        <f t="array" aca="1" ref="AQ836" ca="1">IF(AM836&gt;0,(TODAY()-AM836),IF(AL836&gt;0,(TODAY()-AL836),IF(AK836&gt;0,(TODAY()-AK836,IF(AI836&gt;0,(TODAY()-AI836),IF(AG836&gt;0,(TODAY()-AG836),IF(AF836&gt;0,(TODAY()-AF836),IF(X836&gt;0,(TODAY()-X836)," "))))))))</f>
        <v>0</v>
      </c>
      <c r="BD836" s="2" t="str">
        <f t="shared" ref="BD836:BD899" si="35">IF(BC836&gt;0,"Permanent Energized",IF(BB836&gt;0,"Bill deposit Paid",IF(BA836&gt;0,"Line Construction Completed",IF(AZ836&gt;0,"Line Construction Started",IF(AX836&gt;0,"PO Issued",IF(AV836&gt;0,"PQ Raised",IF(AU836&gt;0,"BoQ Approved",IF(AT836&gt;0,"BoQ Submitted",IF(AF836&gt;0,"Vendor Allocated",IF(X836&gt;0,"BP Secured",IF(U836&gt;0,"TSSR Approved","Not yet endorsed")))))))))))</f>
        <v>Not yet endorsed</v>
      </c>
      <c r="BE836" s="2" t="s">
        <v>75</v>
      </c>
      <c r="BG836" s="2" t="e">
        <v>#N/A</v>
      </c>
    </row>
    <row r="837" spans="2:59" hidden="1" x14ac:dyDescent="0.25">
      <c r="B837" s="2" t="s">
        <v>3655</v>
      </c>
      <c r="C837" s="2" t="s">
        <v>3656</v>
      </c>
      <c r="D837" s="44" t="s">
        <v>3657</v>
      </c>
      <c r="E837" s="2" t="s">
        <v>6</v>
      </c>
      <c r="F837" s="2" t="s">
        <v>110</v>
      </c>
      <c r="G837" s="2" t="s">
        <v>1</v>
      </c>
      <c r="H837" s="2" t="s">
        <v>111</v>
      </c>
      <c r="I837" s="2" t="s">
        <v>112</v>
      </c>
      <c r="J837" s="2" t="s">
        <v>113</v>
      </c>
      <c r="K837" s="2" t="s">
        <v>114</v>
      </c>
      <c r="L837" s="2" t="s">
        <v>115</v>
      </c>
      <c r="M837" s="2">
        <v>0</v>
      </c>
      <c r="N837" s="2">
        <v>0</v>
      </c>
      <c r="O837" s="2">
        <v>0</v>
      </c>
      <c r="P837" s="2" t="s">
        <v>72</v>
      </c>
      <c r="Q837" s="2" t="s">
        <v>73</v>
      </c>
      <c r="R837" s="29" t="e">
        <f>IF(INDEX(#REF!,MATCH('data '!$B837,#REF!,0),MATCH('data '!R$3,#REF!,0))=0,"",INDEX(#REF!,MATCH('data '!$B837,#REF!,0),MATCH('data '!R$3,#REF!,0)))</f>
        <v>#REF!</v>
      </c>
      <c r="S837" s="29" t="e">
        <f>IF(INDEX(#REF!,MATCH('data '!$B837,#REF!,0),MATCH('data '!S$3,#REF!,0))=0,"",INDEX(#REF!,MATCH('data '!$B837,#REF!,0),MATCH('data '!S$3,#REF!,0)))</f>
        <v>#REF!</v>
      </c>
      <c r="T837" s="29" t="e">
        <f>IF(INDEX(#REF!,MATCH('data '!$B837,#REF!,0),MATCH('data '!T$3,#REF!,0))=0,"",INDEX(#REF!,MATCH('data '!$B837,#REF!,0),MATCH('data '!T$3,#REF!,0)))</f>
        <v>#REF!</v>
      </c>
      <c r="V837" s="25" t="s">
        <v>74</v>
      </c>
      <c r="W837" s="25">
        <v>0</v>
      </c>
      <c r="AC837" s="8" t="e">
        <f>VLOOKUP(B837,#REF!,19,0)</f>
        <v>#REF!</v>
      </c>
      <c r="AP837" s="8" t="str">
        <f t="shared" si="34"/>
        <v>Not yet endorsed</v>
      </c>
      <c r="AQ837" s="10" t="b" cm="1">
        <f t="array" aca="1" ref="AQ837" ca="1">IF(AM837&gt;0,(TODAY()-AM837),IF(AL837&gt;0,(TODAY()-AL837),IF(AK837&gt;0,(TODAY()-AK837,IF(AI837&gt;0,(TODAY()-AI837),IF(AG837&gt;0,(TODAY()-AG837),IF(AF837&gt;0,(TODAY()-AF837),IF(X837&gt;0,(TODAY()-X837)," "))))))))</f>
        <v>0</v>
      </c>
      <c r="BD837" s="2" t="str">
        <f t="shared" si="35"/>
        <v>Not yet endorsed</v>
      </c>
      <c r="BE837" s="2" t="s">
        <v>75</v>
      </c>
      <c r="BG837" s="2" t="e">
        <v>#N/A</v>
      </c>
    </row>
    <row r="838" spans="2:59" hidden="1" x14ac:dyDescent="0.25">
      <c r="B838" s="2" t="s">
        <v>3658</v>
      </c>
      <c r="C838" s="2" t="s">
        <v>3659</v>
      </c>
      <c r="D838" s="44" t="s">
        <v>3660</v>
      </c>
      <c r="E838" s="2" t="s">
        <v>6</v>
      </c>
      <c r="F838" s="2" t="s">
        <v>110</v>
      </c>
      <c r="G838" s="2" t="s">
        <v>1</v>
      </c>
      <c r="H838" s="2" t="s">
        <v>111</v>
      </c>
      <c r="I838" s="2" t="s">
        <v>112</v>
      </c>
      <c r="J838" s="2" t="s">
        <v>113</v>
      </c>
      <c r="K838" s="2" t="s">
        <v>114</v>
      </c>
      <c r="L838" s="2" t="s">
        <v>3661</v>
      </c>
      <c r="M838" s="2">
        <v>0</v>
      </c>
      <c r="N838" s="2">
        <v>0</v>
      </c>
      <c r="O838" s="2">
        <v>0</v>
      </c>
      <c r="P838" s="2" t="s">
        <v>72</v>
      </c>
      <c r="Q838" s="2" t="s">
        <v>73</v>
      </c>
      <c r="R838" s="29" t="e">
        <f>IF(INDEX(#REF!,MATCH('data '!$B838,#REF!,0),MATCH('data '!R$3,#REF!,0))=0,"",INDEX(#REF!,MATCH('data '!$B838,#REF!,0),MATCH('data '!R$3,#REF!,0)))</f>
        <v>#REF!</v>
      </c>
      <c r="S838" s="29" t="e">
        <f>IF(INDEX(#REF!,MATCH('data '!$B838,#REF!,0),MATCH('data '!S$3,#REF!,0))=0,"",INDEX(#REF!,MATCH('data '!$B838,#REF!,0),MATCH('data '!S$3,#REF!,0)))</f>
        <v>#REF!</v>
      </c>
      <c r="T838" s="29" t="e">
        <f>IF(INDEX(#REF!,MATCH('data '!$B838,#REF!,0),MATCH('data '!T$3,#REF!,0))=0,"",INDEX(#REF!,MATCH('data '!$B838,#REF!,0),MATCH('data '!T$3,#REF!,0)))</f>
        <v>#REF!</v>
      </c>
      <c r="V838" s="25" t="s">
        <v>74</v>
      </c>
      <c r="W838" s="25">
        <v>0</v>
      </c>
      <c r="AC838" s="8" t="e">
        <f>VLOOKUP(B838,#REF!,19,0)</f>
        <v>#REF!</v>
      </c>
      <c r="AP838" s="8" t="str">
        <f t="shared" si="34"/>
        <v>Not yet endorsed</v>
      </c>
      <c r="AQ838" s="10" t="b" cm="1">
        <f t="array" aca="1" ref="AQ838" ca="1">IF(AM838&gt;0,(TODAY()-AM838),IF(AL838&gt;0,(TODAY()-AL838),IF(AK838&gt;0,(TODAY()-AK838,IF(AI838&gt;0,(TODAY()-AI838),IF(AG838&gt;0,(TODAY()-AG838),IF(AF838&gt;0,(TODAY()-AF838),IF(X838&gt;0,(TODAY()-X838)," "))))))))</f>
        <v>0</v>
      </c>
      <c r="BD838" s="2" t="str">
        <f t="shared" si="35"/>
        <v>Not yet endorsed</v>
      </c>
      <c r="BE838" s="2" t="s">
        <v>75</v>
      </c>
      <c r="BG838" s="2" t="e">
        <v>#N/A</v>
      </c>
    </row>
    <row r="839" spans="2:59" hidden="1" x14ac:dyDescent="0.25">
      <c r="B839" s="2" t="s">
        <v>3662</v>
      </c>
      <c r="C839" s="2" t="s">
        <v>3663</v>
      </c>
      <c r="D839" s="44" t="s">
        <v>3664</v>
      </c>
      <c r="E839" s="2" t="s">
        <v>6</v>
      </c>
      <c r="F839" s="2" t="s">
        <v>110</v>
      </c>
      <c r="G839" s="2" t="s">
        <v>1</v>
      </c>
      <c r="H839" s="2" t="s">
        <v>111</v>
      </c>
      <c r="I839" s="2" t="s">
        <v>112</v>
      </c>
      <c r="J839" s="2" t="s">
        <v>113</v>
      </c>
      <c r="K839" s="2" t="s">
        <v>114</v>
      </c>
      <c r="L839" s="2" t="s">
        <v>115</v>
      </c>
      <c r="M839" s="2">
        <v>0</v>
      </c>
      <c r="N839" s="2">
        <v>0</v>
      </c>
      <c r="O839" s="2">
        <v>0</v>
      </c>
      <c r="P839" s="2" t="s">
        <v>72</v>
      </c>
      <c r="Q839" s="2" t="s">
        <v>73</v>
      </c>
      <c r="R839" s="29" t="e">
        <f>IF(INDEX(#REF!,MATCH('data '!$B839,#REF!,0),MATCH('data '!R$3,#REF!,0))=0,"",INDEX(#REF!,MATCH('data '!$B839,#REF!,0),MATCH('data '!R$3,#REF!,0)))</f>
        <v>#REF!</v>
      </c>
      <c r="S839" s="29" t="e">
        <f>IF(INDEX(#REF!,MATCH('data '!$B839,#REF!,0),MATCH('data '!S$3,#REF!,0))=0,"",INDEX(#REF!,MATCH('data '!$B839,#REF!,0),MATCH('data '!S$3,#REF!,0)))</f>
        <v>#REF!</v>
      </c>
      <c r="T839" s="29" t="e">
        <f>IF(INDEX(#REF!,MATCH('data '!$B839,#REF!,0),MATCH('data '!T$3,#REF!,0))=0,"",INDEX(#REF!,MATCH('data '!$B839,#REF!,0),MATCH('data '!T$3,#REF!,0)))</f>
        <v>#REF!</v>
      </c>
      <c r="V839" s="25" t="s">
        <v>74</v>
      </c>
      <c r="W839" s="25">
        <v>0</v>
      </c>
      <c r="AC839" s="8" t="e">
        <f>VLOOKUP(B839,#REF!,19,0)</f>
        <v>#REF!</v>
      </c>
      <c r="AP839" s="8" t="str">
        <f t="shared" si="34"/>
        <v>Not yet endorsed</v>
      </c>
      <c r="AQ839" s="10" t="b" cm="1">
        <f t="array" aca="1" ref="AQ839" ca="1">IF(AM839&gt;0,(TODAY()-AM839),IF(AL839&gt;0,(TODAY()-AL839),IF(AK839&gt;0,(TODAY()-AK839,IF(AI839&gt;0,(TODAY()-AI839),IF(AG839&gt;0,(TODAY()-AG839),IF(AF839&gt;0,(TODAY()-AF839),IF(X839&gt;0,(TODAY()-X839)," "))))))))</f>
        <v>0</v>
      </c>
      <c r="BD839" s="2" t="str">
        <f t="shared" si="35"/>
        <v>Not yet endorsed</v>
      </c>
      <c r="BE839" s="2" t="s">
        <v>75</v>
      </c>
      <c r="BG839" s="2" t="e">
        <v>#N/A</v>
      </c>
    </row>
    <row r="840" spans="2:59" hidden="1" x14ac:dyDescent="0.25">
      <c r="B840" s="2" t="s">
        <v>3665</v>
      </c>
      <c r="C840" s="2" t="s">
        <v>3666</v>
      </c>
      <c r="D840" s="44" t="s">
        <v>3667</v>
      </c>
      <c r="E840" s="2" t="s">
        <v>6</v>
      </c>
      <c r="F840" s="2" t="s">
        <v>110</v>
      </c>
      <c r="G840" s="2" t="s">
        <v>1</v>
      </c>
      <c r="H840" s="2" t="s">
        <v>111</v>
      </c>
      <c r="I840" s="2" t="s">
        <v>112</v>
      </c>
      <c r="J840" s="2" t="s">
        <v>113</v>
      </c>
      <c r="K840" s="2" t="s">
        <v>114</v>
      </c>
      <c r="L840" s="2" t="s">
        <v>115</v>
      </c>
      <c r="M840" s="2" t="s">
        <v>3668</v>
      </c>
      <c r="N840" s="2">
        <v>0</v>
      </c>
      <c r="O840" s="2">
        <v>0</v>
      </c>
      <c r="P840" s="2" t="s">
        <v>72</v>
      </c>
      <c r="Q840" s="2" t="s">
        <v>73</v>
      </c>
      <c r="R840" s="29" t="e">
        <f>IF(INDEX(#REF!,MATCH('data '!$B840,#REF!,0),MATCH('data '!R$3,#REF!,0))=0,"",INDEX(#REF!,MATCH('data '!$B840,#REF!,0),MATCH('data '!R$3,#REF!,0)))</f>
        <v>#REF!</v>
      </c>
      <c r="S840" s="29" t="e">
        <f>IF(INDEX(#REF!,MATCH('data '!$B840,#REF!,0),MATCH('data '!S$3,#REF!,0))=0,"",INDEX(#REF!,MATCH('data '!$B840,#REF!,0),MATCH('data '!S$3,#REF!,0)))</f>
        <v>#REF!</v>
      </c>
      <c r="T840" s="29" t="e">
        <f>IF(INDEX(#REF!,MATCH('data '!$B840,#REF!,0),MATCH('data '!T$3,#REF!,0))=0,"",INDEX(#REF!,MATCH('data '!$B840,#REF!,0),MATCH('data '!T$3,#REF!,0)))</f>
        <v>#REF!</v>
      </c>
      <c r="V840" s="25" t="s">
        <v>74</v>
      </c>
      <c r="W840" s="25">
        <v>0</v>
      </c>
      <c r="AC840" s="8" t="e">
        <f>VLOOKUP(B840,#REF!,19,0)</f>
        <v>#REF!</v>
      </c>
      <c r="AP840" s="8" t="str">
        <f t="shared" si="34"/>
        <v>Not yet endorsed</v>
      </c>
      <c r="AQ840" s="10" t="b" cm="1">
        <f t="array" aca="1" ref="AQ840" ca="1">IF(AM840&gt;0,(TODAY()-AM840),IF(AL840&gt;0,(TODAY()-AL840),IF(AK840&gt;0,(TODAY()-AK840,IF(AI840&gt;0,(TODAY()-AI840),IF(AG840&gt;0,(TODAY()-AG840),IF(AF840&gt;0,(TODAY()-AF840),IF(X840&gt;0,(TODAY()-X840)," "))))))))</f>
        <v>0</v>
      </c>
      <c r="BD840" s="2" t="str">
        <f t="shared" si="35"/>
        <v>Not yet endorsed</v>
      </c>
      <c r="BE840" s="2" t="s">
        <v>75</v>
      </c>
      <c r="BG840" s="2" t="e">
        <v>#N/A</v>
      </c>
    </row>
    <row r="841" spans="2:59" hidden="1" x14ac:dyDescent="0.25">
      <c r="B841" s="2" t="s">
        <v>3669</v>
      </c>
      <c r="C841" s="2" t="s">
        <v>3670</v>
      </c>
      <c r="D841" s="44" t="s">
        <v>3671</v>
      </c>
      <c r="E841" s="2" t="s">
        <v>11</v>
      </c>
      <c r="F841" s="2" t="s">
        <v>696</v>
      </c>
      <c r="G841" s="2" t="s">
        <v>1</v>
      </c>
      <c r="H841" s="2" t="s">
        <v>165</v>
      </c>
      <c r="I841" s="2" t="s">
        <v>68</v>
      </c>
      <c r="J841" s="2" t="s">
        <v>181</v>
      </c>
      <c r="K841" s="2" t="s">
        <v>697</v>
      </c>
      <c r="L841" s="2" t="s">
        <v>698</v>
      </c>
      <c r="M841" s="2">
        <v>0</v>
      </c>
      <c r="N841" s="2">
        <v>0</v>
      </c>
      <c r="O841" s="2">
        <v>0</v>
      </c>
      <c r="P841" s="2" t="s">
        <v>72</v>
      </c>
      <c r="Q841" s="2" t="s">
        <v>73</v>
      </c>
      <c r="R841" s="29" t="e">
        <f>IF(INDEX(#REF!,MATCH('data '!$B841,#REF!,0),MATCH('data '!R$3,#REF!,0))=0,"",INDEX(#REF!,MATCH('data '!$B841,#REF!,0),MATCH('data '!R$3,#REF!,0)))</f>
        <v>#REF!</v>
      </c>
      <c r="S841" s="29" t="e">
        <f>IF(INDEX(#REF!,MATCH('data '!$B841,#REF!,0),MATCH('data '!S$3,#REF!,0))=0,"",INDEX(#REF!,MATCH('data '!$B841,#REF!,0),MATCH('data '!S$3,#REF!,0)))</f>
        <v>#REF!</v>
      </c>
      <c r="T841" s="29" t="e">
        <f>IF(INDEX(#REF!,MATCH('data '!$B841,#REF!,0),MATCH('data '!T$3,#REF!,0))=0,"",INDEX(#REF!,MATCH('data '!$B841,#REF!,0),MATCH('data '!T$3,#REF!,0)))</f>
        <v>#REF!</v>
      </c>
      <c r="V841" s="25" t="s">
        <v>74</v>
      </c>
      <c r="W841" s="25">
        <v>0</v>
      </c>
      <c r="AC841" s="8" t="e">
        <f>VLOOKUP(B841,#REF!,19,0)</f>
        <v>#REF!</v>
      </c>
      <c r="AP841" s="8" t="str">
        <f t="shared" si="34"/>
        <v>Not yet endorsed</v>
      </c>
      <c r="AQ841" s="10" t="b" cm="1">
        <f t="array" aca="1" ref="AQ841" ca="1">IF(AM841&gt;0,(TODAY()-AM841),IF(AL841&gt;0,(TODAY()-AL841),IF(AK841&gt;0,(TODAY()-AK841,IF(AI841&gt;0,(TODAY()-AI841),IF(AG841&gt;0,(TODAY()-AG841),IF(AF841&gt;0,(TODAY()-AF841),IF(X841&gt;0,(TODAY()-X841)," "))))))))</f>
        <v>0</v>
      </c>
      <c r="BD841" s="2" t="str">
        <f t="shared" si="35"/>
        <v>Not yet endorsed</v>
      </c>
      <c r="BE841" s="2" t="s">
        <v>75</v>
      </c>
      <c r="BG841" s="2" t="e">
        <v>#N/A</v>
      </c>
    </row>
    <row r="842" spans="2:59" hidden="1" x14ac:dyDescent="0.25">
      <c r="B842" s="2" t="s">
        <v>3672</v>
      </c>
      <c r="C842" s="2" t="s">
        <v>3673</v>
      </c>
      <c r="D842" s="44" t="s">
        <v>3674</v>
      </c>
      <c r="E842" s="2" t="s">
        <v>6</v>
      </c>
      <c r="F842" s="2" t="s">
        <v>1060</v>
      </c>
      <c r="G842" s="2" t="s">
        <v>1</v>
      </c>
      <c r="H842" s="2" t="s">
        <v>111</v>
      </c>
      <c r="I842" s="2" t="s">
        <v>112</v>
      </c>
      <c r="J842" s="2" t="s">
        <v>344</v>
      </c>
      <c r="K842" s="2" t="s">
        <v>345</v>
      </c>
      <c r="L842" s="2" t="s">
        <v>1061</v>
      </c>
      <c r="M842" s="2">
        <v>0</v>
      </c>
      <c r="N842" s="2">
        <v>0</v>
      </c>
      <c r="O842" s="2">
        <v>0</v>
      </c>
      <c r="P842" s="2" t="s">
        <v>72</v>
      </c>
      <c r="Q842" s="2" t="s">
        <v>73</v>
      </c>
      <c r="R842" s="29" t="e">
        <f>IF(INDEX(#REF!,MATCH('data '!$B842,#REF!,0),MATCH('data '!R$3,#REF!,0))=0,"",INDEX(#REF!,MATCH('data '!$B842,#REF!,0),MATCH('data '!R$3,#REF!,0)))</f>
        <v>#REF!</v>
      </c>
      <c r="S842" s="29" t="e">
        <f>IF(INDEX(#REF!,MATCH('data '!$B842,#REF!,0),MATCH('data '!S$3,#REF!,0))=0,"",INDEX(#REF!,MATCH('data '!$B842,#REF!,0),MATCH('data '!S$3,#REF!,0)))</f>
        <v>#REF!</v>
      </c>
      <c r="T842" s="29" t="e">
        <f>IF(INDEX(#REF!,MATCH('data '!$B842,#REF!,0),MATCH('data '!T$3,#REF!,0))=0,"",INDEX(#REF!,MATCH('data '!$B842,#REF!,0),MATCH('data '!T$3,#REF!,0)))</f>
        <v>#REF!</v>
      </c>
      <c r="V842" s="25" t="s">
        <v>74</v>
      </c>
      <c r="W842" s="25">
        <v>0</v>
      </c>
      <c r="AC842" s="8" t="e">
        <f>VLOOKUP(B842,#REF!,19,0)</f>
        <v>#REF!</v>
      </c>
      <c r="AP842" s="8" t="str">
        <f t="shared" si="34"/>
        <v>Not yet endorsed</v>
      </c>
      <c r="AQ842" s="10" t="b" cm="1">
        <f t="array" aca="1" ref="AQ842" ca="1">IF(AM842&gt;0,(TODAY()-AM842),IF(AL842&gt;0,(TODAY()-AL842),IF(AK842&gt;0,(TODAY()-AK842,IF(AI842&gt;0,(TODAY()-AI842),IF(AG842&gt;0,(TODAY()-AG842),IF(AF842&gt;0,(TODAY()-AF842),IF(X842&gt;0,(TODAY()-X842)," "))))))))</f>
        <v>0</v>
      </c>
      <c r="BD842" s="2" t="str">
        <f t="shared" si="35"/>
        <v>Not yet endorsed</v>
      </c>
      <c r="BE842" s="2" t="s">
        <v>75</v>
      </c>
      <c r="BG842" s="2" t="e">
        <v>#N/A</v>
      </c>
    </row>
    <row r="843" spans="2:59" hidden="1" x14ac:dyDescent="0.25">
      <c r="B843" s="2" t="s">
        <v>3675</v>
      </c>
      <c r="C843" s="2" t="s">
        <v>3676</v>
      </c>
      <c r="D843" s="44" t="s">
        <v>3677</v>
      </c>
      <c r="E843" s="2" t="s">
        <v>6</v>
      </c>
      <c r="F843" s="2" t="s">
        <v>1014</v>
      </c>
      <c r="G843" s="2" t="s">
        <v>1</v>
      </c>
      <c r="H843" s="2" t="s">
        <v>111</v>
      </c>
      <c r="I843" s="2" t="s">
        <v>112</v>
      </c>
      <c r="J843" s="2" t="s">
        <v>113</v>
      </c>
      <c r="K843" s="2" t="s">
        <v>114</v>
      </c>
      <c r="L843" s="2" t="s">
        <v>1015</v>
      </c>
      <c r="M843" s="2">
        <v>0</v>
      </c>
      <c r="N843" s="2">
        <v>0</v>
      </c>
      <c r="O843" s="2">
        <v>0</v>
      </c>
      <c r="P843" s="2" t="s">
        <v>72</v>
      </c>
      <c r="Q843" s="2" t="s">
        <v>73</v>
      </c>
      <c r="R843" s="29" t="e">
        <f>IF(INDEX(#REF!,MATCH('data '!$B843,#REF!,0),MATCH('data '!R$3,#REF!,0))=0,"",INDEX(#REF!,MATCH('data '!$B843,#REF!,0),MATCH('data '!R$3,#REF!,0)))</f>
        <v>#REF!</v>
      </c>
      <c r="S843" s="29" t="e">
        <f>IF(INDEX(#REF!,MATCH('data '!$B843,#REF!,0),MATCH('data '!S$3,#REF!,0))=0,"",INDEX(#REF!,MATCH('data '!$B843,#REF!,0),MATCH('data '!S$3,#REF!,0)))</f>
        <v>#REF!</v>
      </c>
      <c r="T843" s="29" t="e">
        <f>IF(INDEX(#REF!,MATCH('data '!$B843,#REF!,0),MATCH('data '!T$3,#REF!,0))=0,"",INDEX(#REF!,MATCH('data '!$B843,#REF!,0),MATCH('data '!T$3,#REF!,0)))</f>
        <v>#REF!</v>
      </c>
      <c r="V843" s="25" t="s">
        <v>74</v>
      </c>
      <c r="W843" s="25">
        <v>0</v>
      </c>
      <c r="AC843" s="8" t="e">
        <f>VLOOKUP(B843,#REF!,19,0)</f>
        <v>#REF!</v>
      </c>
      <c r="AP843" s="8" t="str">
        <f t="shared" si="34"/>
        <v>Not yet endorsed</v>
      </c>
      <c r="AQ843" s="10" t="b" cm="1">
        <f t="array" aca="1" ref="AQ843" ca="1">IF(AM843&gt;0,(TODAY()-AM843),IF(AL843&gt;0,(TODAY()-AL843),IF(AK843&gt;0,(TODAY()-AK843,IF(AI843&gt;0,(TODAY()-AI843),IF(AG843&gt;0,(TODAY()-AG843),IF(AF843&gt;0,(TODAY()-AF843),IF(X843&gt;0,(TODAY()-X843)," "))))))))</f>
        <v>0</v>
      </c>
      <c r="BD843" s="2" t="str">
        <f t="shared" si="35"/>
        <v>Not yet endorsed</v>
      </c>
      <c r="BE843" s="2" t="s">
        <v>75</v>
      </c>
      <c r="BG843" s="2" t="e">
        <v>#N/A</v>
      </c>
    </row>
    <row r="844" spans="2:59" hidden="1" x14ac:dyDescent="0.25">
      <c r="B844" s="2" t="s">
        <v>3678</v>
      </c>
      <c r="C844" s="2" t="s">
        <v>3679</v>
      </c>
      <c r="D844" s="44" t="s">
        <v>3680</v>
      </c>
      <c r="E844" s="2" t="s">
        <v>6</v>
      </c>
      <c r="F844" s="2" t="s">
        <v>110</v>
      </c>
      <c r="G844" s="2" t="s">
        <v>1</v>
      </c>
      <c r="H844" s="2" t="s">
        <v>111</v>
      </c>
      <c r="I844" s="2" t="s">
        <v>112</v>
      </c>
      <c r="J844" s="2" t="s">
        <v>113</v>
      </c>
      <c r="K844" s="2" t="s">
        <v>114</v>
      </c>
      <c r="L844" s="2" t="s">
        <v>1029</v>
      </c>
      <c r="M844" s="2">
        <v>0</v>
      </c>
      <c r="N844" s="2">
        <v>0</v>
      </c>
      <c r="O844" s="2">
        <v>0</v>
      </c>
      <c r="P844" s="2" t="s">
        <v>72</v>
      </c>
      <c r="Q844" s="2" t="s">
        <v>73</v>
      </c>
      <c r="R844" s="29" t="e">
        <f>IF(INDEX(#REF!,MATCH('data '!$B844,#REF!,0),MATCH('data '!R$3,#REF!,0))=0,"",INDEX(#REF!,MATCH('data '!$B844,#REF!,0),MATCH('data '!R$3,#REF!,0)))</f>
        <v>#REF!</v>
      </c>
      <c r="S844" s="29" t="e">
        <f>IF(INDEX(#REF!,MATCH('data '!$B844,#REF!,0),MATCH('data '!S$3,#REF!,0))=0,"",INDEX(#REF!,MATCH('data '!$B844,#REF!,0),MATCH('data '!S$3,#REF!,0)))</f>
        <v>#REF!</v>
      </c>
      <c r="T844" s="29" t="e">
        <f>IF(INDEX(#REF!,MATCH('data '!$B844,#REF!,0),MATCH('data '!T$3,#REF!,0))=0,"",INDEX(#REF!,MATCH('data '!$B844,#REF!,0),MATCH('data '!T$3,#REF!,0)))</f>
        <v>#REF!</v>
      </c>
      <c r="V844" s="25" t="s">
        <v>74</v>
      </c>
      <c r="W844" s="25">
        <v>0</v>
      </c>
      <c r="AC844" s="8" t="e">
        <f>VLOOKUP(B844,#REF!,19,0)</f>
        <v>#REF!</v>
      </c>
      <c r="AP844" s="8" t="str">
        <f t="shared" si="34"/>
        <v>Not yet endorsed</v>
      </c>
      <c r="AQ844" s="10" t="b" cm="1">
        <f t="array" aca="1" ref="AQ844" ca="1">IF(AM844&gt;0,(TODAY()-AM844),IF(AL844&gt;0,(TODAY()-AL844),IF(AK844&gt;0,(TODAY()-AK844,IF(AI844&gt;0,(TODAY()-AI844),IF(AG844&gt;0,(TODAY()-AG844),IF(AF844&gt;0,(TODAY()-AF844),IF(X844&gt;0,(TODAY()-X844)," "))))))))</f>
        <v>0</v>
      </c>
      <c r="BD844" s="2" t="str">
        <f t="shared" si="35"/>
        <v>Not yet endorsed</v>
      </c>
      <c r="BE844" s="2" t="s">
        <v>75</v>
      </c>
      <c r="BG844" s="2" t="e">
        <v>#N/A</v>
      </c>
    </row>
    <row r="845" spans="2:59" hidden="1" x14ac:dyDescent="0.25">
      <c r="B845" s="2" t="s">
        <v>3681</v>
      </c>
      <c r="C845" s="2" t="s">
        <v>3682</v>
      </c>
      <c r="D845" s="44" t="s">
        <v>3683</v>
      </c>
      <c r="E845" s="2" t="s">
        <v>6</v>
      </c>
      <c r="F845" s="2" t="s">
        <v>1014</v>
      </c>
      <c r="G845" s="2" t="s">
        <v>1</v>
      </c>
      <c r="H845" s="2" t="s">
        <v>111</v>
      </c>
      <c r="I845" s="2" t="s">
        <v>112</v>
      </c>
      <c r="J845" s="2" t="s">
        <v>113</v>
      </c>
      <c r="K845" s="2" t="s">
        <v>114</v>
      </c>
      <c r="L845" s="2" t="s">
        <v>1015</v>
      </c>
      <c r="M845" s="2">
        <v>0</v>
      </c>
      <c r="N845" s="2">
        <v>0</v>
      </c>
      <c r="O845" s="2">
        <v>0</v>
      </c>
      <c r="P845" s="2" t="s">
        <v>72</v>
      </c>
      <c r="Q845" s="2" t="s">
        <v>73</v>
      </c>
      <c r="R845" s="29" t="e">
        <f>IF(INDEX(#REF!,MATCH('data '!$B845,#REF!,0),MATCH('data '!R$3,#REF!,0))=0,"",INDEX(#REF!,MATCH('data '!$B845,#REF!,0),MATCH('data '!R$3,#REF!,0)))</f>
        <v>#REF!</v>
      </c>
      <c r="S845" s="29" t="e">
        <f>IF(INDEX(#REF!,MATCH('data '!$B845,#REF!,0),MATCH('data '!S$3,#REF!,0))=0,"",INDEX(#REF!,MATCH('data '!$B845,#REF!,0),MATCH('data '!S$3,#REF!,0)))</f>
        <v>#REF!</v>
      </c>
      <c r="T845" s="29" t="e">
        <f>IF(INDEX(#REF!,MATCH('data '!$B845,#REF!,0),MATCH('data '!T$3,#REF!,0))=0,"",INDEX(#REF!,MATCH('data '!$B845,#REF!,0),MATCH('data '!T$3,#REF!,0)))</f>
        <v>#REF!</v>
      </c>
      <c r="V845" s="25" t="s">
        <v>74</v>
      </c>
      <c r="W845" s="25">
        <v>0</v>
      </c>
      <c r="AC845" s="8" t="e">
        <f>VLOOKUP(B845,#REF!,19,0)</f>
        <v>#REF!</v>
      </c>
      <c r="AP845" s="8" t="str">
        <f t="shared" si="34"/>
        <v>Not yet endorsed</v>
      </c>
      <c r="AQ845" s="10" t="b" cm="1">
        <f t="array" aca="1" ref="AQ845" ca="1">IF(AM845&gt;0,(TODAY()-AM845),IF(AL845&gt;0,(TODAY()-AL845),IF(AK845&gt;0,(TODAY()-AK845,IF(AI845&gt;0,(TODAY()-AI845),IF(AG845&gt;0,(TODAY()-AG845),IF(AF845&gt;0,(TODAY()-AF845),IF(X845&gt;0,(TODAY()-X845)," "))))))))</f>
        <v>0</v>
      </c>
      <c r="BD845" s="2" t="str">
        <f t="shared" si="35"/>
        <v>Not yet endorsed</v>
      </c>
      <c r="BE845" s="2" t="s">
        <v>75</v>
      </c>
      <c r="BG845" s="2" t="e">
        <v>#N/A</v>
      </c>
    </row>
    <row r="846" spans="2:59" hidden="1" x14ac:dyDescent="0.25">
      <c r="B846" s="2" t="s">
        <v>3684</v>
      </c>
      <c r="C846" s="2" t="s">
        <v>3685</v>
      </c>
      <c r="D846" s="44" t="s">
        <v>3686</v>
      </c>
      <c r="E846" s="2" t="s">
        <v>6</v>
      </c>
      <c r="F846" s="2" t="s">
        <v>1060</v>
      </c>
      <c r="G846" s="2" t="s">
        <v>1</v>
      </c>
      <c r="H846" s="2" t="s">
        <v>111</v>
      </c>
      <c r="I846" s="2" t="s">
        <v>112</v>
      </c>
      <c r="J846" s="2" t="s">
        <v>344</v>
      </c>
      <c r="K846" s="2" t="s">
        <v>345</v>
      </c>
      <c r="L846" s="2" t="s">
        <v>1061</v>
      </c>
      <c r="M846" s="2">
        <v>0</v>
      </c>
      <c r="N846" s="2">
        <v>0</v>
      </c>
      <c r="O846" s="2">
        <v>0</v>
      </c>
      <c r="P846" s="2" t="s">
        <v>72</v>
      </c>
      <c r="Q846" s="2" t="s">
        <v>73</v>
      </c>
      <c r="R846" s="29" t="e">
        <f>IF(INDEX(#REF!,MATCH('data '!$B846,#REF!,0),MATCH('data '!R$3,#REF!,0))=0,"",INDEX(#REF!,MATCH('data '!$B846,#REF!,0),MATCH('data '!R$3,#REF!,0)))</f>
        <v>#REF!</v>
      </c>
      <c r="S846" s="29" t="e">
        <f>IF(INDEX(#REF!,MATCH('data '!$B846,#REF!,0),MATCH('data '!S$3,#REF!,0))=0,"",INDEX(#REF!,MATCH('data '!$B846,#REF!,0),MATCH('data '!S$3,#REF!,0)))</f>
        <v>#REF!</v>
      </c>
      <c r="T846" s="29" t="e">
        <f>IF(INDEX(#REF!,MATCH('data '!$B846,#REF!,0),MATCH('data '!T$3,#REF!,0))=0,"",INDEX(#REF!,MATCH('data '!$B846,#REF!,0),MATCH('data '!T$3,#REF!,0)))</f>
        <v>#REF!</v>
      </c>
      <c r="V846" s="25" t="s">
        <v>74</v>
      </c>
      <c r="W846" s="25">
        <v>0</v>
      </c>
      <c r="AC846" s="8" t="e">
        <f>VLOOKUP(B846,#REF!,19,0)</f>
        <v>#REF!</v>
      </c>
      <c r="AP846" s="8" t="str">
        <f t="shared" si="34"/>
        <v>Not yet endorsed</v>
      </c>
      <c r="AQ846" s="10" t="b" cm="1">
        <f t="array" aca="1" ref="AQ846" ca="1">IF(AM846&gt;0,(TODAY()-AM846),IF(AL846&gt;0,(TODAY()-AL846),IF(AK846&gt;0,(TODAY()-AK846,IF(AI846&gt;0,(TODAY()-AI846),IF(AG846&gt;0,(TODAY()-AG846),IF(AF846&gt;0,(TODAY()-AF846),IF(X846&gt;0,(TODAY()-X846)," "))))))))</f>
        <v>0</v>
      </c>
      <c r="BD846" s="2" t="str">
        <f t="shared" si="35"/>
        <v>Not yet endorsed</v>
      </c>
      <c r="BE846" s="2" t="s">
        <v>75</v>
      </c>
      <c r="BG846" s="2" t="e">
        <v>#N/A</v>
      </c>
    </row>
    <row r="847" spans="2:59" hidden="1" x14ac:dyDescent="0.25">
      <c r="B847" s="2" t="s">
        <v>3687</v>
      </c>
      <c r="C847" s="2" t="s">
        <v>3688</v>
      </c>
      <c r="D847" s="44" t="s">
        <v>3689</v>
      </c>
      <c r="E847" s="2" t="s">
        <v>6</v>
      </c>
      <c r="F847" s="2" t="s">
        <v>110</v>
      </c>
      <c r="G847" s="2" t="s">
        <v>1</v>
      </c>
      <c r="H847" s="2" t="s">
        <v>111</v>
      </c>
      <c r="I847" s="2" t="s">
        <v>112</v>
      </c>
      <c r="J847" s="2" t="s">
        <v>113</v>
      </c>
      <c r="K847" s="2" t="s">
        <v>114</v>
      </c>
      <c r="L847" s="2" t="s">
        <v>1029</v>
      </c>
      <c r="M847" s="2">
        <v>0</v>
      </c>
      <c r="N847" s="2">
        <v>0</v>
      </c>
      <c r="O847" s="2">
        <v>0</v>
      </c>
      <c r="P847" s="2" t="s">
        <v>72</v>
      </c>
      <c r="Q847" s="2" t="s">
        <v>73</v>
      </c>
      <c r="R847" s="29" t="e">
        <f>IF(INDEX(#REF!,MATCH('data '!$B847,#REF!,0),MATCH('data '!R$3,#REF!,0))=0,"",INDEX(#REF!,MATCH('data '!$B847,#REF!,0),MATCH('data '!R$3,#REF!,0)))</f>
        <v>#REF!</v>
      </c>
      <c r="S847" s="29" t="e">
        <f>IF(INDEX(#REF!,MATCH('data '!$B847,#REF!,0),MATCH('data '!S$3,#REF!,0))=0,"",INDEX(#REF!,MATCH('data '!$B847,#REF!,0),MATCH('data '!S$3,#REF!,0)))</f>
        <v>#REF!</v>
      </c>
      <c r="T847" s="29" t="e">
        <f>IF(INDEX(#REF!,MATCH('data '!$B847,#REF!,0),MATCH('data '!T$3,#REF!,0))=0,"",INDEX(#REF!,MATCH('data '!$B847,#REF!,0),MATCH('data '!T$3,#REF!,0)))</f>
        <v>#REF!</v>
      </c>
      <c r="V847" s="25" t="s">
        <v>74</v>
      </c>
      <c r="W847" s="25">
        <v>0</v>
      </c>
      <c r="AC847" s="8" t="e">
        <f>VLOOKUP(B847,#REF!,19,0)</f>
        <v>#REF!</v>
      </c>
      <c r="AP847" s="8" t="str">
        <f t="shared" si="34"/>
        <v>Not yet endorsed</v>
      </c>
      <c r="AQ847" s="10" t="b" cm="1">
        <f t="array" aca="1" ref="AQ847" ca="1">IF(AM847&gt;0,(TODAY()-AM847),IF(AL847&gt;0,(TODAY()-AL847),IF(AK847&gt;0,(TODAY()-AK847,IF(AI847&gt;0,(TODAY()-AI847),IF(AG847&gt;0,(TODAY()-AG847),IF(AF847&gt;0,(TODAY()-AF847),IF(X847&gt;0,(TODAY()-X847)," "))))))))</f>
        <v>0</v>
      </c>
      <c r="BD847" s="2" t="str">
        <f t="shared" si="35"/>
        <v>Not yet endorsed</v>
      </c>
      <c r="BE847" s="2" t="s">
        <v>75</v>
      </c>
      <c r="BG847" s="2" t="e">
        <v>#N/A</v>
      </c>
    </row>
    <row r="848" spans="2:59" hidden="1" x14ac:dyDescent="0.25">
      <c r="B848" s="2" t="s">
        <v>3690</v>
      </c>
      <c r="C848" s="2" t="s">
        <v>3691</v>
      </c>
      <c r="D848" s="44" t="s">
        <v>3692</v>
      </c>
      <c r="E848" s="2" t="s">
        <v>6</v>
      </c>
      <c r="F848" s="2" t="s">
        <v>110</v>
      </c>
      <c r="G848" s="2" t="s">
        <v>1</v>
      </c>
      <c r="H848" s="2" t="s">
        <v>111</v>
      </c>
      <c r="I848" s="2" t="s">
        <v>112</v>
      </c>
      <c r="J848" s="2" t="s">
        <v>113</v>
      </c>
      <c r="K848" s="2" t="s">
        <v>114</v>
      </c>
      <c r="L848" s="2" t="s">
        <v>1029</v>
      </c>
      <c r="M848" s="2">
        <v>0</v>
      </c>
      <c r="N848" s="2">
        <v>0</v>
      </c>
      <c r="O848" s="2">
        <v>0</v>
      </c>
      <c r="P848" s="2" t="s">
        <v>72</v>
      </c>
      <c r="Q848" s="2" t="s">
        <v>73</v>
      </c>
      <c r="R848" s="29" t="e">
        <f>IF(INDEX(#REF!,MATCH('data '!$B848,#REF!,0),MATCH('data '!R$3,#REF!,0))=0,"",INDEX(#REF!,MATCH('data '!$B848,#REF!,0),MATCH('data '!R$3,#REF!,0)))</f>
        <v>#REF!</v>
      </c>
      <c r="S848" s="29" t="e">
        <f>IF(INDEX(#REF!,MATCH('data '!$B848,#REF!,0),MATCH('data '!S$3,#REF!,0))=0,"",INDEX(#REF!,MATCH('data '!$B848,#REF!,0),MATCH('data '!S$3,#REF!,0)))</f>
        <v>#REF!</v>
      </c>
      <c r="T848" s="29" t="e">
        <f>IF(INDEX(#REF!,MATCH('data '!$B848,#REF!,0),MATCH('data '!T$3,#REF!,0))=0,"",INDEX(#REF!,MATCH('data '!$B848,#REF!,0),MATCH('data '!T$3,#REF!,0)))</f>
        <v>#REF!</v>
      </c>
      <c r="V848" s="25" t="s">
        <v>74</v>
      </c>
      <c r="W848" s="25">
        <v>0</v>
      </c>
      <c r="AC848" s="8" t="e">
        <f>VLOOKUP(B848,#REF!,19,0)</f>
        <v>#REF!</v>
      </c>
      <c r="AP848" s="8" t="str">
        <f t="shared" si="34"/>
        <v>Not yet endorsed</v>
      </c>
      <c r="AQ848" s="10" t="b" cm="1">
        <f t="array" aca="1" ref="AQ848" ca="1">IF(AM848&gt;0,(TODAY()-AM848),IF(AL848&gt;0,(TODAY()-AL848),IF(AK848&gt;0,(TODAY()-AK848,IF(AI848&gt;0,(TODAY()-AI848),IF(AG848&gt;0,(TODAY()-AG848),IF(AF848&gt;0,(TODAY()-AF848),IF(X848&gt;0,(TODAY()-X848)," "))))))))</f>
        <v>0</v>
      </c>
      <c r="BD848" s="2" t="str">
        <f t="shared" si="35"/>
        <v>Not yet endorsed</v>
      </c>
      <c r="BE848" s="2" t="s">
        <v>75</v>
      </c>
      <c r="BG848" s="2" t="e">
        <v>#N/A</v>
      </c>
    </row>
    <row r="849" spans="2:60" hidden="1" x14ac:dyDescent="0.25">
      <c r="B849" s="2" t="s">
        <v>3693</v>
      </c>
      <c r="C849" s="2" t="s">
        <v>3694</v>
      </c>
      <c r="D849" s="44" t="s">
        <v>3695</v>
      </c>
      <c r="E849" s="2" t="s">
        <v>6</v>
      </c>
      <c r="F849" s="2" t="s">
        <v>110</v>
      </c>
      <c r="G849" s="2" t="s">
        <v>1</v>
      </c>
      <c r="H849" s="2" t="s">
        <v>111</v>
      </c>
      <c r="I849" s="2" t="s">
        <v>112</v>
      </c>
      <c r="J849" s="2" t="s">
        <v>113</v>
      </c>
      <c r="K849" s="2" t="s">
        <v>114</v>
      </c>
      <c r="L849" s="2" t="s">
        <v>1029</v>
      </c>
      <c r="M849" s="2">
        <v>0</v>
      </c>
      <c r="N849" s="2">
        <v>0</v>
      </c>
      <c r="O849" s="2">
        <v>0</v>
      </c>
      <c r="P849" s="2" t="s">
        <v>72</v>
      </c>
      <c r="Q849" s="2" t="s">
        <v>73</v>
      </c>
      <c r="R849" s="29" t="e">
        <f>IF(INDEX(#REF!,MATCH('data '!$B849,#REF!,0),MATCH('data '!R$3,#REF!,0))=0,"",INDEX(#REF!,MATCH('data '!$B849,#REF!,0),MATCH('data '!R$3,#REF!,0)))</f>
        <v>#REF!</v>
      </c>
      <c r="S849" s="29" t="e">
        <f>IF(INDEX(#REF!,MATCH('data '!$B849,#REF!,0),MATCH('data '!S$3,#REF!,0))=0,"",INDEX(#REF!,MATCH('data '!$B849,#REF!,0),MATCH('data '!S$3,#REF!,0)))</f>
        <v>#REF!</v>
      </c>
      <c r="T849" s="29" t="e">
        <f>IF(INDEX(#REF!,MATCH('data '!$B849,#REF!,0),MATCH('data '!T$3,#REF!,0))=0,"",INDEX(#REF!,MATCH('data '!$B849,#REF!,0),MATCH('data '!T$3,#REF!,0)))</f>
        <v>#REF!</v>
      </c>
      <c r="V849" s="25" t="s">
        <v>74</v>
      </c>
      <c r="W849" s="25">
        <v>0</v>
      </c>
      <c r="AC849" s="8" t="e">
        <f>VLOOKUP(B849,#REF!,19,0)</f>
        <v>#REF!</v>
      </c>
      <c r="AP849" s="8" t="str">
        <f t="shared" si="34"/>
        <v>Not yet endorsed</v>
      </c>
      <c r="AQ849" s="10" t="b" cm="1">
        <f t="array" aca="1" ref="AQ849" ca="1">IF(AM849&gt;0,(TODAY()-AM849),IF(AL849&gt;0,(TODAY()-AL849),IF(AK849&gt;0,(TODAY()-AK849,IF(AI849&gt;0,(TODAY()-AI849),IF(AG849&gt;0,(TODAY()-AG849),IF(AF849&gt;0,(TODAY()-AF849),IF(X849&gt;0,(TODAY()-X849)," "))))))))</f>
        <v>0</v>
      </c>
      <c r="BD849" s="2" t="str">
        <f t="shared" si="35"/>
        <v>Not yet endorsed</v>
      </c>
      <c r="BE849" s="2" t="s">
        <v>75</v>
      </c>
      <c r="BG849" s="2" t="e">
        <v>#N/A</v>
      </c>
    </row>
    <row r="850" spans="2:60" hidden="1" x14ac:dyDescent="0.25">
      <c r="B850" s="2" t="s">
        <v>3696</v>
      </c>
      <c r="C850" s="2" t="s">
        <v>3697</v>
      </c>
      <c r="D850" s="44" t="s">
        <v>3698</v>
      </c>
      <c r="E850" s="2" t="s">
        <v>6</v>
      </c>
      <c r="F850" s="2" t="s">
        <v>110</v>
      </c>
      <c r="G850" s="2" t="s">
        <v>1</v>
      </c>
      <c r="H850" s="2" t="s">
        <v>111</v>
      </c>
      <c r="I850" s="2" t="s">
        <v>112</v>
      </c>
      <c r="J850" s="2" t="s">
        <v>113</v>
      </c>
      <c r="K850" s="2" t="s">
        <v>114</v>
      </c>
      <c r="L850" s="2" t="s">
        <v>1029</v>
      </c>
      <c r="M850" s="2">
        <v>0</v>
      </c>
      <c r="N850" s="2">
        <v>0</v>
      </c>
      <c r="O850" s="2">
        <v>0</v>
      </c>
      <c r="P850" s="2" t="s">
        <v>72</v>
      </c>
      <c r="Q850" s="2" t="s">
        <v>73</v>
      </c>
      <c r="R850" s="29" t="e">
        <f>IF(INDEX(#REF!,MATCH('data '!$B850,#REF!,0),MATCH('data '!R$3,#REF!,0))=0,"",INDEX(#REF!,MATCH('data '!$B850,#REF!,0),MATCH('data '!R$3,#REF!,0)))</f>
        <v>#REF!</v>
      </c>
      <c r="S850" s="29" t="e">
        <f>IF(INDEX(#REF!,MATCH('data '!$B850,#REF!,0),MATCH('data '!S$3,#REF!,0))=0,"",INDEX(#REF!,MATCH('data '!$B850,#REF!,0),MATCH('data '!S$3,#REF!,0)))</f>
        <v>#REF!</v>
      </c>
      <c r="T850" s="29" t="e">
        <f>IF(INDEX(#REF!,MATCH('data '!$B850,#REF!,0),MATCH('data '!T$3,#REF!,0))=0,"",INDEX(#REF!,MATCH('data '!$B850,#REF!,0),MATCH('data '!T$3,#REF!,0)))</f>
        <v>#REF!</v>
      </c>
      <c r="V850" s="25" t="s">
        <v>74</v>
      </c>
      <c r="W850" s="25">
        <v>0</v>
      </c>
      <c r="AC850" s="8" t="e">
        <f>VLOOKUP(B850,#REF!,19,0)</f>
        <v>#REF!</v>
      </c>
      <c r="AP850" s="8" t="str">
        <f t="shared" si="34"/>
        <v>Not yet endorsed</v>
      </c>
      <c r="AQ850" s="10" t="b" cm="1">
        <f t="array" aca="1" ref="AQ850" ca="1">IF(AM850&gt;0,(TODAY()-AM850),IF(AL850&gt;0,(TODAY()-AL850),IF(AK850&gt;0,(TODAY()-AK850,IF(AI850&gt;0,(TODAY()-AI850),IF(AG850&gt;0,(TODAY()-AG850),IF(AF850&gt;0,(TODAY()-AF850),IF(X850&gt;0,(TODAY()-X850)," "))))))))</f>
        <v>0</v>
      </c>
      <c r="BD850" s="2" t="str">
        <f t="shared" si="35"/>
        <v>Not yet endorsed</v>
      </c>
      <c r="BE850" s="2" t="s">
        <v>75</v>
      </c>
      <c r="BG850" s="2" t="e">
        <v>#N/A</v>
      </c>
    </row>
    <row r="851" spans="2:60" hidden="1" x14ac:dyDescent="0.25">
      <c r="B851" s="2" t="s">
        <v>3699</v>
      </c>
      <c r="C851" s="2" t="s">
        <v>3700</v>
      </c>
      <c r="D851" s="44" t="s">
        <v>3701</v>
      </c>
      <c r="E851" s="2" t="s">
        <v>6</v>
      </c>
      <c r="F851" s="2" t="s">
        <v>3702</v>
      </c>
      <c r="G851" s="2" t="s">
        <v>1</v>
      </c>
      <c r="H851" s="2" t="s">
        <v>111</v>
      </c>
      <c r="I851" s="2" t="s">
        <v>112</v>
      </c>
      <c r="J851" s="2" t="s">
        <v>130</v>
      </c>
      <c r="K851" s="2" t="s">
        <v>189</v>
      </c>
      <c r="L851" s="2" t="s">
        <v>3703</v>
      </c>
      <c r="M851" s="2">
        <v>0</v>
      </c>
      <c r="N851" s="2">
        <v>0</v>
      </c>
      <c r="O851" s="2">
        <v>0</v>
      </c>
      <c r="P851" s="2" t="s">
        <v>72</v>
      </c>
      <c r="Q851" s="2" t="s">
        <v>73</v>
      </c>
      <c r="R851" s="29" t="e">
        <f>IF(INDEX(#REF!,MATCH('data '!$B851,#REF!,0),MATCH('data '!R$3,#REF!,0))=0,"",INDEX(#REF!,MATCH('data '!$B851,#REF!,0),MATCH('data '!R$3,#REF!,0)))</f>
        <v>#REF!</v>
      </c>
      <c r="S851" s="29" t="e">
        <f>IF(INDEX(#REF!,MATCH('data '!$B851,#REF!,0),MATCH('data '!S$3,#REF!,0))=0,"",INDEX(#REF!,MATCH('data '!$B851,#REF!,0),MATCH('data '!S$3,#REF!,0)))</f>
        <v>#REF!</v>
      </c>
      <c r="T851" s="29" t="e">
        <f>IF(INDEX(#REF!,MATCH('data '!$B851,#REF!,0),MATCH('data '!T$3,#REF!,0))=0,"",INDEX(#REF!,MATCH('data '!$B851,#REF!,0),MATCH('data '!T$3,#REF!,0)))</f>
        <v>#REF!</v>
      </c>
      <c r="V851" s="25" t="s">
        <v>74</v>
      </c>
      <c r="W851" s="25">
        <v>0</v>
      </c>
      <c r="AC851" s="8" t="e">
        <f>VLOOKUP(B851,#REF!,19,0)</f>
        <v>#REF!</v>
      </c>
      <c r="AP851" s="8" t="str">
        <f t="shared" si="34"/>
        <v>Not yet endorsed</v>
      </c>
      <c r="AQ851" s="10" t="b" cm="1">
        <f t="array" aca="1" ref="AQ851" ca="1">IF(AM851&gt;0,(TODAY()-AM851),IF(AL851&gt;0,(TODAY()-AL851),IF(AK851&gt;0,(TODAY()-AK851,IF(AI851&gt;0,(TODAY()-AI851),IF(AG851&gt;0,(TODAY()-AG851),IF(AF851&gt;0,(TODAY()-AF851),IF(X851&gt;0,(TODAY()-X851)," "))))))))</f>
        <v>0</v>
      </c>
      <c r="BD851" s="2" t="str">
        <f t="shared" si="35"/>
        <v>Not yet endorsed</v>
      </c>
      <c r="BE851" s="2" t="s">
        <v>75</v>
      </c>
      <c r="BG851" s="2" t="e">
        <v>#N/A</v>
      </c>
    </row>
    <row r="852" spans="2:60" hidden="1" x14ac:dyDescent="0.25">
      <c r="B852" s="2" t="s">
        <v>3704</v>
      </c>
      <c r="C852" s="2" t="s">
        <v>3705</v>
      </c>
      <c r="D852" s="44" t="s">
        <v>3706</v>
      </c>
      <c r="E852" s="2" t="s">
        <v>6</v>
      </c>
      <c r="F852" s="2" t="s">
        <v>110</v>
      </c>
      <c r="G852" s="2" t="s">
        <v>1</v>
      </c>
      <c r="H852" s="2" t="s">
        <v>111</v>
      </c>
      <c r="I852" s="2" t="s">
        <v>112</v>
      </c>
      <c r="J852" s="2" t="s">
        <v>113</v>
      </c>
      <c r="K852" s="2" t="s">
        <v>114</v>
      </c>
      <c r="L852" s="2" t="s">
        <v>115</v>
      </c>
      <c r="M852" s="2">
        <v>0</v>
      </c>
      <c r="N852" s="2">
        <v>0</v>
      </c>
      <c r="O852" s="2">
        <v>0</v>
      </c>
      <c r="P852" s="2" t="s">
        <v>72</v>
      </c>
      <c r="Q852" s="2" t="s">
        <v>73</v>
      </c>
      <c r="R852" s="29" t="e">
        <f>IF(INDEX(#REF!,MATCH('data '!$B852,#REF!,0),MATCH('data '!R$3,#REF!,0))=0,"",INDEX(#REF!,MATCH('data '!$B852,#REF!,0),MATCH('data '!R$3,#REF!,0)))</f>
        <v>#REF!</v>
      </c>
      <c r="S852" s="29" t="e">
        <f>IF(INDEX(#REF!,MATCH('data '!$B852,#REF!,0),MATCH('data '!S$3,#REF!,0))=0,"",INDEX(#REF!,MATCH('data '!$B852,#REF!,0),MATCH('data '!S$3,#REF!,0)))</f>
        <v>#REF!</v>
      </c>
      <c r="T852" s="29" t="e">
        <f>IF(INDEX(#REF!,MATCH('data '!$B852,#REF!,0),MATCH('data '!T$3,#REF!,0))=0,"",INDEX(#REF!,MATCH('data '!$B852,#REF!,0),MATCH('data '!T$3,#REF!,0)))</f>
        <v>#REF!</v>
      </c>
      <c r="V852" s="25" t="s">
        <v>74</v>
      </c>
      <c r="W852" s="25">
        <v>0</v>
      </c>
      <c r="AC852" s="8" t="e">
        <f>VLOOKUP(B852,#REF!,19,0)</f>
        <v>#REF!</v>
      </c>
      <c r="AP852" s="8" t="str">
        <f t="shared" si="34"/>
        <v>Not yet endorsed</v>
      </c>
      <c r="AQ852" s="10" t="b" cm="1">
        <f t="array" aca="1" ref="AQ852" ca="1">IF(AM852&gt;0,(TODAY()-AM852),IF(AL852&gt;0,(TODAY()-AL852),IF(AK852&gt;0,(TODAY()-AK852,IF(AI852&gt;0,(TODAY()-AI852),IF(AG852&gt;0,(TODAY()-AG852),IF(AF852&gt;0,(TODAY()-AF852),IF(X852&gt;0,(TODAY()-X852)," "))))))))</f>
        <v>0</v>
      </c>
      <c r="BD852" s="2" t="str">
        <f t="shared" si="35"/>
        <v>Not yet endorsed</v>
      </c>
      <c r="BE852" s="2" t="s">
        <v>75</v>
      </c>
      <c r="BG852" s="2" t="e">
        <v>#N/A</v>
      </c>
    </row>
    <row r="853" spans="2:60" hidden="1" x14ac:dyDescent="0.25">
      <c r="B853" s="2" t="s">
        <v>3707</v>
      </c>
      <c r="C853" s="2" t="s">
        <v>3708</v>
      </c>
      <c r="D853" s="44" t="s">
        <v>3709</v>
      </c>
      <c r="E853" s="2" t="s">
        <v>6</v>
      </c>
      <c r="F853" s="2" t="s">
        <v>110</v>
      </c>
      <c r="G853" s="2" t="s">
        <v>1</v>
      </c>
      <c r="H853" s="2" t="s">
        <v>111</v>
      </c>
      <c r="I853" s="2" t="s">
        <v>112</v>
      </c>
      <c r="J853" s="2" t="s">
        <v>113</v>
      </c>
      <c r="K853" s="2" t="s">
        <v>114</v>
      </c>
      <c r="L853" s="2" t="s">
        <v>115</v>
      </c>
      <c r="M853" s="2">
        <v>0</v>
      </c>
      <c r="N853" s="2">
        <v>0</v>
      </c>
      <c r="O853" s="2">
        <v>0</v>
      </c>
      <c r="P853" s="2" t="s">
        <v>72</v>
      </c>
      <c r="Q853" s="2" t="s">
        <v>73</v>
      </c>
      <c r="R853" s="29" t="e">
        <f>IF(INDEX(#REF!,MATCH('data '!$B853,#REF!,0),MATCH('data '!R$3,#REF!,0))=0,"",INDEX(#REF!,MATCH('data '!$B853,#REF!,0),MATCH('data '!R$3,#REF!,0)))</f>
        <v>#REF!</v>
      </c>
      <c r="S853" s="29" t="e">
        <f>IF(INDEX(#REF!,MATCH('data '!$B853,#REF!,0),MATCH('data '!S$3,#REF!,0))=0,"",INDEX(#REF!,MATCH('data '!$B853,#REF!,0),MATCH('data '!S$3,#REF!,0)))</f>
        <v>#REF!</v>
      </c>
      <c r="T853" s="29" t="e">
        <f>IF(INDEX(#REF!,MATCH('data '!$B853,#REF!,0),MATCH('data '!T$3,#REF!,0))=0,"",INDEX(#REF!,MATCH('data '!$B853,#REF!,0),MATCH('data '!T$3,#REF!,0)))</f>
        <v>#REF!</v>
      </c>
      <c r="V853" s="25" t="s">
        <v>74</v>
      </c>
      <c r="W853" s="25">
        <v>0</v>
      </c>
      <c r="AC853" s="8" t="e">
        <f>VLOOKUP(B853,#REF!,19,0)</f>
        <v>#REF!</v>
      </c>
      <c r="AP853" s="8" t="str">
        <f t="shared" si="34"/>
        <v>Not yet endorsed</v>
      </c>
      <c r="AQ853" s="10" t="b" cm="1">
        <f t="array" aca="1" ref="AQ853" ca="1">IF(AM853&gt;0,(TODAY()-AM853),IF(AL853&gt;0,(TODAY()-AL853),IF(AK853&gt;0,(TODAY()-AK853,IF(AI853&gt;0,(TODAY()-AI853),IF(AG853&gt;0,(TODAY()-AG853),IF(AF853&gt;0,(TODAY()-AF853),IF(X853&gt;0,(TODAY()-X853)," "))))))))</f>
        <v>0</v>
      </c>
      <c r="BD853" s="2" t="str">
        <f t="shared" si="35"/>
        <v>Not yet endorsed</v>
      </c>
      <c r="BE853" s="2" t="s">
        <v>75</v>
      </c>
      <c r="BG853" s="2" t="e">
        <v>#N/A</v>
      </c>
    </row>
    <row r="854" spans="2:60" hidden="1" x14ac:dyDescent="0.25">
      <c r="B854" s="2" t="s">
        <v>3710</v>
      </c>
      <c r="C854" s="2" t="s">
        <v>3711</v>
      </c>
      <c r="D854" s="44" t="s">
        <v>3712</v>
      </c>
      <c r="E854" s="2" t="s">
        <v>6</v>
      </c>
      <c r="F854" s="2" t="s">
        <v>110</v>
      </c>
      <c r="G854" s="2" t="s">
        <v>1</v>
      </c>
      <c r="H854" s="2" t="s">
        <v>111</v>
      </c>
      <c r="I854" s="2" t="s">
        <v>112</v>
      </c>
      <c r="J854" s="2" t="s">
        <v>113</v>
      </c>
      <c r="K854" s="2" t="s">
        <v>114</v>
      </c>
      <c r="L854" s="2" t="s">
        <v>115</v>
      </c>
      <c r="M854" s="2">
        <v>0</v>
      </c>
      <c r="N854" s="2">
        <v>0</v>
      </c>
      <c r="O854" s="2">
        <v>0</v>
      </c>
      <c r="P854" s="2" t="s">
        <v>72</v>
      </c>
      <c r="Q854" s="2" t="s">
        <v>73</v>
      </c>
      <c r="R854" s="29" t="e">
        <f>IF(INDEX(#REF!,MATCH('data '!$B854,#REF!,0),MATCH('data '!R$3,#REF!,0))=0,"",INDEX(#REF!,MATCH('data '!$B854,#REF!,0),MATCH('data '!R$3,#REF!,0)))</f>
        <v>#REF!</v>
      </c>
      <c r="S854" s="29" t="e">
        <f>IF(INDEX(#REF!,MATCH('data '!$B854,#REF!,0),MATCH('data '!S$3,#REF!,0))=0,"",INDEX(#REF!,MATCH('data '!$B854,#REF!,0),MATCH('data '!S$3,#REF!,0)))</f>
        <v>#REF!</v>
      </c>
      <c r="T854" s="29" t="e">
        <f>IF(INDEX(#REF!,MATCH('data '!$B854,#REF!,0),MATCH('data '!T$3,#REF!,0))=0,"",INDEX(#REF!,MATCH('data '!$B854,#REF!,0),MATCH('data '!T$3,#REF!,0)))</f>
        <v>#REF!</v>
      </c>
      <c r="V854" s="25" t="s">
        <v>74</v>
      </c>
      <c r="W854" s="25">
        <v>0</v>
      </c>
      <c r="AC854" s="8" t="e">
        <f>VLOOKUP(B854,#REF!,19,0)</f>
        <v>#REF!</v>
      </c>
      <c r="AP854" s="8" t="str">
        <f t="shared" si="34"/>
        <v>Not yet endorsed</v>
      </c>
      <c r="AQ854" s="10" t="b" cm="1">
        <f t="array" aca="1" ref="AQ854" ca="1">IF(AM854&gt;0,(TODAY()-AM854),IF(AL854&gt;0,(TODAY()-AL854),IF(AK854&gt;0,(TODAY()-AK854,IF(AI854&gt;0,(TODAY()-AI854),IF(AG854&gt;0,(TODAY()-AG854),IF(AF854&gt;0,(TODAY()-AF854),IF(X854&gt;0,(TODAY()-X854)," "))))))))</f>
        <v>0</v>
      </c>
      <c r="BD854" s="2" t="str">
        <f t="shared" si="35"/>
        <v>Not yet endorsed</v>
      </c>
      <c r="BE854" s="2" t="s">
        <v>75</v>
      </c>
      <c r="BG854" s="2" t="e">
        <v>#N/A</v>
      </c>
    </row>
    <row r="855" spans="2:60" hidden="1" x14ac:dyDescent="0.25">
      <c r="B855" s="2" t="s">
        <v>3713</v>
      </c>
      <c r="C855" s="2" t="s">
        <v>3714</v>
      </c>
      <c r="D855" s="44" t="s">
        <v>3715</v>
      </c>
      <c r="E855" s="2" t="s">
        <v>6</v>
      </c>
      <c r="F855" s="2" t="s">
        <v>110</v>
      </c>
      <c r="G855" s="2" t="s">
        <v>1</v>
      </c>
      <c r="H855" s="2" t="s">
        <v>111</v>
      </c>
      <c r="I855" s="2" t="s">
        <v>112</v>
      </c>
      <c r="J855" s="2" t="s">
        <v>113</v>
      </c>
      <c r="K855" s="2" t="s">
        <v>114</v>
      </c>
      <c r="L855" s="2" t="s">
        <v>115</v>
      </c>
      <c r="M855" s="2">
        <v>0</v>
      </c>
      <c r="N855" s="2">
        <v>0</v>
      </c>
      <c r="O855" s="2">
        <v>0</v>
      </c>
      <c r="P855" s="2" t="s">
        <v>72</v>
      </c>
      <c r="Q855" s="2" t="s">
        <v>73</v>
      </c>
      <c r="R855" s="29" t="e">
        <f>IF(INDEX(#REF!,MATCH('data '!$B855,#REF!,0),MATCH('data '!R$3,#REF!,0))=0,"",INDEX(#REF!,MATCH('data '!$B855,#REF!,0),MATCH('data '!R$3,#REF!,0)))</f>
        <v>#REF!</v>
      </c>
      <c r="S855" s="29" t="e">
        <f>IF(INDEX(#REF!,MATCH('data '!$B855,#REF!,0),MATCH('data '!S$3,#REF!,0))=0,"",INDEX(#REF!,MATCH('data '!$B855,#REF!,0),MATCH('data '!S$3,#REF!,0)))</f>
        <v>#REF!</v>
      </c>
      <c r="T855" s="29" t="e">
        <f>IF(INDEX(#REF!,MATCH('data '!$B855,#REF!,0),MATCH('data '!T$3,#REF!,0))=0,"",INDEX(#REF!,MATCH('data '!$B855,#REF!,0),MATCH('data '!T$3,#REF!,0)))</f>
        <v>#REF!</v>
      </c>
      <c r="V855" s="25" t="s">
        <v>74</v>
      </c>
      <c r="W855" s="25">
        <v>0</v>
      </c>
      <c r="AC855" s="8" t="e">
        <f>VLOOKUP(B855,#REF!,19,0)</f>
        <v>#REF!</v>
      </c>
      <c r="AP855" s="8" t="str">
        <f t="shared" si="34"/>
        <v>Not yet endorsed</v>
      </c>
      <c r="AQ855" s="10" t="b" cm="1">
        <f t="array" aca="1" ref="AQ855" ca="1">IF(AM855&gt;0,(TODAY()-AM855),IF(AL855&gt;0,(TODAY()-AL855),IF(AK855&gt;0,(TODAY()-AK855,IF(AI855&gt;0,(TODAY()-AI855),IF(AG855&gt;0,(TODAY()-AG855),IF(AF855&gt;0,(TODAY()-AF855),IF(X855&gt;0,(TODAY()-X855)," "))))))))</f>
        <v>0</v>
      </c>
      <c r="BD855" s="2" t="str">
        <f t="shared" si="35"/>
        <v>Not yet endorsed</v>
      </c>
      <c r="BE855" s="2" t="s">
        <v>75</v>
      </c>
      <c r="BG855" s="2" t="e">
        <v>#N/A</v>
      </c>
    </row>
    <row r="856" spans="2:60" hidden="1" x14ac:dyDescent="0.25">
      <c r="B856" s="2" t="s">
        <v>3716</v>
      </c>
      <c r="C856" s="2" t="s">
        <v>3717</v>
      </c>
      <c r="D856" s="44" t="s">
        <v>3718</v>
      </c>
      <c r="E856" s="2" t="s">
        <v>6</v>
      </c>
      <c r="F856" s="2" t="s">
        <v>110</v>
      </c>
      <c r="G856" s="2" t="s">
        <v>1</v>
      </c>
      <c r="H856" s="2" t="s">
        <v>111</v>
      </c>
      <c r="I856" s="2" t="s">
        <v>112</v>
      </c>
      <c r="J856" s="2" t="s">
        <v>113</v>
      </c>
      <c r="K856" s="2" t="s">
        <v>114</v>
      </c>
      <c r="L856" s="2" t="s">
        <v>115</v>
      </c>
      <c r="M856" s="2">
        <v>0</v>
      </c>
      <c r="N856" s="2">
        <v>0</v>
      </c>
      <c r="O856" s="2">
        <v>0</v>
      </c>
      <c r="P856" s="2" t="s">
        <v>72</v>
      </c>
      <c r="Q856" s="2" t="s">
        <v>73</v>
      </c>
      <c r="R856" s="29" t="e">
        <f>IF(INDEX(#REF!,MATCH('data '!$B856,#REF!,0),MATCH('data '!R$3,#REF!,0))=0,"",INDEX(#REF!,MATCH('data '!$B856,#REF!,0),MATCH('data '!R$3,#REF!,0)))</f>
        <v>#REF!</v>
      </c>
      <c r="S856" s="29" t="e">
        <f>IF(INDEX(#REF!,MATCH('data '!$B856,#REF!,0),MATCH('data '!S$3,#REF!,0))=0,"",INDEX(#REF!,MATCH('data '!$B856,#REF!,0),MATCH('data '!S$3,#REF!,0)))</f>
        <v>#REF!</v>
      </c>
      <c r="T856" s="29" t="e">
        <f>IF(INDEX(#REF!,MATCH('data '!$B856,#REF!,0),MATCH('data '!T$3,#REF!,0))=0,"",INDEX(#REF!,MATCH('data '!$B856,#REF!,0),MATCH('data '!T$3,#REF!,0)))</f>
        <v>#REF!</v>
      </c>
      <c r="V856" s="25" t="s">
        <v>74</v>
      </c>
      <c r="W856" s="25">
        <v>0</v>
      </c>
      <c r="AC856" s="8" t="e">
        <f>VLOOKUP(B856,#REF!,19,0)</f>
        <v>#REF!</v>
      </c>
      <c r="AP856" s="8" t="str">
        <f t="shared" si="34"/>
        <v>Not yet endorsed</v>
      </c>
      <c r="AQ856" s="10" t="b" cm="1">
        <f t="array" aca="1" ref="AQ856" ca="1">IF(AM856&gt;0,(TODAY()-AM856),IF(AL856&gt;0,(TODAY()-AL856),IF(AK856&gt;0,(TODAY()-AK856,IF(AI856&gt;0,(TODAY()-AI856),IF(AG856&gt;0,(TODAY()-AG856),IF(AF856&gt;0,(TODAY()-AF856),IF(X856&gt;0,(TODAY()-X856)," "))))))))</f>
        <v>0</v>
      </c>
      <c r="BD856" s="2" t="str">
        <f t="shared" si="35"/>
        <v>Not yet endorsed</v>
      </c>
      <c r="BE856" s="2" t="s">
        <v>75</v>
      </c>
      <c r="BG856" s="2" t="e">
        <v>#N/A</v>
      </c>
    </row>
    <row r="857" spans="2:60" hidden="1" x14ac:dyDescent="0.25">
      <c r="B857" s="2" t="s">
        <v>3719</v>
      </c>
      <c r="C857" s="2" t="s">
        <v>3720</v>
      </c>
      <c r="D857" s="44" t="s">
        <v>3721</v>
      </c>
      <c r="E857" s="2" t="s">
        <v>6</v>
      </c>
      <c r="F857" s="2" t="s">
        <v>110</v>
      </c>
      <c r="G857" s="2" t="s">
        <v>1</v>
      </c>
      <c r="H857" s="2" t="s">
        <v>111</v>
      </c>
      <c r="I857" s="2" t="s">
        <v>112</v>
      </c>
      <c r="J857" s="2" t="s">
        <v>113</v>
      </c>
      <c r="K857" s="2" t="s">
        <v>114</v>
      </c>
      <c r="L857" s="2" t="s">
        <v>115</v>
      </c>
      <c r="M857" s="2">
        <v>0</v>
      </c>
      <c r="N857" s="2">
        <v>0</v>
      </c>
      <c r="O857" s="2">
        <v>0</v>
      </c>
      <c r="P857" s="2" t="s">
        <v>72</v>
      </c>
      <c r="Q857" s="2" t="s">
        <v>73</v>
      </c>
      <c r="R857" s="29" t="e">
        <f>IF(INDEX(#REF!,MATCH('data '!$B857,#REF!,0),MATCH('data '!R$3,#REF!,0))=0,"",INDEX(#REF!,MATCH('data '!$B857,#REF!,0),MATCH('data '!R$3,#REF!,0)))</f>
        <v>#REF!</v>
      </c>
      <c r="S857" s="29" t="e">
        <f>IF(INDEX(#REF!,MATCH('data '!$B857,#REF!,0),MATCH('data '!S$3,#REF!,0))=0,"",INDEX(#REF!,MATCH('data '!$B857,#REF!,0),MATCH('data '!S$3,#REF!,0)))</f>
        <v>#REF!</v>
      </c>
      <c r="T857" s="29" t="e">
        <f>IF(INDEX(#REF!,MATCH('data '!$B857,#REF!,0),MATCH('data '!T$3,#REF!,0))=0,"",INDEX(#REF!,MATCH('data '!$B857,#REF!,0),MATCH('data '!T$3,#REF!,0)))</f>
        <v>#REF!</v>
      </c>
      <c r="V857" s="25" t="s">
        <v>74</v>
      </c>
      <c r="W857" s="25">
        <v>0</v>
      </c>
      <c r="AC857" s="8" t="e">
        <f>VLOOKUP(B857,#REF!,19,0)</f>
        <v>#REF!</v>
      </c>
      <c r="AP857" s="8" t="str">
        <f t="shared" si="34"/>
        <v>Not yet endorsed</v>
      </c>
      <c r="AQ857" s="10" t="b" cm="1">
        <f t="array" aca="1" ref="AQ857" ca="1">IF(AM857&gt;0,(TODAY()-AM857),IF(AL857&gt;0,(TODAY()-AL857),IF(AK857&gt;0,(TODAY()-AK857,IF(AI857&gt;0,(TODAY()-AI857),IF(AG857&gt;0,(TODAY()-AG857),IF(AF857&gt;0,(TODAY()-AF857),IF(X857&gt;0,(TODAY()-X857)," "))))))))</f>
        <v>0</v>
      </c>
      <c r="BD857" s="2" t="str">
        <f t="shared" si="35"/>
        <v>Not yet endorsed</v>
      </c>
      <c r="BE857" s="2" t="s">
        <v>75</v>
      </c>
      <c r="BG857" s="2" t="e">
        <v>#N/A</v>
      </c>
    </row>
    <row r="858" spans="2:60" hidden="1" x14ac:dyDescent="0.25">
      <c r="B858" s="2" t="s">
        <v>3722</v>
      </c>
      <c r="C858" s="2" t="s">
        <v>3723</v>
      </c>
      <c r="D858" s="44" t="s">
        <v>3724</v>
      </c>
      <c r="E858" s="2" t="s">
        <v>11</v>
      </c>
      <c r="F858" s="2" t="s">
        <v>337</v>
      </c>
      <c r="G858" s="2" t="s">
        <v>1</v>
      </c>
      <c r="H858" s="2" t="s">
        <v>67</v>
      </c>
      <c r="I858" s="2" t="s">
        <v>68</v>
      </c>
      <c r="J858" s="2" t="s">
        <v>330</v>
      </c>
      <c r="K858" s="2" t="s">
        <v>338</v>
      </c>
      <c r="L858" s="2">
        <v>0</v>
      </c>
      <c r="M858" s="2">
        <v>0</v>
      </c>
      <c r="N858" s="2">
        <v>0</v>
      </c>
      <c r="O858" s="2">
        <v>0</v>
      </c>
      <c r="P858" s="2" t="s">
        <v>72</v>
      </c>
      <c r="Q858" s="2" t="s">
        <v>73</v>
      </c>
      <c r="R858" s="29" t="e">
        <f>IF(INDEX(#REF!,MATCH('data '!$B858,#REF!,0),MATCH('data '!R$3,#REF!,0))=0,"",INDEX(#REF!,MATCH('data '!$B858,#REF!,0),MATCH('data '!R$3,#REF!,0)))</f>
        <v>#REF!</v>
      </c>
      <c r="S858" s="29" t="e">
        <f>IF(INDEX(#REF!,MATCH('data '!$B858,#REF!,0),MATCH('data '!S$3,#REF!,0))=0,"",INDEX(#REF!,MATCH('data '!$B858,#REF!,0),MATCH('data '!S$3,#REF!,0)))</f>
        <v>#REF!</v>
      </c>
      <c r="T858" s="29" t="e">
        <f>IF(INDEX(#REF!,MATCH('data '!$B858,#REF!,0),MATCH('data '!T$3,#REF!,0))=0,"",INDEX(#REF!,MATCH('data '!$B858,#REF!,0),MATCH('data '!T$3,#REF!,0)))</f>
        <v>#REF!</v>
      </c>
      <c r="V858" s="25" t="s">
        <v>74</v>
      </c>
      <c r="W858" s="25">
        <v>0</v>
      </c>
      <c r="AC858" s="8" t="e">
        <f>VLOOKUP(B858,#REF!,19,0)</f>
        <v>#REF!</v>
      </c>
      <c r="AP858" s="8" t="str">
        <f t="shared" si="34"/>
        <v>Not yet endorsed</v>
      </c>
      <c r="AQ858" s="10" t="b" cm="1">
        <f t="array" aca="1" ref="AQ858" ca="1">IF(AM858&gt;0,(TODAY()-AM858),IF(AL858&gt;0,(TODAY()-AL858),IF(AK858&gt;0,(TODAY()-AK858,IF(AI858&gt;0,(TODAY()-AI858),IF(AG858&gt;0,(TODAY()-AG858),IF(AF858&gt;0,(TODAY()-AF858),IF(X858&gt;0,(TODAY()-X858)," "))))))))</f>
        <v>0</v>
      </c>
      <c r="BD858" s="2" t="str">
        <f t="shared" si="35"/>
        <v>Not yet endorsed</v>
      </c>
      <c r="BE858" s="2" t="s">
        <v>75</v>
      </c>
      <c r="BG858" s="2" t="e">
        <v>#N/A</v>
      </c>
    </row>
    <row r="859" spans="2:60" hidden="1" x14ac:dyDescent="0.25">
      <c r="B859" s="2" t="s">
        <v>3725</v>
      </c>
      <c r="C859" s="2" t="s">
        <v>3726</v>
      </c>
      <c r="D859" s="44" t="s">
        <v>3727</v>
      </c>
      <c r="E859" s="2" t="s">
        <v>11</v>
      </c>
      <c r="F859" s="2" t="s">
        <v>337</v>
      </c>
      <c r="G859" s="2" t="s">
        <v>1</v>
      </c>
      <c r="H859" s="2" t="s">
        <v>67</v>
      </c>
      <c r="I859" s="2" t="s">
        <v>68</v>
      </c>
      <c r="J859" s="2" t="s">
        <v>330</v>
      </c>
      <c r="K859" s="2" t="s">
        <v>338</v>
      </c>
      <c r="L859" s="2" t="s">
        <v>339</v>
      </c>
      <c r="M859" s="2">
        <v>0</v>
      </c>
      <c r="N859" s="2">
        <v>0</v>
      </c>
      <c r="O859" s="2">
        <v>0</v>
      </c>
      <c r="P859" s="2" t="s">
        <v>72</v>
      </c>
      <c r="Q859" s="2" t="s">
        <v>73</v>
      </c>
      <c r="R859" s="29" t="e">
        <f>IF(INDEX(#REF!,MATCH('data '!$B859,#REF!,0),MATCH('data '!R$3,#REF!,0))=0,"",INDEX(#REF!,MATCH('data '!$B859,#REF!,0),MATCH('data '!R$3,#REF!,0)))</f>
        <v>#REF!</v>
      </c>
      <c r="S859" s="29" t="e">
        <f>IF(INDEX(#REF!,MATCH('data '!$B859,#REF!,0),MATCH('data '!S$3,#REF!,0))=0,"",INDEX(#REF!,MATCH('data '!$B859,#REF!,0),MATCH('data '!S$3,#REF!,0)))</f>
        <v>#REF!</v>
      </c>
      <c r="T859" s="29" t="e">
        <f>IF(INDEX(#REF!,MATCH('data '!$B859,#REF!,0),MATCH('data '!T$3,#REF!,0))=0,"",INDEX(#REF!,MATCH('data '!$B859,#REF!,0),MATCH('data '!T$3,#REF!,0)))</f>
        <v>#REF!</v>
      </c>
      <c r="V859" s="25" t="s">
        <v>74</v>
      </c>
      <c r="W859" s="25">
        <v>0</v>
      </c>
      <c r="AC859" s="8" t="e">
        <f>VLOOKUP(B859,#REF!,19,0)</f>
        <v>#REF!</v>
      </c>
      <c r="AP859" s="8" t="str">
        <f t="shared" si="34"/>
        <v>Not yet endorsed</v>
      </c>
      <c r="AQ859" s="10" t="b" cm="1">
        <f t="array" aca="1" ref="AQ859" ca="1">IF(AM859&gt;0,(TODAY()-AM859),IF(AL859&gt;0,(TODAY()-AL859),IF(AK859&gt;0,(TODAY()-AK859,IF(AI859&gt;0,(TODAY()-AI859),IF(AG859&gt;0,(TODAY()-AG859),IF(AF859&gt;0,(TODAY()-AF859),IF(X859&gt;0,(TODAY()-X859)," "))))))))</f>
        <v>0</v>
      </c>
      <c r="BD859" s="2" t="str">
        <f t="shared" si="35"/>
        <v>Not yet endorsed</v>
      </c>
      <c r="BE859" s="2" t="s">
        <v>75</v>
      </c>
      <c r="BG859" s="2" t="e">
        <v>#N/A</v>
      </c>
    </row>
    <row r="860" spans="2:60" hidden="1" x14ac:dyDescent="0.25">
      <c r="B860" s="2" t="s">
        <v>3728</v>
      </c>
      <c r="C860" s="2" t="s">
        <v>3729</v>
      </c>
      <c r="D860" s="44" t="s">
        <v>3730</v>
      </c>
      <c r="E860" s="2" t="s">
        <v>4</v>
      </c>
      <c r="F860" s="2" t="s">
        <v>538</v>
      </c>
      <c r="G860" s="2" t="s">
        <v>1</v>
      </c>
      <c r="H860" s="2" t="s">
        <v>139</v>
      </c>
      <c r="I860" s="2" t="s">
        <v>140</v>
      </c>
      <c r="J860" s="2" t="s">
        <v>122</v>
      </c>
      <c r="K860" s="2" t="s">
        <v>359</v>
      </c>
      <c r="L860" s="2" t="s">
        <v>539</v>
      </c>
      <c r="M860" s="2">
        <v>0</v>
      </c>
      <c r="N860" s="2">
        <v>0</v>
      </c>
      <c r="O860" s="2">
        <v>0</v>
      </c>
      <c r="P860" s="2" t="s">
        <v>72</v>
      </c>
      <c r="Q860" s="2" t="s">
        <v>73</v>
      </c>
      <c r="R860" s="29" t="e">
        <f>IF(INDEX(#REF!,MATCH('data '!$B860,#REF!,0),MATCH('data '!R$3,#REF!,0))=0,"",INDEX(#REF!,MATCH('data '!$B860,#REF!,0),MATCH('data '!R$3,#REF!,0)))</f>
        <v>#REF!</v>
      </c>
      <c r="S860" s="29" t="e">
        <f>IF(INDEX(#REF!,MATCH('data '!$B860,#REF!,0),MATCH('data '!S$3,#REF!,0))=0,"",INDEX(#REF!,MATCH('data '!$B860,#REF!,0),MATCH('data '!S$3,#REF!,0)))</f>
        <v>#REF!</v>
      </c>
      <c r="T860" s="29" t="e">
        <f>IF(INDEX(#REF!,MATCH('data '!$B860,#REF!,0),MATCH('data '!T$3,#REF!,0))=0,"",INDEX(#REF!,MATCH('data '!$B860,#REF!,0),MATCH('data '!T$3,#REF!,0)))</f>
        <v>#REF!</v>
      </c>
      <c r="V860" s="25" t="s">
        <v>74</v>
      </c>
      <c r="W860" s="25">
        <v>0</v>
      </c>
      <c r="AC860" s="8" t="e">
        <f>VLOOKUP(B860,#REF!,19,0)</f>
        <v>#REF!</v>
      </c>
      <c r="AP860" s="8" t="str">
        <f t="shared" si="34"/>
        <v>Not yet endorsed</v>
      </c>
      <c r="AQ860" s="10" t="b" cm="1">
        <f t="array" aca="1" ref="AQ860" ca="1">IF(AM860&gt;0,(TODAY()-AM860),IF(AL860&gt;0,(TODAY()-AL860),IF(AK860&gt;0,(TODAY()-AK860,IF(AI860&gt;0,(TODAY()-AI860),IF(AG860&gt;0,(TODAY()-AG860),IF(AF860&gt;0,(TODAY()-AF860),IF(X860&gt;0,(TODAY()-X860)," "))))))))</f>
        <v>0</v>
      </c>
      <c r="BD860" s="2" t="str">
        <f t="shared" si="35"/>
        <v>Not yet endorsed</v>
      </c>
      <c r="BE860" s="2" t="s">
        <v>75</v>
      </c>
      <c r="BG860" s="2" t="e">
        <v>#N/A</v>
      </c>
    </row>
    <row r="861" spans="2:60" hidden="1" x14ac:dyDescent="0.25">
      <c r="B861" s="2" t="s">
        <v>3731</v>
      </c>
      <c r="C861" s="2" t="s">
        <v>3732</v>
      </c>
      <c r="D861" s="44" t="s">
        <v>3733</v>
      </c>
      <c r="E861" s="2" t="s">
        <v>5</v>
      </c>
      <c r="F861" s="2" t="s">
        <v>1587</v>
      </c>
      <c r="G861" s="2" t="s">
        <v>1</v>
      </c>
      <c r="H861" s="2" t="s">
        <v>120</v>
      </c>
      <c r="I861" s="2" t="s">
        <v>140</v>
      </c>
      <c r="J861" s="2" t="s">
        <v>209</v>
      </c>
      <c r="K861" s="2" t="s">
        <v>1588</v>
      </c>
      <c r="L861" s="2" t="s">
        <v>1858</v>
      </c>
      <c r="M861" s="2">
        <v>0</v>
      </c>
      <c r="N861" s="2">
        <v>0</v>
      </c>
      <c r="O861" s="2">
        <v>0</v>
      </c>
      <c r="P861" s="2" t="s">
        <v>72</v>
      </c>
      <c r="Q861" s="2" t="s">
        <v>73</v>
      </c>
      <c r="R861" s="29" t="e">
        <f>IF(INDEX(#REF!,MATCH('data '!$B861,#REF!,0),MATCH('data '!R$3,#REF!,0))=0,"",INDEX(#REF!,MATCH('data '!$B861,#REF!,0),MATCH('data '!R$3,#REF!,0)))</f>
        <v>#REF!</v>
      </c>
      <c r="S861" s="29" t="e">
        <f>IF(INDEX(#REF!,MATCH('data '!$B861,#REF!,0),MATCH('data '!S$3,#REF!,0))=0,"",INDEX(#REF!,MATCH('data '!$B861,#REF!,0),MATCH('data '!S$3,#REF!,0)))</f>
        <v>#REF!</v>
      </c>
      <c r="T861" s="29" t="e">
        <f>IF(INDEX(#REF!,MATCH('data '!$B861,#REF!,0),MATCH('data '!T$3,#REF!,0))=0,"",INDEX(#REF!,MATCH('data '!$B861,#REF!,0),MATCH('data '!T$3,#REF!,0)))</f>
        <v>#REF!</v>
      </c>
      <c r="V861" s="25" t="s">
        <v>74</v>
      </c>
      <c r="W861" s="25">
        <v>0</v>
      </c>
      <c r="AC861" s="8" t="e">
        <f>VLOOKUP(B861,#REF!,19,0)</f>
        <v>#REF!</v>
      </c>
      <c r="AE861" s="8" t="s">
        <v>228</v>
      </c>
      <c r="AG861" s="8">
        <v>46021</v>
      </c>
      <c r="AH861" s="8" t="s">
        <v>1590</v>
      </c>
      <c r="AI861" s="8">
        <v>46028</v>
      </c>
      <c r="AJ861" s="8" t="s">
        <v>1591</v>
      </c>
      <c r="AP861" s="8" t="str">
        <f t="shared" si="34"/>
        <v>PO Issued</v>
      </c>
      <c r="AQ861" s="10" t="b" cm="1">
        <f t="array" aca="1" ref="AQ861" ca="1">IF(AM861&gt;0,(TODAY()-AM861),IF(AL861&gt;0,(TODAY()-AL861),IF(AK861&gt;0,(TODAY()-AK861,IF(AI861&gt;0,(TODAY()-AI861),IF(AG861&gt;0,(TODAY()-AG861),IF(AF861&gt;0,(TODAY()-AF861),IF(X861&gt;0,(TODAY()-X861)," "))))))))</f>
        <v>0</v>
      </c>
      <c r="BD861" s="2" t="str">
        <f t="shared" si="35"/>
        <v>Not yet endorsed</v>
      </c>
      <c r="BE861" s="2" t="s">
        <v>75</v>
      </c>
      <c r="BG861" s="2" t="e">
        <v>#N/A</v>
      </c>
      <c r="BH861" s="2" t="e" vm="1">
        <v>#REF!</v>
      </c>
    </row>
    <row r="862" spans="2:60" hidden="1" x14ac:dyDescent="0.25">
      <c r="B862" s="2" t="s">
        <v>3734</v>
      </c>
      <c r="C862" s="2" t="s">
        <v>3735</v>
      </c>
      <c r="D862" s="44" t="s">
        <v>3736</v>
      </c>
      <c r="E862" s="2" t="s">
        <v>11</v>
      </c>
      <c r="F862" s="2" t="s">
        <v>79</v>
      </c>
      <c r="G862" s="2" t="s">
        <v>1</v>
      </c>
      <c r="H862" s="2" t="s">
        <v>67</v>
      </c>
      <c r="I862" s="2" t="s">
        <v>68</v>
      </c>
      <c r="J862" s="2" t="s">
        <v>80</v>
      </c>
      <c r="K862" s="2" t="s">
        <v>81</v>
      </c>
      <c r="L862" s="2">
        <v>0</v>
      </c>
      <c r="M862" s="2">
        <v>0</v>
      </c>
      <c r="N862" s="2">
        <v>0</v>
      </c>
      <c r="O862" s="2">
        <v>0</v>
      </c>
      <c r="P862" s="2" t="s">
        <v>72</v>
      </c>
      <c r="Q862" s="2" t="s">
        <v>73</v>
      </c>
      <c r="R862" s="29" t="e">
        <f>IF(INDEX(#REF!,MATCH('data '!$B862,#REF!,0),MATCH('data '!R$3,#REF!,0))=0,"",INDEX(#REF!,MATCH('data '!$B862,#REF!,0),MATCH('data '!R$3,#REF!,0)))</f>
        <v>#REF!</v>
      </c>
      <c r="S862" s="29" t="e">
        <f>IF(INDEX(#REF!,MATCH('data '!$B862,#REF!,0),MATCH('data '!S$3,#REF!,0))=0,"",INDEX(#REF!,MATCH('data '!$B862,#REF!,0),MATCH('data '!S$3,#REF!,0)))</f>
        <v>#REF!</v>
      </c>
      <c r="T862" s="29" t="e">
        <f>IF(INDEX(#REF!,MATCH('data '!$B862,#REF!,0),MATCH('data '!T$3,#REF!,0))=0,"",INDEX(#REF!,MATCH('data '!$B862,#REF!,0),MATCH('data '!T$3,#REF!,0)))</f>
        <v>#REF!</v>
      </c>
      <c r="V862" s="25" t="s">
        <v>74</v>
      </c>
      <c r="W862" s="25">
        <v>0</v>
      </c>
      <c r="AC862" s="8" t="e">
        <f>VLOOKUP(B862,#REF!,19,0)</f>
        <v>#REF!</v>
      </c>
      <c r="AP862" s="8" t="str">
        <f t="shared" si="34"/>
        <v>Not yet endorsed</v>
      </c>
      <c r="AQ862" s="10" t="b" cm="1">
        <f t="array" aca="1" ref="AQ862" ca="1">IF(AM862&gt;0,(TODAY()-AM862),IF(AL862&gt;0,(TODAY()-AL862),IF(AK862&gt;0,(TODAY()-AK862,IF(AI862&gt;0,(TODAY()-AI862),IF(AG862&gt;0,(TODAY()-AG862),IF(AF862&gt;0,(TODAY()-AF862),IF(X862&gt;0,(TODAY()-X862)," "))))))))</f>
        <v>0</v>
      </c>
      <c r="BD862" s="2" t="str">
        <f t="shared" si="35"/>
        <v>Not yet endorsed</v>
      </c>
      <c r="BE862" s="2" t="s">
        <v>75</v>
      </c>
      <c r="BG862" s="2" t="e">
        <v>#N/A</v>
      </c>
    </row>
    <row r="863" spans="2:60" hidden="1" x14ac:dyDescent="0.25">
      <c r="B863" s="2" t="s">
        <v>3737</v>
      </c>
      <c r="C863" s="2" t="s">
        <v>3738</v>
      </c>
      <c r="D863" s="44" t="s">
        <v>3739</v>
      </c>
      <c r="E863" s="2" t="s">
        <v>5</v>
      </c>
      <c r="F863" s="2" t="s">
        <v>813</v>
      </c>
      <c r="G863" s="2" t="s">
        <v>1</v>
      </c>
      <c r="H863" s="2" t="s">
        <v>120</v>
      </c>
      <c r="I863" s="2" t="s">
        <v>140</v>
      </c>
      <c r="J863" s="2" t="s">
        <v>141</v>
      </c>
      <c r="K863" s="2" t="s">
        <v>370</v>
      </c>
      <c r="L863" s="2" t="s">
        <v>814</v>
      </c>
      <c r="M863" s="2">
        <v>0</v>
      </c>
      <c r="N863" s="2">
        <v>0</v>
      </c>
      <c r="O863" s="2">
        <v>0</v>
      </c>
      <c r="P863" s="2" t="s">
        <v>72</v>
      </c>
      <c r="Q863" s="2" t="s">
        <v>73</v>
      </c>
      <c r="R863" s="29" t="e">
        <f>IF(INDEX(#REF!,MATCH('data '!$B863,#REF!,0),MATCH('data '!R$3,#REF!,0))=0,"",INDEX(#REF!,MATCH('data '!$B863,#REF!,0),MATCH('data '!R$3,#REF!,0)))</f>
        <v>#REF!</v>
      </c>
      <c r="S863" s="29" t="e">
        <f>IF(INDEX(#REF!,MATCH('data '!$B863,#REF!,0),MATCH('data '!S$3,#REF!,0))=0,"",INDEX(#REF!,MATCH('data '!$B863,#REF!,0),MATCH('data '!S$3,#REF!,0)))</f>
        <v>#REF!</v>
      </c>
      <c r="T863" s="29" t="e">
        <f>IF(INDEX(#REF!,MATCH('data '!$B863,#REF!,0),MATCH('data '!T$3,#REF!,0))=0,"",INDEX(#REF!,MATCH('data '!$B863,#REF!,0),MATCH('data '!T$3,#REF!,0)))</f>
        <v>#REF!</v>
      </c>
      <c r="V863" s="25" t="s">
        <v>74</v>
      </c>
      <c r="W863" s="25">
        <v>0</v>
      </c>
      <c r="AC863" s="8" t="e">
        <f>VLOOKUP(B863,#REF!,19,0)</f>
        <v>#REF!</v>
      </c>
      <c r="AE863" s="8" t="s">
        <v>295</v>
      </c>
      <c r="AP863" s="8" t="str">
        <f t="shared" si="34"/>
        <v>Not yet endorsed</v>
      </c>
      <c r="AQ863" s="10" t="b" cm="1">
        <f t="array" aca="1" ref="AQ863" ca="1">IF(AM863&gt;0,(TODAY()-AM863),IF(AL863&gt;0,(TODAY()-AL863),IF(AK863&gt;0,(TODAY()-AK863,IF(AI863&gt;0,(TODAY()-AI863),IF(AG863&gt;0,(TODAY()-AG863),IF(AF863&gt;0,(TODAY()-AF863),IF(X863&gt;0,(TODAY()-X863)," "))))))))</f>
        <v>0</v>
      </c>
      <c r="BD863" s="2" t="str">
        <f t="shared" si="35"/>
        <v>Not yet endorsed</v>
      </c>
      <c r="BE863" s="2" t="s">
        <v>75</v>
      </c>
      <c r="BG863" s="2" t="e">
        <v>#N/A</v>
      </c>
      <c r="BH863" s="2" t="e" vm="1">
        <v>#REF!</v>
      </c>
    </row>
    <row r="864" spans="2:60" hidden="1" x14ac:dyDescent="0.25">
      <c r="B864" s="2" t="s">
        <v>3740</v>
      </c>
      <c r="C864" s="2" t="s">
        <v>3741</v>
      </c>
      <c r="D864" s="44" t="s">
        <v>3742</v>
      </c>
      <c r="E864" s="2" t="s">
        <v>11</v>
      </c>
      <c r="F864" s="2" t="s">
        <v>79</v>
      </c>
      <c r="G864" s="2" t="s">
        <v>1</v>
      </c>
      <c r="H864" s="2" t="s">
        <v>67</v>
      </c>
      <c r="I864" s="2" t="s">
        <v>68</v>
      </c>
      <c r="J864" s="2" t="s">
        <v>80</v>
      </c>
      <c r="K864" s="2" t="s">
        <v>196</v>
      </c>
      <c r="L864" s="2">
        <v>0</v>
      </c>
      <c r="M864" s="2">
        <v>0</v>
      </c>
      <c r="N864" s="2">
        <v>0</v>
      </c>
      <c r="O864" s="2">
        <v>0</v>
      </c>
      <c r="P864" s="2" t="s">
        <v>72</v>
      </c>
      <c r="Q864" s="2" t="s">
        <v>73</v>
      </c>
      <c r="R864" s="29" t="e">
        <f>IF(INDEX(#REF!,MATCH('data '!$B864,#REF!,0),MATCH('data '!R$3,#REF!,0))=0,"",INDEX(#REF!,MATCH('data '!$B864,#REF!,0),MATCH('data '!R$3,#REF!,0)))</f>
        <v>#REF!</v>
      </c>
      <c r="S864" s="29" t="e">
        <f>IF(INDEX(#REF!,MATCH('data '!$B864,#REF!,0),MATCH('data '!S$3,#REF!,0))=0,"",INDEX(#REF!,MATCH('data '!$B864,#REF!,0),MATCH('data '!S$3,#REF!,0)))</f>
        <v>#REF!</v>
      </c>
      <c r="T864" s="29" t="e">
        <f>IF(INDEX(#REF!,MATCH('data '!$B864,#REF!,0),MATCH('data '!T$3,#REF!,0))=0,"",INDEX(#REF!,MATCH('data '!$B864,#REF!,0),MATCH('data '!T$3,#REF!,0)))</f>
        <v>#REF!</v>
      </c>
      <c r="V864" s="25" t="s">
        <v>74</v>
      </c>
      <c r="W864" s="25">
        <v>0</v>
      </c>
      <c r="AC864" s="8" t="e">
        <f>VLOOKUP(B864,#REF!,19,0)</f>
        <v>#REF!</v>
      </c>
      <c r="AP864" s="8" t="str">
        <f t="shared" si="34"/>
        <v>Not yet endorsed</v>
      </c>
      <c r="AQ864" s="10" t="b" cm="1">
        <f t="array" aca="1" ref="AQ864" ca="1">IF(AM864&gt;0,(TODAY()-AM864),IF(AL864&gt;0,(TODAY()-AL864),IF(AK864&gt;0,(TODAY()-AK864,IF(AI864&gt;0,(TODAY()-AI864),IF(AG864&gt;0,(TODAY()-AG864),IF(AF864&gt;0,(TODAY()-AF864),IF(X864&gt;0,(TODAY()-X864)," "))))))))</f>
        <v>0</v>
      </c>
      <c r="BD864" s="2" t="str">
        <f t="shared" si="35"/>
        <v>Not yet endorsed</v>
      </c>
      <c r="BE864" s="2" t="s">
        <v>75</v>
      </c>
      <c r="BG864" s="2" t="e">
        <v>#N/A</v>
      </c>
    </row>
    <row r="865" spans="2:59" hidden="1" x14ac:dyDescent="0.25">
      <c r="B865" s="2" t="s">
        <v>3743</v>
      </c>
      <c r="C865" s="2" t="s">
        <v>3744</v>
      </c>
      <c r="D865" s="44" t="s">
        <v>3745</v>
      </c>
      <c r="E865" s="2" t="s">
        <v>11</v>
      </c>
      <c r="F865" s="2" t="s">
        <v>79</v>
      </c>
      <c r="G865" s="2" t="s">
        <v>1</v>
      </c>
      <c r="H865" s="2" t="s">
        <v>67</v>
      </c>
      <c r="I865" s="2" t="s">
        <v>68</v>
      </c>
      <c r="J865" s="2" t="s">
        <v>80</v>
      </c>
      <c r="K865" s="2" t="s">
        <v>196</v>
      </c>
      <c r="L865" s="2">
        <v>0</v>
      </c>
      <c r="M865" s="2">
        <v>0</v>
      </c>
      <c r="N865" s="2">
        <v>0</v>
      </c>
      <c r="O865" s="2">
        <v>0</v>
      </c>
      <c r="P865" s="2" t="s">
        <v>72</v>
      </c>
      <c r="Q865" s="2" t="s">
        <v>73</v>
      </c>
      <c r="R865" s="29" t="e">
        <f>IF(INDEX(#REF!,MATCH('data '!$B865,#REF!,0),MATCH('data '!R$3,#REF!,0))=0,"",INDEX(#REF!,MATCH('data '!$B865,#REF!,0),MATCH('data '!R$3,#REF!,0)))</f>
        <v>#REF!</v>
      </c>
      <c r="S865" s="29" t="e">
        <f>IF(INDEX(#REF!,MATCH('data '!$B865,#REF!,0),MATCH('data '!S$3,#REF!,0))=0,"",INDEX(#REF!,MATCH('data '!$B865,#REF!,0),MATCH('data '!S$3,#REF!,0)))</f>
        <v>#REF!</v>
      </c>
      <c r="T865" s="29" t="e">
        <f>IF(INDEX(#REF!,MATCH('data '!$B865,#REF!,0),MATCH('data '!T$3,#REF!,0))=0,"",INDEX(#REF!,MATCH('data '!$B865,#REF!,0),MATCH('data '!T$3,#REF!,0)))</f>
        <v>#REF!</v>
      </c>
      <c r="V865" s="25" t="s">
        <v>74</v>
      </c>
      <c r="W865" s="25">
        <v>0</v>
      </c>
      <c r="AC865" s="8" t="e">
        <f>VLOOKUP(B865,#REF!,19,0)</f>
        <v>#REF!</v>
      </c>
      <c r="AP865" s="8" t="str">
        <f t="shared" si="34"/>
        <v>Not yet endorsed</v>
      </c>
      <c r="AQ865" s="10" t="b" cm="1">
        <f t="array" aca="1" ref="AQ865" ca="1">IF(AM865&gt;0,(TODAY()-AM865),IF(AL865&gt;0,(TODAY()-AL865),IF(AK865&gt;0,(TODAY()-AK865,IF(AI865&gt;0,(TODAY()-AI865),IF(AG865&gt;0,(TODAY()-AG865),IF(AF865&gt;0,(TODAY()-AF865),IF(X865&gt;0,(TODAY()-X865)," "))))))))</f>
        <v>0</v>
      </c>
      <c r="BD865" s="2" t="str">
        <f t="shared" si="35"/>
        <v>Not yet endorsed</v>
      </c>
      <c r="BE865" s="2" t="s">
        <v>75</v>
      </c>
      <c r="BG865" s="2" t="e">
        <v>#N/A</v>
      </c>
    </row>
    <row r="866" spans="2:59" hidden="1" x14ac:dyDescent="0.25">
      <c r="B866" s="2" t="s">
        <v>3746</v>
      </c>
      <c r="C866" s="2" t="s">
        <v>3747</v>
      </c>
      <c r="D866" s="44" t="s">
        <v>3748</v>
      </c>
      <c r="E866" s="2" t="s">
        <v>11</v>
      </c>
      <c r="F866" s="2" t="s">
        <v>869</v>
      </c>
      <c r="G866" s="2" t="s">
        <v>1</v>
      </c>
      <c r="H866" s="2" t="s">
        <v>165</v>
      </c>
      <c r="I866" s="2" t="s">
        <v>68</v>
      </c>
      <c r="J866" s="2" t="s">
        <v>181</v>
      </c>
      <c r="K866" s="2" t="s">
        <v>870</v>
      </c>
      <c r="L866" s="2" t="s">
        <v>2858</v>
      </c>
      <c r="M866" s="2">
        <v>0</v>
      </c>
      <c r="N866" s="2">
        <v>0</v>
      </c>
      <c r="O866" s="2">
        <v>0</v>
      </c>
      <c r="P866" s="2" t="s">
        <v>72</v>
      </c>
      <c r="Q866" s="2" t="s">
        <v>73</v>
      </c>
      <c r="R866" s="29" t="e">
        <f>IF(INDEX(#REF!,MATCH('data '!$B866,#REF!,0),MATCH('data '!R$3,#REF!,0))=0,"",INDEX(#REF!,MATCH('data '!$B866,#REF!,0),MATCH('data '!R$3,#REF!,0)))</f>
        <v>#REF!</v>
      </c>
      <c r="S866" s="29" t="e">
        <f>IF(INDEX(#REF!,MATCH('data '!$B866,#REF!,0),MATCH('data '!S$3,#REF!,0))=0,"",INDEX(#REF!,MATCH('data '!$B866,#REF!,0),MATCH('data '!S$3,#REF!,0)))</f>
        <v>#REF!</v>
      </c>
      <c r="T866" s="29" t="e">
        <f>IF(INDEX(#REF!,MATCH('data '!$B866,#REF!,0),MATCH('data '!T$3,#REF!,0))=0,"",INDEX(#REF!,MATCH('data '!$B866,#REF!,0),MATCH('data '!T$3,#REF!,0)))</f>
        <v>#REF!</v>
      </c>
      <c r="V866" s="25" t="s">
        <v>74</v>
      </c>
      <c r="W866" s="25">
        <v>0</v>
      </c>
      <c r="AC866" s="8" t="e">
        <f>VLOOKUP(B866,#REF!,19,0)</f>
        <v>#REF!</v>
      </c>
      <c r="AP866" s="8" t="str">
        <f t="shared" si="34"/>
        <v>Not yet endorsed</v>
      </c>
      <c r="AQ866" s="10" t="b" cm="1">
        <f t="array" aca="1" ref="AQ866" ca="1">IF(AM866&gt;0,(TODAY()-AM866),IF(AL866&gt;0,(TODAY()-AL866),IF(AK866&gt;0,(TODAY()-AK866,IF(AI866&gt;0,(TODAY()-AI866),IF(AG866&gt;0,(TODAY()-AG866),IF(AF866&gt;0,(TODAY()-AF866),IF(X866&gt;0,(TODAY()-X866)," "))))))))</f>
        <v>0</v>
      </c>
      <c r="BD866" s="2" t="str">
        <f t="shared" si="35"/>
        <v>Not yet endorsed</v>
      </c>
      <c r="BE866" s="2" t="s">
        <v>75</v>
      </c>
      <c r="BG866" s="2" t="e">
        <v>#N/A</v>
      </c>
    </row>
    <row r="867" spans="2:59" hidden="1" x14ac:dyDescent="0.25">
      <c r="B867" s="2" t="s">
        <v>3749</v>
      </c>
      <c r="C867" s="2" t="s">
        <v>3750</v>
      </c>
      <c r="D867" s="44" t="s">
        <v>3751</v>
      </c>
      <c r="E867" s="2" t="s">
        <v>11</v>
      </c>
      <c r="F867" s="2" t="s">
        <v>172</v>
      </c>
      <c r="G867" s="2" t="s">
        <v>1</v>
      </c>
      <c r="H867" s="2" t="s">
        <v>165</v>
      </c>
      <c r="I867" s="2" t="s">
        <v>68</v>
      </c>
      <c r="J867" s="2" t="s">
        <v>173</v>
      </c>
      <c r="K867" s="2" t="s">
        <v>174</v>
      </c>
      <c r="L867" s="2" t="s">
        <v>175</v>
      </c>
      <c r="M867" s="2">
        <v>0</v>
      </c>
      <c r="N867" s="2">
        <v>0</v>
      </c>
      <c r="O867" s="2">
        <v>0</v>
      </c>
      <c r="P867" s="2" t="s">
        <v>72</v>
      </c>
      <c r="Q867" s="2" t="s">
        <v>73</v>
      </c>
      <c r="R867" s="29" t="e">
        <f>IF(INDEX(#REF!,MATCH('data '!$B867,#REF!,0),MATCH('data '!R$3,#REF!,0))=0,"",INDEX(#REF!,MATCH('data '!$B867,#REF!,0),MATCH('data '!R$3,#REF!,0)))</f>
        <v>#REF!</v>
      </c>
      <c r="S867" s="29" t="e">
        <f>IF(INDEX(#REF!,MATCH('data '!$B867,#REF!,0),MATCH('data '!S$3,#REF!,0))=0,"",INDEX(#REF!,MATCH('data '!$B867,#REF!,0),MATCH('data '!S$3,#REF!,0)))</f>
        <v>#REF!</v>
      </c>
      <c r="T867" s="29" t="e">
        <f>IF(INDEX(#REF!,MATCH('data '!$B867,#REF!,0),MATCH('data '!T$3,#REF!,0))=0,"",INDEX(#REF!,MATCH('data '!$B867,#REF!,0),MATCH('data '!T$3,#REF!,0)))</f>
        <v>#REF!</v>
      </c>
      <c r="U867" s="8" t="s">
        <v>25</v>
      </c>
      <c r="V867" s="25" t="s">
        <v>74</v>
      </c>
      <c r="W867" s="25">
        <v>0</v>
      </c>
      <c r="AC867" s="8" t="e">
        <f>VLOOKUP(B867,#REF!,19,0)</f>
        <v>#REF!</v>
      </c>
      <c r="AP867" s="8" t="str">
        <f t="shared" si="34"/>
        <v>Not yet endorsed</v>
      </c>
      <c r="AQ867" s="10" t="b" cm="1">
        <f t="array" aca="1" ref="AQ867" ca="1">IF(AM867&gt;0,(TODAY()-AM867),IF(AL867&gt;0,(TODAY()-AL867),IF(AK867&gt;0,(TODAY()-AK867,IF(AI867&gt;0,(TODAY()-AI867),IF(AG867&gt;0,(TODAY()-AG867),IF(AF867&gt;0,(TODAY()-AF867),IF(X867&gt;0,(TODAY()-X867)," "))))))))</f>
        <v>0</v>
      </c>
      <c r="BD867" s="2" t="str">
        <f t="shared" si="35"/>
        <v>TSSR Approved</v>
      </c>
      <c r="BE867" s="2" t="e">
        <v>#VALUE!</v>
      </c>
      <c r="BG867" s="2" t="e">
        <v>#N/A</v>
      </c>
    </row>
    <row r="868" spans="2:59" hidden="1" x14ac:dyDescent="0.25">
      <c r="B868" s="2" t="s">
        <v>3752</v>
      </c>
      <c r="C868" s="2" t="s">
        <v>3753</v>
      </c>
      <c r="D868" s="44" t="s">
        <v>3754</v>
      </c>
      <c r="E868" s="2" t="s">
        <v>4</v>
      </c>
      <c r="F868" s="2" t="s">
        <v>3208</v>
      </c>
      <c r="G868" s="2" t="s">
        <v>1</v>
      </c>
      <c r="H868" s="2" t="s">
        <v>120</v>
      </c>
      <c r="I868" s="2" t="s">
        <v>140</v>
      </c>
      <c r="J868" s="2" t="s">
        <v>122</v>
      </c>
      <c r="K868" s="2" t="s">
        <v>2079</v>
      </c>
      <c r="L868" s="2" t="s">
        <v>3209</v>
      </c>
      <c r="M868" s="2">
        <v>0</v>
      </c>
      <c r="N868" s="2">
        <v>0</v>
      </c>
      <c r="O868" s="2">
        <v>0</v>
      </c>
      <c r="P868" s="2" t="s">
        <v>72</v>
      </c>
      <c r="Q868" s="2" t="s">
        <v>73</v>
      </c>
      <c r="R868" s="29" t="e">
        <f>IF(INDEX(#REF!,MATCH('data '!$B868,#REF!,0),MATCH('data '!R$3,#REF!,0))=0,"",INDEX(#REF!,MATCH('data '!$B868,#REF!,0),MATCH('data '!R$3,#REF!,0)))</f>
        <v>#REF!</v>
      </c>
      <c r="S868" s="29" t="e">
        <f>IF(INDEX(#REF!,MATCH('data '!$B868,#REF!,0),MATCH('data '!S$3,#REF!,0))=0,"",INDEX(#REF!,MATCH('data '!$B868,#REF!,0),MATCH('data '!S$3,#REF!,0)))</f>
        <v>#REF!</v>
      </c>
      <c r="T868" s="29" t="e">
        <f>IF(INDEX(#REF!,MATCH('data '!$B868,#REF!,0),MATCH('data '!T$3,#REF!,0))=0,"",INDEX(#REF!,MATCH('data '!$B868,#REF!,0),MATCH('data '!T$3,#REF!,0)))</f>
        <v>#REF!</v>
      </c>
      <c r="V868" s="25" t="s">
        <v>74</v>
      </c>
      <c r="W868" s="25">
        <v>0</v>
      </c>
      <c r="AC868" s="8" t="e">
        <f>VLOOKUP(B868,#REF!,19,0)</f>
        <v>#REF!</v>
      </c>
      <c r="AP868" s="8" t="str">
        <f t="shared" si="34"/>
        <v>Not yet endorsed</v>
      </c>
      <c r="AQ868" s="10" t="b" cm="1">
        <f t="array" aca="1" ref="AQ868" ca="1">IF(AM868&gt;0,(TODAY()-AM868),IF(AL868&gt;0,(TODAY()-AL868),IF(AK868&gt;0,(TODAY()-AK868,IF(AI868&gt;0,(TODAY()-AI868),IF(AG868&gt;0,(TODAY()-AG868),IF(AF868&gt;0,(TODAY()-AF868),IF(X868&gt;0,(TODAY()-X868)," "))))))))</f>
        <v>0</v>
      </c>
      <c r="BD868" s="2" t="str">
        <f t="shared" si="35"/>
        <v>Not yet endorsed</v>
      </c>
      <c r="BE868" s="2" t="s">
        <v>75</v>
      </c>
      <c r="BG868" s="2" t="e">
        <v>#N/A</v>
      </c>
    </row>
    <row r="869" spans="2:59" hidden="1" x14ac:dyDescent="0.25">
      <c r="B869" s="2" t="s">
        <v>3755</v>
      </c>
      <c r="C869" s="2" t="s">
        <v>3756</v>
      </c>
      <c r="D869" s="44" t="s">
        <v>3757</v>
      </c>
      <c r="E869" s="2" t="s">
        <v>11</v>
      </c>
      <c r="F869" s="2" t="s">
        <v>591</v>
      </c>
      <c r="G869" s="2" t="s">
        <v>1</v>
      </c>
      <c r="H869" s="2" t="s">
        <v>165</v>
      </c>
      <c r="I869" s="2" t="s">
        <v>68</v>
      </c>
      <c r="J869" s="2" t="s">
        <v>173</v>
      </c>
      <c r="K869" s="2" t="s">
        <v>592</v>
      </c>
      <c r="L869" s="2" t="s">
        <v>593</v>
      </c>
      <c r="M869" s="2">
        <v>0</v>
      </c>
      <c r="N869" s="2">
        <v>0</v>
      </c>
      <c r="O869" s="2">
        <v>0</v>
      </c>
      <c r="P869" s="2" t="s">
        <v>72</v>
      </c>
      <c r="Q869" s="2" t="s">
        <v>73</v>
      </c>
      <c r="R869" s="29" t="e">
        <f>IF(INDEX(#REF!,MATCH('data '!$B869,#REF!,0),MATCH('data '!R$3,#REF!,0))=0,"",INDEX(#REF!,MATCH('data '!$B869,#REF!,0),MATCH('data '!R$3,#REF!,0)))</f>
        <v>#REF!</v>
      </c>
      <c r="S869" s="29" t="e">
        <f>IF(INDEX(#REF!,MATCH('data '!$B869,#REF!,0),MATCH('data '!S$3,#REF!,0))=0,"",INDEX(#REF!,MATCH('data '!$B869,#REF!,0),MATCH('data '!S$3,#REF!,0)))</f>
        <v>#REF!</v>
      </c>
      <c r="T869" s="29" t="e">
        <f>IF(INDEX(#REF!,MATCH('data '!$B869,#REF!,0),MATCH('data '!T$3,#REF!,0))=0,"",INDEX(#REF!,MATCH('data '!$B869,#REF!,0),MATCH('data '!T$3,#REF!,0)))</f>
        <v>#REF!</v>
      </c>
      <c r="V869" s="25" t="s">
        <v>74</v>
      </c>
      <c r="W869" s="25">
        <v>0</v>
      </c>
      <c r="AC869" s="8" t="e">
        <f>VLOOKUP(B869,#REF!,19,0)</f>
        <v>#REF!</v>
      </c>
      <c r="AP869" s="8" t="str">
        <f t="shared" si="34"/>
        <v>Not yet endorsed</v>
      </c>
      <c r="AQ869" s="10" t="b" cm="1">
        <f t="array" aca="1" ref="AQ869" ca="1">IF(AM869&gt;0,(TODAY()-AM869),IF(AL869&gt;0,(TODAY()-AL869),IF(AK869&gt;0,(TODAY()-AK869,IF(AI869&gt;0,(TODAY()-AI869),IF(AG869&gt;0,(TODAY()-AG869),IF(AF869&gt;0,(TODAY()-AF869),IF(X869&gt;0,(TODAY()-X869)," "))))))))</f>
        <v>0</v>
      </c>
      <c r="BD869" s="2" t="str">
        <f t="shared" si="35"/>
        <v>Not yet endorsed</v>
      </c>
      <c r="BE869" s="2" t="s">
        <v>75</v>
      </c>
      <c r="BG869" s="2" t="e">
        <v>#N/A</v>
      </c>
    </row>
    <row r="870" spans="2:59" hidden="1" x14ac:dyDescent="0.25">
      <c r="B870" s="2" t="s">
        <v>3758</v>
      </c>
      <c r="C870" s="2" t="s">
        <v>3759</v>
      </c>
      <c r="D870" s="44" t="s">
        <v>3760</v>
      </c>
      <c r="E870" s="2" t="s">
        <v>11</v>
      </c>
      <c r="F870" s="2" t="s">
        <v>180</v>
      </c>
      <c r="G870" s="2" t="s">
        <v>1</v>
      </c>
      <c r="H870" s="2" t="s">
        <v>165</v>
      </c>
      <c r="I870" s="2" t="s">
        <v>68</v>
      </c>
      <c r="J870" s="2" t="s">
        <v>181</v>
      </c>
      <c r="K870" s="2" t="s">
        <v>182</v>
      </c>
      <c r="L870" s="2" t="s">
        <v>183</v>
      </c>
      <c r="M870" s="2">
        <v>0</v>
      </c>
      <c r="N870" s="2">
        <v>0</v>
      </c>
      <c r="O870" s="2">
        <v>0</v>
      </c>
      <c r="P870" s="2" t="s">
        <v>72</v>
      </c>
      <c r="Q870" s="2" t="s">
        <v>73</v>
      </c>
      <c r="R870" s="29" t="e">
        <f>IF(INDEX(#REF!,MATCH('data '!$B870,#REF!,0),MATCH('data '!R$3,#REF!,0))=0,"",INDEX(#REF!,MATCH('data '!$B870,#REF!,0),MATCH('data '!R$3,#REF!,0)))</f>
        <v>#REF!</v>
      </c>
      <c r="S870" s="29" t="e">
        <f>IF(INDEX(#REF!,MATCH('data '!$B870,#REF!,0),MATCH('data '!S$3,#REF!,0))=0,"",INDEX(#REF!,MATCH('data '!$B870,#REF!,0),MATCH('data '!S$3,#REF!,0)))</f>
        <v>#REF!</v>
      </c>
      <c r="T870" s="29" t="e">
        <f>IF(INDEX(#REF!,MATCH('data '!$B870,#REF!,0),MATCH('data '!T$3,#REF!,0))=0,"",INDEX(#REF!,MATCH('data '!$B870,#REF!,0),MATCH('data '!T$3,#REF!,0)))</f>
        <v>#REF!</v>
      </c>
      <c r="V870" s="25" t="s">
        <v>74</v>
      </c>
      <c r="W870" s="25">
        <v>0</v>
      </c>
      <c r="AC870" s="8" t="e">
        <f>VLOOKUP(B870,#REF!,19,0)</f>
        <v>#REF!</v>
      </c>
      <c r="AP870" s="8" t="str">
        <f t="shared" si="34"/>
        <v>Not yet endorsed</v>
      </c>
      <c r="AQ870" s="10" t="b" cm="1">
        <f t="array" aca="1" ref="AQ870" ca="1">IF(AM870&gt;0,(TODAY()-AM870),IF(AL870&gt;0,(TODAY()-AL870),IF(AK870&gt;0,(TODAY()-AK870,IF(AI870&gt;0,(TODAY()-AI870),IF(AG870&gt;0,(TODAY()-AG870),IF(AF870&gt;0,(TODAY()-AF870),IF(X870&gt;0,(TODAY()-X870)," "))))))))</f>
        <v>0</v>
      </c>
      <c r="BD870" s="2" t="str">
        <f t="shared" si="35"/>
        <v>Not yet endorsed</v>
      </c>
      <c r="BE870" s="2" t="s">
        <v>75</v>
      </c>
      <c r="BG870" s="2" t="e">
        <v>#N/A</v>
      </c>
    </row>
    <row r="871" spans="2:59" hidden="1" x14ac:dyDescent="0.25">
      <c r="B871" s="2" t="s">
        <v>3761</v>
      </c>
      <c r="C871" s="2" t="s">
        <v>3762</v>
      </c>
      <c r="D871" s="44" t="s">
        <v>3763</v>
      </c>
      <c r="E871" s="2" t="s">
        <v>11</v>
      </c>
      <c r="F871" s="2" t="s">
        <v>180</v>
      </c>
      <c r="G871" s="2" t="s">
        <v>1</v>
      </c>
      <c r="H871" s="2" t="s">
        <v>165</v>
      </c>
      <c r="I871" s="2" t="s">
        <v>68</v>
      </c>
      <c r="J871" s="2" t="s">
        <v>181</v>
      </c>
      <c r="K871" s="2" t="s">
        <v>182</v>
      </c>
      <c r="L871" s="2" t="s">
        <v>183</v>
      </c>
      <c r="M871" s="2">
        <v>0</v>
      </c>
      <c r="N871" s="2">
        <v>0</v>
      </c>
      <c r="O871" s="2">
        <v>0</v>
      </c>
      <c r="P871" s="2" t="s">
        <v>72</v>
      </c>
      <c r="Q871" s="2" t="s">
        <v>73</v>
      </c>
      <c r="R871" s="29" t="e">
        <f>IF(INDEX(#REF!,MATCH('data '!$B871,#REF!,0),MATCH('data '!R$3,#REF!,0))=0,"",INDEX(#REF!,MATCH('data '!$B871,#REF!,0),MATCH('data '!R$3,#REF!,0)))</f>
        <v>#REF!</v>
      </c>
      <c r="S871" s="29" t="e">
        <f>IF(INDEX(#REF!,MATCH('data '!$B871,#REF!,0),MATCH('data '!S$3,#REF!,0))=0,"",INDEX(#REF!,MATCH('data '!$B871,#REF!,0),MATCH('data '!S$3,#REF!,0)))</f>
        <v>#REF!</v>
      </c>
      <c r="T871" s="29" t="e">
        <f>IF(INDEX(#REF!,MATCH('data '!$B871,#REF!,0),MATCH('data '!T$3,#REF!,0))=0,"",INDEX(#REF!,MATCH('data '!$B871,#REF!,0),MATCH('data '!T$3,#REF!,0)))</f>
        <v>#REF!</v>
      </c>
      <c r="V871" s="25" t="s">
        <v>74</v>
      </c>
      <c r="W871" s="25">
        <v>0</v>
      </c>
      <c r="AC871" s="8" t="e">
        <f>VLOOKUP(B871,#REF!,19,0)</f>
        <v>#REF!</v>
      </c>
      <c r="AP871" s="8" t="str">
        <f t="shared" si="34"/>
        <v>Not yet endorsed</v>
      </c>
      <c r="AQ871" s="10" t="b" cm="1">
        <f t="array" aca="1" ref="AQ871" ca="1">IF(AM871&gt;0,(TODAY()-AM871),IF(AL871&gt;0,(TODAY()-AL871),IF(AK871&gt;0,(TODAY()-AK871,IF(AI871&gt;0,(TODAY()-AI871),IF(AG871&gt;0,(TODAY()-AG871),IF(AF871&gt;0,(TODAY()-AF871),IF(X871&gt;0,(TODAY()-X871)," "))))))))</f>
        <v>0</v>
      </c>
      <c r="BD871" s="2" t="str">
        <f t="shared" si="35"/>
        <v>Not yet endorsed</v>
      </c>
      <c r="BE871" s="2" t="s">
        <v>75</v>
      </c>
      <c r="BG871" s="2" t="e">
        <v>#N/A</v>
      </c>
    </row>
    <row r="872" spans="2:59" hidden="1" x14ac:dyDescent="0.25">
      <c r="B872" s="2" t="s">
        <v>3764</v>
      </c>
      <c r="C872" s="2" t="s">
        <v>3765</v>
      </c>
      <c r="D872" s="44" t="s">
        <v>3766</v>
      </c>
      <c r="E872" s="2" t="s">
        <v>11</v>
      </c>
      <c r="F872" s="2" t="s">
        <v>591</v>
      </c>
      <c r="G872" s="2" t="s">
        <v>1</v>
      </c>
      <c r="H872" s="2" t="s">
        <v>165</v>
      </c>
      <c r="I872" s="2" t="s">
        <v>68</v>
      </c>
      <c r="J872" s="2" t="s">
        <v>173</v>
      </c>
      <c r="K872" s="2" t="s">
        <v>592</v>
      </c>
      <c r="L872" s="2" t="s">
        <v>593</v>
      </c>
      <c r="M872" s="2">
        <v>0</v>
      </c>
      <c r="N872" s="2">
        <v>0</v>
      </c>
      <c r="O872" s="2">
        <v>0</v>
      </c>
      <c r="P872" s="2" t="s">
        <v>72</v>
      </c>
      <c r="Q872" s="2" t="s">
        <v>73</v>
      </c>
      <c r="R872" s="29" t="e">
        <f>IF(INDEX(#REF!,MATCH('data '!$B872,#REF!,0),MATCH('data '!R$3,#REF!,0))=0,"",INDEX(#REF!,MATCH('data '!$B872,#REF!,0),MATCH('data '!R$3,#REF!,0)))</f>
        <v>#REF!</v>
      </c>
      <c r="S872" s="29" t="e">
        <f>IF(INDEX(#REF!,MATCH('data '!$B872,#REF!,0),MATCH('data '!S$3,#REF!,0))=0,"",INDEX(#REF!,MATCH('data '!$B872,#REF!,0),MATCH('data '!S$3,#REF!,0)))</f>
        <v>#REF!</v>
      </c>
      <c r="T872" s="29" t="e">
        <f>IF(INDEX(#REF!,MATCH('data '!$B872,#REF!,0),MATCH('data '!T$3,#REF!,0))=0,"",INDEX(#REF!,MATCH('data '!$B872,#REF!,0),MATCH('data '!T$3,#REF!,0)))</f>
        <v>#REF!</v>
      </c>
      <c r="V872" s="25" t="s">
        <v>74</v>
      </c>
      <c r="W872" s="25">
        <v>0</v>
      </c>
      <c r="AC872" s="8" t="e">
        <f>VLOOKUP(B872,#REF!,19,0)</f>
        <v>#REF!</v>
      </c>
      <c r="AP872" s="8" t="str">
        <f t="shared" si="34"/>
        <v>Not yet endorsed</v>
      </c>
      <c r="AQ872" s="10" t="b" cm="1">
        <f t="array" aca="1" ref="AQ872" ca="1">IF(AM872&gt;0,(TODAY()-AM872),IF(AL872&gt;0,(TODAY()-AL872),IF(AK872&gt;0,(TODAY()-AK872,IF(AI872&gt;0,(TODAY()-AI872),IF(AG872&gt;0,(TODAY()-AG872),IF(AF872&gt;0,(TODAY()-AF872),IF(X872&gt;0,(TODAY()-X872)," "))))))))</f>
        <v>0</v>
      </c>
      <c r="BD872" s="2" t="str">
        <f t="shared" si="35"/>
        <v>Not yet endorsed</v>
      </c>
      <c r="BE872" s="2" t="s">
        <v>75</v>
      </c>
      <c r="BG872" s="2" t="e">
        <v>#N/A</v>
      </c>
    </row>
    <row r="873" spans="2:59" hidden="1" x14ac:dyDescent="0.25">
      <c r="B873" s="2" t="s">
        <v>3767</v>
      </c>
      <c r="C873" s="2" t="s">
        <v>3768</v>
      </c>
      <c r="D873" s="44" t="s">
        <v>3769</v>
      </c>
      <c r="E873" s="2" t="s">
        <v>11</v>
      </c>
      <c r="F873" s="2" t="s">
        <v>2979</v>
      </c>
      <c r="G873" s="2" t="s">
        <v>1</v>
      </c>
      <c r="H873" s="2" t="s">
        <v>165</v>
      </c>
      <c r="I873" s="2" t="s">
        <v>68</v>
      </c>
      <c r="J873" s="2" t="s">
        <v>239</v>
      </c>
      <c r="K873" s="2" t="s">
        <v>240</v>
      </c>
      <c r="L873" s="2" t="s">
        <v>3006</v>
      </c>
      <c r="M873" s="2">
        <v>0</v>
      </c>
      <c r="N873" s="2">
        <v>0</v>
      </c>
      <c r="O873" s="2">
        <v>0</v>
      </c>
      <c r="P873" s="2" t="s">
        <v>72</v>
      </c>
      <c r="Q873" s="2" t="s">
        <v>73</v>
      </c>
      <c r="R873" s="29" t="e">
        <f>IF(INDEX(#REF!,MATCH('data '!$B873,#REF!,0),MATCH('data '!R$3,#REF!,0))=0,"",INDEX(#REF!,MATCH('data '!$B873,#REF!,0),MATCH('data '!R$3,#REF!,0)))</f>
        <v>#REF!</v>
      </c>
      <c r="S873" s="29" t="e">
        <f>IF(INDEX(#REF!,MATCH('data '!$B873,#REF!,0),MATCH('data '!S$3,#REF!,0))=0,"",INDEX(#REF!,MATCH('data '!$B873,#REF!,0),MATCH('data '!S$3,#REF!,0)))</f>
        <v>#REF!</v>
      </c>
      <c r="T873" s="29" t="e">
        <f>IF(INDEX(#REF!,MATCH('data '!$B873,#REF!,0),MATCH('data '!T$3,#REF!,0))=0,"",INDEX(#REF!,MATCH('data '!$B873,#REF!,0),MATCH('data '!T$3,#REF!,0)))</f>
        <v>#REF!</v>
      </c>
      <c r="V873" s="25" t="s">
        <v>74</v>
      </c>
      <c r="W873" s="25">
        <v>0</v>
      </c>
      <c r="AC873" s="8" t="e">
        <f>VLOOKUP(B873,#REF!,19,0)</f>
        <v>#REF!</v>
      </c>
      <c r="AP873" s="8" t="str">
        <f t="shared" si="34"/>
        <v>Not yet endorsed</v>
      </c>
      <c r="AQ873" s="10" t="b" cm="1">
        <f t="array" aca="1" ref="AQ873" ca="1">IF(AM873&gt;0,(TODAY()-AM873),IF(AL873&gt;0,(TODAY()-AL873),IF(AK873&gt;0,(TODAY()-AK873,IF(AI873&gt;0,(TODAY()-AI873),IF(AG873&gt;0,(TODAY()-AG873),IF(AF873&gt;0,(TODAY()-AF873),IF(X873&gt;0,(TODAY()-X873)," "))))))))</f>
        <v>0</v>
      </c>
      <c r="BD873" s="2" t="str">
        <f t="shared" si="35"/>
        <v>Not yet endorsed</v>
      </c>
      <c r="BE873" s="2" t="s">
        <v>75</v>
      </c>
      <c r="BG873" s="2" t="e">
        <v>#N/A</v>
      </c>
    </row>
    <row r="874" spans="2:59" hidden="1" x14ac:dyDescent="0.25">
      <c r="B874" s="2" t="s">
        <v>3770</v>
      </c>
      <c r="C874" s="2" t="s">
        <v>3771</v>
      </c>
      <c r="D874" s="44" t="s">
        <v>3772</v>
      </c>
      <c r="E874" s="2" t="s">
        <v>6</v>
      </c>
      <c r="F874" s="2" t="s">
        <v>3702</v>
      </c>
      <c r="G874" s="2" t="s">
        <v>1</v>
      </c>
      <c r="H874" s="2" t="s">
        <v>111</v>
      </c>
      <c r="I874" s="2" t="s">
        <v>112</v>
      </c>
      <c r="J874" s="2" t="s">
        <v>130</v>
      </c>
      <c r="K874" s="2" t="s">
        <v>189</v>
      </c>
      <c r="L874" s="2" t="s">
        <v>3703</v>
      </c>
      <c r="M874" s="2">
        <v>0</v>
      </c>
      <c r="N874" s="2">
        <v>0</v>
      </c>
      <c r="O874" s="2">
        <v>0</v>
      </c>
      <c r="P874" s="2" t="s">
        <v>72</v>
      </c>
      <c r="Q874" s="2" t="s">
        <v>73</v>
      </c>
      <c r="R874" s="29" t="e">
        <f>IF(INDEX(#REF!,MATCH('data '!$B874,#REF!,0),MATCH('data '!R$3,#REF!,0))=0,"",INDEX(#REF!,MATCH('data '!$B874,#REF!,0),MATCH('data '!R$3,#REF!,0)))</f>
        <v>#REF!</v>
      </c>
      <c r="S874" s="29" t="e">
        <f>IF(INDEX(#REF!,MATCH('data '!$B874,#REF!,0),MATCH('data '!S$3,#REF!,0))=0,"",INDEX(#REF!,MATCH('data '!$B874,#REF!,0),MATCH('data '!S$3,#REF!,0)))</f>
        <v>#REF!</v>
      </c>
      <c r="T874" s="29" t="e">
        <f>IF(INDEX(#REF!,MATCH('data '!$B874,#REF!,0),MATCH('data '!T$3,#REF!,0))=0,"",INDEX(#REF!,MATCH('data '!$B874,#REF!,0),MATCH('data '!T$3,#REF!,0)))</f>
        <v>#REF!</v>
      </c>
      <c r="V874" s="25" t="s">
        <v>74</v>
      </c>
      <c r="W874" s="25">
        <v>0</v>
      </c>
      <c r="AC874" s="8" t="e">
        <f>VLOOKUP(B874,#REF!,19,0)</f>
        <v>#REF!</v>
      </c>
      <c r="AP874" s="8" t="str">
        <f t="shared" si="34"/>
        <v>Not yet endorsed</v>
      </c>
      <c r="AQ874" s="10" t="b" cm="1">
        <f t="array" aca="1" ref="AQ874" ca="1">IF(AM874&gt;0,(TODAY()-AM874),IF(AL874&gt;0,(TODAY()-AL874),IF(AK874&gt;0,(TODAY()-AK874,IF(AI874&gt;0,(TODAY()-AI874),IF(AG874&gt;0,(TODAY()-AG874),IF(AF874&gt;0,(TODAY()-AF874),IF(X874&gt;0,(TODAY()-X874)," "))))))))</f>
        <v>0</v>
      </c>
      <c r="BD874" s="2" t="str">
        <f t="shared" si="35"/>
        <v>Not yet endorsed</v>
      </c>
      <c r="BE874" s="2" t="s">
        <v>75</v>
      </c>
      <c r="BG874" s="2" t="e">
        <v>#N/A</v>
      </c>
    </row>
    <row r="875" spans="2:59" hidden="1" x14ac:dyDescent="0.25">
      <c r="B875" s="2" t="s">
        <v>3773</v>
      </c>
      <c r="C875" s="2" t="s">
        <v>3774</v>
      </c>
      <c r="D875" s="44" t="s">
        <v>3775</v>
      </c>
      <c r="E875" s="2" t="s">
        <v>4</v>
      </c>
      <c r="F875" s="2" t="s">
        <v>575</v>
      </c>
      <c r="G875" s="2" t="s">
        <v>1</v>
      </c>
      <c r="H875" s="2" t="s">
        <v>120</v>
      </c>
      <c r="I875" s="2" t="s">
        <v>140</v>
      </c>
      <c r="J875" s="2" t="s">
        <v>122</v>
      </c>
      <c r="K875" s="2" t="s">
        <v>123</v>
      </c>
      <c r="L875" s="2" t="s">
        <v>3381</v>
      </c>
      <c r="M875" s="2">
        <v>0</v>
      </c>
      <c r="N875" s="2">
        <v>0</v>
      </c>
      <c r="O875" s="2">
        <v>0</v>
      </c>
      <c r="P875" s="2" t="s">
        <v>3776</v>
      </c>
      <c r="Q875" s="2" t="s">
        <v>73</v>
      </c>
      <c r="R875" s="29" t="e">
        <f>IF(INDEX(#REF!,MATCH('data '!$B875,#REF!,0),MATCH('data '!R$3,#REF!,0))=0,"",INDEX(#REF!,MATCH('data '!$B875,#REF!,0),MATCH('data '!R$3,#REF!,0)))</f>
        <v>#REF!</v>
      </c>
      <c r="S875" s="29" t="e">
        <f>IF(INDEX(#REF!,MATCH('data '!$B875,#REF!,0),MATCH('data '!S$3,#REF!,0))=0,"",INDEX(#REF!,MATCH('data '!$B875,#REF!,0),MATCH('data '!S$3,#REF!,0)))</f>
        <v>#REF!</v>
      </c>
      <c r="T875" s="29" t="e">
        <f>IF(INDEX(#REF!,MATCH('data '!$B875,#REF!,0),MATCH('data '!T$3,#REF!,0))=0,"",INDEX(#REF!,MATCH('data '!$B875,#REF!,0),MATCH('data '!T$3,#REF!,0)))</f>
        <v>#REF!</v>
      </c>
      <c r="V875" s="25" t="s">
        <v>3504</v>
      </c>
      <c r="W875" s="25">
        <v>0</v>
      </c>
      <c r="AC875" s="8" t="e">
        <f>VLOOKUP(B875,#REF!,19,0)</f>
        <v>#REF!</v>
      </c>
      <c r="AP875" s="8" t="str">
        <f t="shared" si="34"/>
        <v>Not yet endorsed</v>
      </c>
      <c r="AQ875" s="10" t="b" cm="1">
        <f t="array" aca="1" ref="AQ875" ca="1">IF(AM875&gt;0,(TODAY()-AM875),IF(AL875&gt;0,(TODAY()-AL875),IF(AK875&gt;0,(TODAY()-AK875,IF(AI875&gt;0,(TODAY()-AI875),IF(AG875&gt;0,(TODAY()-AG875),IF(AF875&gt;0,(TODAY()-AF875),IF(X875&gt;0,(TODAY()-X875)," "))))))))</f>
        <v>0</v>
      </c>
      <c r="BD875" s="2" t="str">
        <f t="shared" si="35"/>
        <v>Not yet endorsed</v>
      </c>
      <c r="BE875" s="2" t="s">
        <v>75</v>
      </c>
      <c r="BG875" s="2" t="e">
        <v>#N/A</v>
      </c>
    </row>
    <row r="876" spans="2:59" hidden="1" x14ac:dyDescent="0.25">
      <c r="B876" s="2" t="s">
        <v>3777</v>
      </c>
      <c r="C876" s="2" t="s">
        <v>3778</v>
      </c>
      <c r="D876" s="44" t="s">
        <v>3779</v>
      </c>
      <c r="E876" s="2" t="s">
        <v>6</v>
      </c>
      <c r="F876" s="2" t="s">
        <v>962</v>
      </c>
      <c r="G876" s="2" t="s">
        <v>1</v>
      </c>
      <c r="H876" s="2" t="s">
        <v>111</v>
      </c>
      <c r="I876" s="2" t="s">
        <v>112</v>
      </c>
      <c r="J876" s="2" t="s">
        <v>344</v>
      </c>
      <c r="K876" s="2" t="s">
        <v>963</v>
      </c>
      <c r="L876" s="2" t="s">
        <v>964</v>
      </c>
      <c r="M876" s="2">
        <v>0</v>
      </c>
      <c r="N876" s="2">
        <v>0</v>
      </c>
      <c r="O876" s="2">
        <v>0</v>
      </c>
      <c r="P876" s="2" t="s">
        <v>3776</v>
      </c>
      <c r="Q876" s="2" t="s">
        <v>73</v>
      </c>
      <c r="R876" s="29" t="e">
        <f>IF(INDEX(#REF!,MATCH('data '!$B876,#REF!,0),MATCH('data '!R$3,#REF!,0))=0,"",INDEX(#REF!,MATCH('data '!$B876,#REF!,0),MATCH('data '!R$3,#REF!,0)))</f>
        <v>#REF!</v>
      </c>
      <c r="S876" s="29" t="e">
        <f>IF(INDEX(#REF!,MATCH('data '!$B876,#REF!,0),MATCH('data '!S$3,#REF!,0))=0,"",INDEX(#REF!,MATCH('data '!$B876,#REF!,0),MATCH('data '!S$3,#REF!,0)))</f>
        <v>#REF!</v>
      </c>
      <c r="T876" s="29" t="e">
        <f>IF(INDEX(#REF!,MATCH('data '!$B876,#REF!,0),MATCH('data '!T$3,#REF!,0))=0,"",INDEX(#REF!,MATCH('data '!$B876,#REF!,0),MATCH('data '!T$3,#REF!,0)))</f>
        <v>#REF!</v>
      </c>
      <c r="V876" s="25" t="s">
        <v>3504</v>
      </c>
      <c r="W876" s="25">
        <v>0</v>
      </c>
      <c r="AC876" s="8" t="e">
        <f>VLOOKUP(B876,#REF!,19,0)</f>
        <v>#REF!</v>
      </c>
      <c r="AP876" s="8" t="str">
        <f t="shared" si="34"/>
        <v>Not yet endorsed</v>
      </c>
      <c r="AQ876" s="10" t="b" cm="1">
        <f t="array" aca="1" ref="AQ876" ca="1">IF(AM876&gt;0,(TODAY()-AM876),IF(AL876&gt;0,(TODAY()-AL876),IF(AK876&gt;0,(TODAY()-AK876,IF(AI876&gt;0,(TODAY()-AI876),IF(AG876&gt;0,(TODAY()-AG876),IF(AF876&gt;0,(TODAY()-AF876),IF(X876&gt;0,(TODAY()-X876)," "))))))))</f>
        <v>0</v>
      </c>
      <c r="BD876" s="2" t="str">
        <f t="shared" si="35"/>
        <v>Not yet endorsed</v>
      </c>
      <c r="BE876" s="2" t="s">
        <v>75</v>
      </c>
      <c r="BG876" s="2" t="e">
        <v>#N/A</v>
      </c>
    </row>
    <row r="877" spans="2:59" hidden="1" x14ac:dyDescent="0.25">
      <c r="B877" s="2" t="s">
        <v>3780</v>
      </c>
      <c r="C877" s="2" t="s">
        <v>3781</v>
      </c>
      <c r="D877" s="44" t="s">
        <v>3782</v>
      </c>
      <c r="E877" s="2" t="s">
        <v>6</v>
      </c>
      <c r="F877" s="2" t="s">
        <v>110</v>
      </c>
      <c r="G877" s="2" t="s">
        <v>1</v>
      </c>
      <c r="H877" s="2" t="s">
        <v>111</v>
      </c>
      <c r="I877" s="2" t="s">
        <v>112</v>
      </c>
      <c r="J877" s="2" t="s">
        <v>113</v>
      </c>
      <c r="K877" s="2" t="s">
        <v>114</v>
      </c>
      <c r="L877" s="2" t="s">
        <v>3783</v>
      </c>
      <c r="M877" s="2">
        <v>0</v>
      </c>
      <c r="N877" s="2">
        <v>0</v>
      </c>
      <c r="O877" s="2">
        <v>0</v>
      </c>
      <c r="P877" s="2" t="s">
        <v>3776</v>
      </c>
      <c r="Q877" s="2" t="s">
        <v>73</v>
      </c>
      <c r="R877" s="29" t="e">
        <f>IF(INDEX(#REF!,MATCH('data '!$B877,#REF!,0),MATCH('data '!R$3,#REF!,0))=0,"",INDEX(#REF!,MATCH('data '!$B877,#REF!,0),MATCH('data '!R$3,#REF!,0)))</f>
        <v>#REF!</v>
      </c>
      <c r="S877" s="29" t="e">
        <f>IF(INDEX(#REF!,MATCH('data '!$B877,#REF!,0),MATCH('data '!S$3,#REF!,0))=0,"",INDEX(#REF!,MATCH('data '!$B877,#REF!,0),MATCH('data '!S$3,#REF!,0)))</f>
        <v>#REF!</v>
      </c>
      <c r="T877" s="29" t="e">
        <f>IF(INDEX(#REF!,MATCH('data '!$B877,#REF!,0),MATCH('data '!T$3,#REF!,0))=0,"",INDEX(#REF!,MATCH('data '!$B877,#REF!,0),MATCH('data '!T$3,#REF!,0)))</f>
        <v>#REF!</v>
      </c>
      <c r="V877" s="25" t="s">
        <v>3504</v>
      </c>
      <c r="W877" s="25">
        <v>0</v>
      </c>
      <c r="AC877" s="8" t="e">
        <f>VLOOKUP(B877,#REF!,19,0)</f>
        <v>#REF!</v>
      </c>
      <c r="AP877" s="8" t="str">
        <f t="shared" si="34"/>
        <v>Not yet endorsed</v>
      </c>
      <c r="AQ877" s="10" t="b" cm="1">
        <f t="array" aca="1" ref="AQ877" ca="1">IF(AM877&gt;0,(TODAY()-AM877),IF(AL877&gt;0,(TODAY()-AL877),IF(AK877&gt;0,(TODAY()-AK877,IF(AI877&gt;0,(TODAY()-AI877),IF(AG877&gt;0,(TODAY()-AG877),IF(AF877&gt;0,(TODAY()-AF877),IF(X877&gt;0,(TODAY()-X877)," "))))))))</f>
        <v>0</v>
      </c>
      <c r="BD877" s="2" t="str">
        <f t="shared" si="35"/>
        <v>Not yet endorsed</v>
      </c>
      <c r="BE877" s="2" t="s">
        <v>75</v>
      </c>
      <c r="BG877" s="2" t="e">
        <v>#N/A</v>
      </c>
    </row>
    <row r="878" spans="2:59" hidden="1" x14ac:dyDescent="0.25">
      <c r="B878" s="2" t="s">
        <v>3784</v>
      </c>
      <c r="C878" s="2" t="s">
        <v>3785</v>
      </c>
      <c r="D878" s="44" t="s">
        <v>3786</v>
      </c>
      <c r="E878" s="2" t="s">
        <v>6</v>
      </c>
      <c r="F878" s="2" t="s">
        <v>1014</v>
      </c>
      <c r="G878" s="2" t="s">
        <v>1</v>
      </c>
      <c r="H878" s="2" t="s">
        <v>111</v>
      </c>
      <c r="I878" s="2" t="s">
        <v>112</v>
      </c>
      <c r="J878" s="2" t="s">
        <v>113</v>
      </c>
      <c r="K878" s="2" t="s">
        <v>114</v>
      </c>
      <c r="L878" s="2" t="s">
        <v>1015</v>
      </c>
      <c r="M878" s="2">
        <v>0</v>
      </c>
      <c r="N878" s="2">
        <v>0</v>
      </c>
      <c r="O878" s="2">
        <v>0</v>
      </c>
      <c r="P878" s="2" t="s">
        <v>3776</v>
      </c>
      <c r="Q878" s="2" t="s">
        <v>73</v>
      </c>
      <c r="R878" s="29" t="e">
        <f>IF(INDEX(#REF!,MATCH('data '!$B878,#REF!,0),MATCH('data '!R$3,#REF!,0))=0,"",INDEX(#REF!,MATCH('data '!$B878,#REF!,0),MATCH('data '!R$3,#REF!,0)))</f>
        <v>#REF!</v>
      </c>
      <c r="S878" s="29" t="e">
        <f>IF(INDEX(#REF!,MATCH('data '!$B878,#REF!,0),MATCH('data '!S$3,#REF!,0))=0,"",INDEX(#REF!,MATCH('data '!$B878,#REF!,0),MATCH('data '!S$3,#REF!,0)))</f>
        <v>#REF!</v>
      </c>
      <c r="T878" s="29" t="e">
        <f>IF(INDEX(#REF!,MATCH('data '!$B878,#REF!,0),MATCH('data '!T$3,#REF!,0))=0,"",INDEX(#REF!,MATCH('data '!$B878,#REF!,0),MATCH('data '!T$3,#REF!,0)))</f>
        <v>#REF!</v>
      </c>
      <c r="V878" s="25" t="s">
        <v>3504</v>
      </c>
      <c r="W878" s="25">
        <v>0</v>
      </c>
      <c r="AC878" s="8" t="e">
        <f>VLOOKUP(B878,#REF!,19,0)</f>
        <v>#REF!</v>
      </c>
      <c r="AP878" s="8" t="str">
        <f t="shared" si="34"/>
        <v>Not yet endorsed</v>
      </c>
      <c r="AQ878" s="10" t="b" cm="1">
        <f t="array" aca="1" ref="AQ878" ca="1">IF(AM878&gt;0,(TODAY()-AM878),IF(AL878&gt;0,(TODAY()-AL878),IF(AK878&gt;0,(TODAY()-AK878,IF(AI878&gt;0,(TODAY()-AI878),IF(AG878&gt;0,(TODAY()-AG878),IF(AF878&gt;0,(TODAY()-AF878),IF(X878&gt;0,(TODAY()-X878)," "))))))))</f>
        <v>0</v>
      </c>
      <c r="BD878" s="2" t="str">
        <f t="shared" si="35"/>
        <v>Not yet endorsed</v>
      </c>
      <c r="BE878" s="2" t="s">
        <v>75</v>
      </c>
      <c r="BG878" s="2" t="e">
        <v>#N/A</v>
      </c>
    </row>
    <row r="879" spans="2:59" hidden="1" x14ac:dyDescent="0.25">
      <c r="B879" s="2" t="s">
        <v>3787</v>
      </c>
      <c r="C879" s="2" t="s">
        <v>3788</v>
      </c>
      <c r="D879" s="44" t="s">
        <v>3789</v>
      </c>
      <c r="E879" s="2" t="s">
        <v>6</v>
      </c>
      <c r="F879" s="2" t="s">
        <v>3790</v>
      </c>
      <c r="G879" s="2" t="s">
        <v>1</v>
      </c>
      <c r="H879" s="2" t="s">
        <v>111</v>
      </c>
      <c r="I879" s="2" t="s">
        <v>112</v>
      </c>
      <c r="J879" s="2" t="s">
        <v>113</v>
      </c>
      <c r="K879" s="2" t="s">
        <v>202</v>
      </c>
      <c r="L879" s="2" t="s">
        <v>3791</v>
      </c>
      <c r="M879" s="2">
        <v>0</v>
      </c>
      <c r="N879" s="2">
        <v>0</v>
      </c>
      <c r="O879" s="2">
        <v>0</v>
      </c>
      <c r="P879" s="2" t="s">
        <v>3776</v>
      </c>
      <c r="Q879" s="2" t="s">
        <v>73</v>
      </c>
      <c r="R879" s="29" t="e">
        <f>IF(INDEX(#REF!,MATCH('data '!$B879,#REF!,0),MATCH('data '!R$3,#REF!,0))=0,"",INDEX(#REF!,MATCH('data '!$B879,#REF!,0),MATCH('data '!R$3,#REF!,0)))</f>
        <v>#REF!</v>
      </c>
      <c r="S879" s="29" t="e">
        <f>IF(INDEX(#REF!,MATCH('data '!$B879,#REF!,0),MATCH('data '!S$3,#REF!,0))=0,"",INDEX(#REF!,MATCH('data '!$B879,#REF!,0),MATCH('data '!S$3,#REF!,0)))</f>
        <v>#REF!</v>
      </c>
      <c r="T879" s="29" t="e">
        <f>IF(INDEX(#REF!,MATCH('data '!$B879,#REF!,0),MATCH('data '!T$3,#REF!,0))=0,"",INDEX(#REF!,MATCH('data '!$B879,#REF!,0),MATCH('data '!T$3,#REF!,0)))</f>
        <v>#REF!</v>
      </c>
      <c r="V879" s="25" t="s">
        <v>3504</v>
      </c>
      <c r="W879" s="25">
        <v>0</v>
      </c>
      <c r="AC879" s="8" t="e">
        <f>VLOOKUP(B879,#REF!,19,0)</f>
        <v>#REF!</v>
      </c>
      <c r="AP879" s="8" t="str">
        <f t="shared" si="34"/>
        <v>Not yet endorsed</v>
      </c>
      <c r="AQ879" s="10" t="b" cm="1">
        <f t="array" aca="1" ref="AQ879" ca="1">IF(AM879&gt;0,(TODAY()-AM879),IF(AL879&gt;0,(TODAY()-AL879),IF(AK879&gt;0,(TODAY()-AK879,IF(AI879&gt;0,(TODAY()-AI879),IF(AG879&gt;0,(TODAY()-AG879),IF(AF879&gt;0,(TODAY()-AF879),IF(X879&gt;0,(TODAY()-X879)," "))))))))</f>
        <v>0</v>
      </c>
      <c r="BD879" s="2" t="str">
        <f t="shared" si="35"/>
        <v>Not yet endorsed</v>
      </c>
      <c r="BE879" s="2" t="s">
        <v>75</v>
      </c>
      <c r="BG879" s="2" t="e">
        <v>#N/A</v>
      </c>
    </row>
    <row r="880" spans="2:59" hidden="1" x14ac:dyDescent="0.25">
      <c r="B880" s="2" t="s">
        <v>3792</v>
      </c>
      <c r="C880" s="2" t="s">
        <v>3793</v>
      </c>
      <c r="D880" s="44" t="s">
        <v>3794</v>
      </c>
      <c r="E880" s="2" t="s">
        <v>6</v>
      </c>
      <c r="F880" s="2" t="s">
        <v>3790</v>
      </c>
      <c r="G880" s="2" t="s">
        <v>1</v>
      </c>
      <c r="H880" s="2" t="s">
        <v>111</v>
      </c>
      <c r="I880" s="2" t="s">
        <v>112</v>
      </c>
      <c r="J880" s="2" t="s">
        <v>113</v>
      </c>
      <c r="K880" s="2" t="s">
        <v>202</v>
      </c>
      <c r="L880" s="2" t="s">
        <v>3795</v>
      </c>
      <c r="M880" s="2">
        <v>0</v>
      </c>
      <c r="N880" s="2">
        <v>0</v>
      </c>
      <c r="O880" s="2">
        <v>0</v>
      </c>
      <c r="P880" s="2" t="s">
        <v>3776</v>
      </c>
      <c r="Q880" s="2" t="s">
        <v>73</v>
      </c>
      <c r="R880" s="29" t="e">
        <f>IF(INDEX(#REF!,MATCH('data '!$B880,#REF!,0),MATCH('data '!R$3,#REF!,0))=0,"",INDEX(#REF!,MATCH('data '!$B880,#REF!,0),MATCH('data '!R$3,#REF!,0)))</f>
        <v>#REF!</v>
      </c>
      <c r="S880" s="29" t="e">
        <f>IF(INDEX(#REF!,MATCH('data '!$B880,#REF!,0),MATCH('data '!S$3,#REF!,0))=0,"",INDEX(#REF!,MATCH('data '!$B880,#REF!,0),MATCH('data '!S$3,#REF!,0)))</f>
        <v>#REF!</v>
      </c>
      <c r="T880" s="29" t="e">
        <f>IF(INDEX(#REF!,MATCH('data '!$B880,#REF!,0),MATCH('data '!T$3,#REF!,0))=0,"",INDEX(#REF!,MATCH('data '!$B880,#REF!,0),MATCH('data '!T$3,#REF!,0)))</f>
        <v>#REF!</v>
      </c>
      <c r="V880" s="25" t="s">
        <v>3504</v>
      </c>
      <c r="W880" s="25">
        <v>0</v>
      </c>
      <c r="AC880" s="8" t="e">
        <f>VLOOKUP(B880,#REF!,19,0)</f>
        <v>#REF!</v>
      </c>
      <c r="AP880" s="8" t="str">
        <f t="shared" si="34"/>
        <v>Not yet endorsed</v>
      </c>
      <c r="AQ880" s="10" t="b" cm="1">
        <f t="array" aca="1" ref="AQ880" ca="1">IF(AM880&gt;0,(TODAY()-AM880),IF(AL880&gt;0,(TODAY()-AL880),IF(AK880&gt;0,(TODAY()-AK880,IF(AI880&gt;0,(TODAY()-AI880),IF(AG880&gt;0,(TODAY()-AG880),IF(AF880&gt;0,(TODAY()-AF880),IF(X880&gt;0,(TODAY()-X880)," "))))))))</f>
        <v>0</v>
      </c>
      <c r="BD880" s="2" t="str">
        <f t="shared" si="35"/>
        <v>Not yet endorsed</v>
      </c>
      <c r="BE880" s="2" t="s">
        <v>75</v>
      </c>
      <c r="BG880" s="2" t="e">
        <v>#N/A</v>
      </c>
    </row>
    <row r="881" spans="2:60" hidden="1" x14ac:dyDescent="0.25">
      <c r="B881" s="2" t="s">
        <v>3796</v>
      </c>
      <c r="C881" s="2" t="s">
        <v>3797</v>
      </c>
      <c r="D881" s="44" t="s">
        <v>3798</v>
      </c>
      <c r="E881" s="2" t="s">
        <v>6</v>
      </c>
      <c r="F881" s="2" t="s">
        <v>3799</v>
      </c>
      <c r="G881" s="2" t="s">
        <v>1</v>
      </c>
      <c r="H881" s="2" t="s">
        <v>111</v>
      </c>
      <c r="I881" s="2" t="s">
        <v>112</v>
      </c>
      <c r="J881" s="2" t="s">
        <v>113</v>
      </c>
      <c r="K881" s="2" t="s">
        <v>411</v>
      </c>
      <c r="L881" s="2" t="s">
        <v>3800</v>
      </c>
      <c r="M881" s="2" t="s">
        <v>3798</v>
      </c>
      <c r="N881" s="2">
        <v>0</v>
      </c>
      <c r="O881" s="2">
        <v>0</v>
      </c>
      <c r="P881" s="2" t="s">
        <v>3776</v>
      </c>
      <c r="Q881" s="2" t="e">
        <v>#N/A</v>
      </c>
      <c r="R881" s="29" t="e">
        <f>IF(INDEX(#REF!,MATCH('data '!$B881,#REF!,0),MATCH('data '!R$3,#REF!,0))=0,"",INDEX(#REF!,MATCH('data '!$B881,#REF!,0),MATCH('data '!R$3,#REF!,0)))</f>
        <v>#REF!</v>
      </c>
      <c r="S881" s="29" t="e">
        <f>IF(INDEX(#REF!,MATCH('data '!$B881,#REF!,0),MATCH('data '!S$3,#REF!,0))=0,"",INDEX(#REF!,MATCH('data '!$B881,#REF!,0),MATCH('data '!S$3,#REF!,0)))</f>
        <v>#REF!</v>
      </c>
      <c r="T881" s="29" t="e">
        <f>IF(INDEX(#REF!,MATCH('data '!$B881,#REF!,0),MATCH('data '!T$3,#REF!,0))=0,"",INDEX(#REF!,MATCH('data '!$B881,#REF!,0),MATCH('data '!T$3,#REF!,0)))</f>
        <v>#REF!</v>
      </c>
      <c r="V881" s="25" t="s">
        <v>3504</v>
      </c>
      <c r="W881" s="25">
        <v>0</v>
      </c>
      <c r="AC881" s="8" t="e">
        <f>VLOOKUP(B881,#REF!,19,0)</f>
        <v>#REF!</v>
      </c>
      <c r="AP881" s="8" t="str">
        <f t="shared" si="34"/>
        <v>Not yet endorsed</v>
      </c>
      <c r="AQ881" s="10" t="b" cm="1">
        <f t="array" aca="1" ref="AQ881" ca="1">IF(AM881&gt;0,(TODAY()-AM881),IF(AL881&gt;0,(TODAY()-AL881),IF(AK881&gt;0,(TODAY()-AK881,IF(AI881&gt;0,(TODAY()-AI881),IF(AG881&gt;0,(TODAY()-AG881),IF(AF881&gt;0,(TODAY()-AF881),IF(X881&gt;0,(TODAY()-X881)," "))))))))</f>
        <v>0</v>
      </c>
      <c r="BD881" s="2" t="str">
        <f t="shared" si="35"/>
        <v>Not yet endorsed</v>
      </c>
      <c r="BE881" s="2" t="s">
        <v>75</v>
      </c>
      <c r="BG881" s="2" t="e">
        <v>#N/A</v>
      </c>
    </row>
    <row r="882" spans="2:60" hidden="1" x14ac:dyDescent="0.25">
      <c r="B882" s="2" t="s">
        <v>3801</v>
      </c>
      <c r="C882" s="2" t="s">
        <v>3802</v>
      </c>
      <c r="D882" s="44" t="s">
        <v>3803</v>
      </c>
      <c r="E882" s="2" t="s">
        <v>11</v>
      </c>
      <c r="F882" s="2" t="s">
        <v>892</v>
      </c>
      <c r="G882" s="2" t="s">
        <v>1</v>
      </c>
      <c r="H882" s="2" t="s">
        <v>67</v>
      </c>
      <c r="I882" s="2" t="s">
        <v>68</v>
      </c>
      <c r="J882" s="2" t="s">
        <v>80</v>
      </c>
      <c r="K882" s="2" t="s">
        <v>893</v>
      </c>
      <c r="L882" s="2" t="s">
        <v>3804</v>
      </c>
      <c r="M882" s="2">
        <v>0</v>
      </c>
      <c r="N882" s="2">
        <v>0</v>
      </c>
      <c r="O882" s="2">
        <v>0</v>
      </c>
      <c r="P882" s="2" t="s">
        <v>3776</v>
      </c>
      <c r="Q882" s="2" t="s">
        <v>73</v>
      </c>
      <c r="R882" s="29" t="e">
        <f>IF(INDEX(#REF!,MATCH('data '!$B882,#REF!,0),MATCH('data '!R$3,#REF!,0))=0,"",INDEX(#REF!,MATCH('data '!$B882,#REF!,0),MATCH('data '!R$3,#REF!,0)))</f>
        <v>#REF!</v>
      </c>
      <c r="S882" s="29" t="e">
        <f>IF(INDEX(#REF!,MATCH('data '!$B882,#REF!,0),MATCH('data '!S$3,#REF!,0))=0,"",INDEX(#REF!,MATCH('data '!$B882,#REF!,0),MATCH('data '!S$3,#REF!,0)))</f>
        <v>#REF!</v>
      </c>
      <c r="T882" s="29" t="e">
        <f>IF(INDEX(#REF!,MATCH('data '!$B882,#REF!,0),MATCH('data '!T$3,#REF!,0))=0,"",INDEX(#REF!,MATCH('data '!$B882,#REF!,0),MATCH('data '!T$3,#REF!,0)))</f>
        <v>#REF!</v>
      </c>
      <c r="V882" s="25" t="s">
        <v>3504</v>
      </c>
      <c r="W882" s="25">
        <v>0</v>
      </c>
      <c r="AC882" s="8" t="e">
        <f>VLOOKUP(B882,#REF!,19,0)</f>
        <v>#REF!</v>
      </c>
      <c r="AP882" s="8" t="str">
        <f t="shared" si="34"/>
        <v>Not yet endorsed</v>
      </c>
      <c r="AQ882" s="10" t="b" cm="1">
        <f t="array" aca="1" ref="AQ882" ca="1">IF(AM882&gt;0,(TODAY()-AM882),IF(AL882&gt;0,(TODAY()-AL882),IF(AK882&gt;0,(TODAY()-AK882,IF(AI882&gt;0,(TODAY()-AI882),IF(AG882&gt;0,(TODAY()-AG882),IF(AF882&gt;0,(TODAY()-AF882),IF(X882&gt;0,(TODAY()-X882)," "))))))))</f>
        <v>0</v>
      </c>
      <c r="BD882" s="2" t="str">
        <f t="shared" si="35"/>
        <v>Not yet endorsed</v>
      </c>
      <c r="BE882" s="2" t="s">
        <v>75</v>
      </c>
      <c r="BG882" s="2" t="e">
        <v>#N/A</v>
      </c>
    </row>
    <row r="883" spans="2:60" hidden="1" x14ac:dyDescent="0.25">
      <c r="B883" s="2" t="s">
        <v>3805</v>
      </c>
      <c r="C883" s="2" t="s">
        <v>3806</v>
      </c>
      <c r="D883" s="44" t="s">
        <v>3807</v>
      </c>
      <c r="E883" s="2" t="s">
        <v>4</v>
      </c>
      <c r="F883" s="2" t="s">
        <v>538</v>
      </c>
      <c r="G883" s="2" t="s">
        <v>1</v>
      </c>
      <c r="H883" s="2" t="s">
        <v>139</v>
      </c>
      <c r="I883" s="2" t="s">
        <v>140</v>
      </c>
      <c r="J883" s="2" t="s">
        <v>122</v>
      </c>
      <c r="K883" s="2" t="s">
        <v>359</v>
      </c>
      <c r="L883" s="2" t="s">
        <v>539</v>
      </c>
      <c r="M883" s="2">
        <v>0</v>
      </c>
      <c r="N883" s="2">
        <v>0</v>
      </c>
      <c r="O883" s="2">
        <v>0</v>
      </c>
      <c r="P883" s="2" t="s">
        <v>72</v>
      </c>
      <c r="Q883" s="2" t="s">
        <v>73</v>
      </c>
      <c r="R883" s="29" t="e">
        <f>IF(INDEX(#REF!,MATCH('data '!$B883,#REF!,0),MATCH('data '!R$3,#REF!,0))=0,"",INDEX(#REF!,MATCH('data '!$B883,#REF!,0),MATCH('data '!R$3,#REF!,0)))</f>
        <v>#REF!</v>
      </c>
      <c r="S883" s="29" t="e">
        <f>IF(INDEX(#REF!,MATCH('data '!$B883,#REF!,0),MATCH('data '!S$3,#REF!,0))=0,"",INDEX(#REF!,MATCH('data '!$B883,#REF!,0),MATCH('data '!S$3,#REF!,0)))</f>
        <v>#REF!</v>
      </c>
      <c r="T883" s="29" t="e">
        <f>IF(INDEX(#REF!,MATCH('data '!$B883,#REF!,0),MATCH('data '!T$3,#REF!,0))=0,"",INDEX(#REF!,MATCH('data '!$B883,#REF!,0),MATCH('data '!T$3,#REF!,0)))</f>
        <v>#REF!</v>
      </c>
      <c r="V883" s="25" t="s">
        <v>74</v>
      </c>
      <c r="W883" s="25">
        <v>0</v>
      </c>
      <c r="AC883" s="8" t="e">
        <f>VLOOKUP(B883,#REF!,19,0)</f>
        <v>#REF!</v>
      </c>
      <c r="AP883" s="8" t="str">
        <f t="shared" si="34"/>
        <v>Not yet endorsed</v>
      </c>
      <c r="AQ883" s="10" t="b" cm="1">
        <f t="array" aca="1" ref="AQ883" ca="1">IF(AM883&gt;0,(TODAY()-AM883),IF(AL883&gt;0,(TODAY()-AL883),IF(AK883&gt;0,(TODAY()-AK883,IF(AI883&gt;0,(TODAY()-AI883),IF(AG883&gt;0,(TODAY()-AG883),IF(AF883&gt;0,(TODAY()-AF883),IF(X883&gt;0,(TODAY()-X883)," "))))))))</f>
        <v>0</v>
      </c>
      <c r="BD883" s="2" t="str">
        <f t="shared" si="35"/>
        <v>Not yet endorsed</v>
      </c>
      <c r="BE883" s="2" t="s">
        <v>75</v>
      </c>
      <c r="BG883" s="2" t="e">
        <v>#N/A</v>
      </c>
    </row>
    <row r="884" spans="2:60" hidden="1" x14ac:dyDescent="0.25">
      <c r="B884" s="2" t="s">
        <v>3808</v>
      </c>
      <c r="C884" s="2" t="s">
        <v>3809</v>
      </c>
      <c r="D884" s="44" t="s">
        <v>3810</v>
      </c>
      <c r="E884" s="2" t="s">
        <v>4</v>
      </c>
      <c r="F884" s="2" t="s">
        <v>1118</v>
      </c>
      <c r="G884" s="2" t="s">
        <v>1</v>
      </c>
      <c r="H884" s="2" t="s">
        <v>139</v>
      </c>
      <c r="I884" s="2" t="s">
        <v>140</v>
      </c>
      <c r="J884" s="2" t="s">
        <v>122</v>
      </c>
      <c r="K884" s="2" t="s">
        <v>359</v>
      </c>
      <c r="L884" s="2" t="s">
        <v>3566</v>
      </c>
      <c r="M884" s="2">
        <v>0</v>
      </c>
      <c r="N884" s="2">
        <v>0</v>
      </c>
      <c r="O884" s="2">
        <v>0</v>
      </c>
      <c r="P884" s="2" t="s">
        <v>72</v>
      </c>
      <c r="Q884" s="2" t="s">
        <v>73</v>
      </c>
      <c r="R884" s="29" t="e">
        <f>IF(INDEX(#REF!,MATCH('data '!$B884,#REF!,0),MATCH('data '!R$3,#REF!,0))=0,"",INDEX(#REF!,MATCH('data '!$B884,#REF!,0),MATCH('data '!R$3,#REF!,0)))</f>
        <v>#REF!</v>
      </c>
      <c r="S884" s="29" t="e">
        <f>IF(INDEX(#REF!,MATCH('data '!$B884,#REF!,0),MATCH('data '!S$3,#REF!,0))=0,"",INDEX(#REF!,MATCH('data '!$B884,#REF!,0),MATCH('data '!S$3,#REF!,0)))</f>
        <v>#REF!</v>
      </c>
      <c r="T884" s="29" t="e">
        <f>IF(INDEX(#REF!,MATCH('data '!$B884,#REF!,0),MATCH('data '!T$3,#REF!,0))=0,"",INDEX(#REF!,MATCH('data '!$B884,#REF!,0),MATCH('data '!T$3,#REF!,0)))</f>
        <v>#REF!</v>
      </c>
      <c r="V884" s="25" t="s">
        <v>74</v>
      </c>
      <c r="W884" s="25">
        <v>0</v>
      </c>
      <c r="AC884" s="8" t="e">
        <f>VLOOKUP(B884,#REF!,19,0)</f>
        <v>#REF!</v>
      </c>
      <c r="AP884" s="8" t="str">
        <f t="shared" si="34"/>
        <v>Not yet endorsed</v>
      </c>
      <c r="AQ884" s="10" t="b" cm="1">
        <f t="array" aca="1" ref="AQ884" ca="1">IF(AM884&gt;0,(TODAY()-AM884),IF(AL884&gt;0,(TODAY()-AL884),IF(AK884&gt;0,(TODAY()-AK884,IF(AI884&gt;0,(TODAY()-AI884),IF(AG884&gt;0,(TODAY()-AG884),IF(AF884&gt;0,(TODAY()-AF884),IF(X884&gt;0,(TODAY()-X884)," "))))))))</f>
        <v>0</v>
      </c>
      <c r="BD884" s="2" t="str">
        <f t="shared" si="35"/>
        <v>Not yet endorsed</v>
      </c>
      <c r="BE884" s="2" t="s">
        <v>75</v>
      </c>
      <c r="BG884" s="2" t="e">
        <v>#N/A</v>
      </c>
    </row>
    <row r="885" spans="2:60" hidden="1" x14ac:dyDescent="0.25">
      <c r="B885" s="2" t="s">
        <v>3811</v>
      </c>
      <c r="C885" s="2" t="s">
        <v>3812</v>
      </c>
      <c r="D885" s="44" t="s">
        <v>3813</v>
      </c>
      <c r="E885" s="2" t="s">
        <v>5</v>
      </c>
      <c r="F885" s="2" t="s">
        <v>1878</v>
      </c>
      <c r="G885" s="2" t="s">
        <v>1</v>
      </c>
      <c r="H885" s="2" t="s">
        <v>139</v>
      </c>
      <c r="I885" s="2" t="s">
        <v>140</v>
      </c>
      <c r="J885" s="2" t="s">
        <v>224</v>
      </c>
      <c r="K885" s="2" t="s">
        <v>913</v>
      </c>
      <c r="L885" s="2" t="s">
        <v>1879</v>
      </c>
      <c r="M885" s="2">
        <v>0</v>
      </c>
      <c r="N885" s="2">
        <v>0</v>
      </c>
      <c r="O885" s="2">
        <v>0</v>
      </c>
      <c r="P885" s="2" t="s">
        <v>72</v>
      </c>
      <c r="Q885" s="2" t="s">
        <v>73</v>
      </c>
      <c r="R885" s="29" t="e">
        <f>IF(INDEX(#REF!,MATCH('data '!$B885,#REF!,0),MATCH('data '!R$3,#REF!,0))=0,"",INDEX(#REF!,MATCH('data '!$B885,#REF!,0),MATCH('data '!R$3,#REF!,0)))</f>
        <v>#REF!</v>
      </c>
      <c r="S885" s="29" t="e">
        <f>IF(INDEX(#REF!,MATCH('data '!$B885,#REF!,0),MATCH('data '!S$3,#REF!,0))=0,"",INDEX(#REF!,MATCH('data '!$B885,#REF!,0),MATCH('data '!S$3,#REF!,0)))</f>
        <v>#REF!</v>
      </c>
      <c r="T885" s="29" t="e">
        <f>IF(INDEX(#REF!,MATCH('data '!$B885,#REF!,0),MATCH('data '!T$3,#REF!,0))=0,"",INDEX(#REF!,MATCH('data '!$B885,#REF!,0),MATCH('data '!T$3,#REF!,0)))</f>
        <v>#REF!</v>
      </c>
      <c r="V885" s="25" t="s">
        <v>74</v>
      </c>
      <c r="W885" s="25">
        <v>0</v>
      </c>
      <c r="AC885" s="8" t="e">
        <f>VLOOKUP(B885,#REF!,19,0)</f>
        <v>#REF!</v>
      </c>
      <c r="AE885" s="8" t="s">
        <v>228</v>
      </c>
      <c r="AG885" s="8">
        <v>46021</v>
      </c>
      <c r="AH885" s="8" t="s">
        <v>1590</v>
      </c>
      <c r="AI885" s="8">
        <v>46028</v>
      </c>
      <c r="AJ885" s="8" t="s">
        <v>1591</v>
      </c>
      <c r="AP885" s="8" t="str">
        <f>IF(AM885&gt;0,"Tempo Energized",IF(AL885&gt;0,"Tempo Permit Released",IF(AK885&gt;0,"COOP Surveyed",IF(AI885&gt;0,"PO Issued",IF(AG885&gt;0,"PQ Raised",IF(AE885&gt;0,"Vendor Allocated",IF(X885&gt;0,"BP Secured","Not yet endorsed")))))))</f>
        <v>PO Issued</v>
      </c>
      <c r="AQ885" s="10" t="b" cm="1">
        <f t="array" aca="1" ref="AQ885" ca="1">IF(AM885&gt;0,(TODAY()-AM885),IF(AL885&gt;0,(TODAY()-AL885),IF(AK885&gt;0,(TODAY()-AK885,IF(AI885&gt;0,(TODAY()-AI885),IF(AG885&gt;0,(TODAY()-AG885),IF(AE885&gt;0,(TODAY()-AE885),IF(X885&gt;0,(TODAY()-X885)," "))))))))</f>
        <v>0</v>
      </c>
      <c r="BD885" s="2" t="str">
        <f>IF(BC885&gt;0,"Permanent Energized",IF(BB885&gt;0,"Bill deposit Paid",IF(BA885&gt;0,"Line Construction Completed",IF(AZ885&gt;0,"Line Construction Started",IF(AX885&gt;0,"PO Issued",IF(AV885&gt;0,"PQ Raised",IF(AU885&gt;0,"BoQ Approved",IF(AT885&gt;0,"BoQ Submitted",IF(AE885&gt;0,"Vendor Allocated",IF(X885&gt;0,"BP Secured",IF(U885&gt;0,"TSSR Approved","Not yet endorsed")))))))))))</f>
        <v>Vendor Allocated</v>
      </c>
      <c r="BE885" s="2" t="s">
        <v>75</v>
      </c>
      <c r="BG885" s="2" t="e">
        <v>#N/A</v>
      </c>
      <c r="BH885" s="2" t="e" vm="1">
        <v>#REF!</v>
      </c>
    </row>
    <row r="886" spans="2:60" hidden="1" x14ac:dyDescent="0.25">
      <c r="B886" s="2" t="s">
        <v>3814</v>
      </c>
      <c r="C886" s="2" t="s">
        <v>3815</v>
      </c>
      <c r="D886" s="44" t="s">
        <v>3816</v>
      </c>
      <c r="E886" s="2" t="s">
        <v>3</v>
      </c>
      <c r="F886" s="2" t="s">
        <v>279</v>
      </c>
      <c r="G886" s="2" t="s">
        <v>1</v>
      </c>
      <c r="H886" s="2" t="s">
        <v>139</v>
      </c>
      <c r="I886" s="2" t="s">
        <v>140</v>
      </c>
      <c r="J886" s="2" t="s">
        <v>141</v>
      </c>
      <c r="K886" s="2" t="s">
        <v>280</v>
      </c>
      <c r="L886" s="2" t="s">
        <v>1692</v>
      </c>
      <c r="M886" s="2">
        <v>0</v>
      </c>
      <c r="N886" s="2">
        <v>0</v>
      </c>
      <c r="O886" s="2">
        <v>0</v>
      </c>
      <c r="P886" s="2" t="s">
        <v>72</v>
      </c>
      <c r="Q886" s="2" t="s">
        <v>73</v>
      </c>
      <c r="R886" s="29" t="e">
        <f>IF(INDEX(#REF!,MATCH('data '!$B886,#REF!,0),MATCH('data '!R$3,#REF!,0))=0,"",INDEX(#REF!,MATCH('data '!$B886,#REF!,0),MATCH('data '!R$3,#REF!,0)))</f>
        <v>#REF!</v>
      </c>
      <c r="S886" s="29" t="e">
        <f>IF(INDEX(#REF!,MATCH('data '!$B886,#REF!,0),MATCH('data '!S$3,#REF!,0))=0,"",INDEX(#REF!,MATCH('data '!$B886,#REF!,0),MATCH('data '!S$3,#REF!,0)))</f>
        <v>#REF!</v>
      </c>
      <c r="T886" s="29" t="e">
        <f>IF(INDEX(#REF!,MATCH('data '!$B886,#REF!,0),MATCH('data '!T$3,#REF!,0))=0,"",INDEX(#REF!,MATCH('data '!$B886,#REF!,0),MATCH('data '!T$3,#REF!,0)))</f>
        <v>#REF!</v>
      </c>
      <c r="V886" s="25" t="s">
        <v>74</v>
      </c>
      <c r="W886" s="25">
        <v>0</v>
      </c>
      <c r="AC886" s="8" t="e">
        <f>VLOOKUP(B886,#REF!,19,0)</f>
        <v>#REF!</v>
      </c>
      <c r="AP886" s="8" t="str">
        <f t="shared" si="34"/>
        <v>Not yet endorsed</v>
      </c>
      <c r="AQ886" s="10" t="b" cm="1">
        <f t="array" aca="1" ref="AQ886" ca="1">IF(AM886&gt;0,(TODAY()-AM886),IF(AL886&gt;0,(TODAY()-AL886),IF(AK886&gt;0,(TODAY()-AK886,IF(AI886&gt;0,(TODAY()-AI886),IF(AG886&gt;0,(TODAY()-AG886),IF(AF886&gt;0,(TODAY()-AF886),IF(X886&gt;0,(TODAY()-X886)," "))))))))</f>
        <v>0</v>
      </c>
      <c r="BD886" s="2" t="str">
        <f t="shared" si="35"/>
        <v>Not yet endorsed</v>
      </c>
      <c r="BE886" s="2" t="s">
        <v>75</v>
      </c>
      <c r="BG886" s="2" t="e">
        <v>#N/A</v>
      </c>
      <c r="BH886" s="2" t="e" vm="1">
        <v>#REF!</v>
      </c>
    </row>
    <row r="887" spans="2:60" hidden="1" x14ac:dyDescent="0.25">
      <c r="B887" s="2" t="s">
        <v>3817</v>
      </c>
      <c r="C887" s="2" t="s">
        <v>3818</v>
      </c>
      <c r="D887" s="44" t="s">
        <v>3819</v>
      </c>
      <c r="E887" s="2" t="s">
        <v>4</v>
      </c>
      <c r="F887" s="2" t="s">
        <v>538</v>
      </c>
      <c r="G887" s="2" t="s">
        <v>1</v>
      </c>
      <c r="H887" s="2" t="s">
        <v>139</v>
      </c>
      <c r="I887" s="2" t="s">
        <v>140</v>
      </c>
      <c r="J887" s="2" t="s">
        <v>122</v>
      </c>
      <c r="K887" s="2" t="s">
        <v>359</v>
      </c>
      <c r="L887" s="2" t="s">
        <v>539</v>
      </c>
      <c r="M887" s="2">
        <v>0</v>
      </c>
      <c r="N887" s="2">
        <v>0</v>
      </c>
      <c r="O887" s="2">
        <v>0</v>
      </c>
      <c r="P887" s="2" t="s">
        <v>72</v>
      </c>
      <c r="Q887" s="2" t="s">
        <v>73</v>
      </c>
      <c r="R887" s="29" t="e">
        <f>IF(INDEX(#REF!,MATCH('data '!$B887,#REF!,0),MATCH('data '!R$3,#REF!,0))=0,"",INDEX(#REF!,MATCH('data '!$B887,#REF!,0),MATCH('data '!R$3,#REF!,0)))</f>
        <v>#REF!</v>
      </c>
      <c r="S887" s="29" t="e">
        <f>IF(INDEX(#REF!,MATCH('data '!$B887,#REF!,0),MATCH('data '!S$3,#REF!,0))=0,"",INDEX(#REF!,MATCH('data '!$B887,#REF!,0),MATCH('data '!S$3,#REF!,0)))</f>
        <v>#REF!</v>
      </c>
      <c r="T887" s="29" t="e">
        <f>IF(INDEX(#REF!,MATCH('data '!$B887,#REF!,0),MATCH('data '!T$3,#REF!,0))=0,"",INDEX(#REF!,MATCH('data '!$B887,#REF!,0),MATCH('data '!T$3,#REF!,0)))</f>
        <v>#REF!</v>
      </c>
      <c r="V887" s="25" t="s">
        <v>74</v>
      </c>
      <c r="W887" s="25">
        <v>0</v>
      </c>
      <c r="AC887" s="8" t="e">
        <f>VLOOKUP(B887,#REF!,19,0)</f>
        <v>#REF!</v>
      </c>
      <c r="AP887" s="8" t="str">
        <f t="shared" si="34"/>
        <v>Not yet endorsed</v>
      </c>
      <c r="AQ887" s="10" t="b" cm="1">
        <f t="array" aca="1" ref="AQ887" ca="1">IF(AM887&gt;0,(TODAY()-AM887),IF(AL887&gt;0,(TODAY()-AL887),IF(AK887&gt;0,(TODAY()-AK887,IF(AI887&gt;0,(TODAY()-AI887),IF(AG887&gt;0,(TODAY()-AG887),IF(AF887&gt;0,(TODAY()-AF887),IF(X887&gt;0,(TODAY()-X887)," "))))))))</f>
        <v>0</v>
      </c>
      <c r="BD887" s="2" t="str">
        <f t="shared" si="35"/>
        <v>Not yet endorsed</v>
      </c>
      <c r="BE887" s="2" t="s">
        <v>75</v>
      </c>
      <c r="BG887" s="2" t="e">
        <v>#N/A</v>
      </c>
    </row>
    <row r="888" spans="2:60" hidden="1" x14ac:dyDescent="0.25">
      <c r="B888" s="2" t="s">
        <v>3820</v>
      </c>
      <c r="C888" s="2" t="s">
        <v>3821</v>
      </c>
      <c r="D888" s="44" t="s">
        <v>3822</v>
      </c>
      <c r="E888" s="2" t="s">
        <v>4</v>
      </c>
      <c r="F888" s="2" t="s">
        <v>538</v>
      </c>
      <c r="G888" s="2" t="s">
        <v>1</v>
      </c>
      <c r="H888" s="2" t="s">
        <v>139</v>
      </c>
      <c r="I888" s="2" t="s">
        <v>140</v>
      </c>
      <c r="J888" s="2" t="s">
        <v>122</v>
      </c>
      <c r="K888" s="2" t="s">
        <v>359</v>
      </c>
      <c r="L888" s="2" t="s">
        <v>539</v>
      </c>
      <c r="M888" s="2">
        <v>0</v>
      </c>
      <c r="N888" s="2">
        <v>0</v>
      </c>
      <c r="O888" s="2">
        <v>0</v>
      </c>
      <c r="P888" s="2" t="s">
        <v>72</v>
      </c>
      <c r="Q888" s="2" t="s">
        <v>73</v>
      </c>
      <c r="R888" s="29" t="e">
        <f>IF(INDEX(#REF!,MATCH('data '!$B888,#REF!,0),MATCH('data '!R$3,#REF!,0))=0,"",INDEX(#REF!,MATCH('data '!$B888,#REF!,0),MATCH('data '!R$3,#REF!,0)))</f>
        <v>#REF!</v>
      </c>
      <c r="S888" s="29" t="e">
        <f>IF(INDEX(#REF!,MATCH('data '!$B888,#REF!,0),MATCH('data '!S$3,#REF!,0))=0,"",INDEX(#REF!,MATCH('data '!$B888,#REF!,0),MATCH('data '!S$3,#REF!,0)))</f>
        <v>#REF!</v>
      </c>
      <c r="T888" s="29" t="e">
        <f>IF(INDEX(#REF!,MATCH('data '!$B888,#REF!,0),MATCH('data '!T$3,#REF!,0))=0,"",INDEX(#REF!,MATCH('data '!$B888,#REF!,0),MATCH('data '!T$3,#REF!,0)))</f>
        <v>#REF!</v>
      </c>
      <c r="V888" s="25" t="s">
        <v>74</v>
      </c>
      <c r="W888" s="25">
        <v>0</v>
      </c>
      <c r="AC888" s="8" t="e">
        <f>VLOOKUP(B888,#REF!,19,0)</f>
        <v>#REF!</v>
      </c>
      <c r="AP888" s="8" t="str">
        <f t="shared" si="34"/>
        <v>Not yet endorsed</v>
      </c>
      <c r="AQ888" s="10" t="b" cm="1">
        <f t="array" aca="1" ref="AQ888" ca="1">IF(AM888&gt;0,(TODAY()-AM888),IF(AL888&gt;0,(TODAY()-AL888),IF(AK888&gt;0,(TODAY()-AK888,IF(AI888&gt;0,(TODAY()-AI888),IF(AG888&gt;0,(TODAY()-AG888),IF(AF888&gt;0,(TODAY()-AF888),IF(X888&gt;0,(TODAY()-X888)," "))))))))</f>
        <v>0</v>
      </c>
      <c r="BD888" s="2" t="str">
        <f t="shared" si="35"/>
        <v>Not yet endorsed</v>
      </c>
      <c r="BE888" s="2" t="s">
        <v>75</v>
      </c>
      <c r="BG888" s="2" t="e">
        <v>#N/A</v>
      </c>
    </row>
    <row r="889" spans="2:60" hidden="1" x14ac:dyDescent="0.25">
      <c r="B889" s="2" t="s">
        <v>3823</v>
      </c>
      <c r="C889" s="2" t="s">
        <v>3824</v>
      </c>
      <c r="D889" s="44" t="s">
        <v>3825</v>
      </c>
      <c r="E889" s="2" t="s">
        <v>4</v>
      </c>
      <c r="F889" s="2" t="s">
        <v>358</v>
      </c>
      <c r="G889" s="2" t="s">
        <v>1</v>
      </c>
      <c r="H889" s="2" t="s">
        <v>139</v>
      </c>
      <c r="I889" s="2" t="s">
        <v>140</v>
      </c>
      <c r="J889" s="2" t="s">
        <v>122</v>
      </c>
      <c r="K889" s="2" t="s">
        <v>359</v>
      </c>
      <c r="L889" s="2" t="s">
        <v>1983</v>
      </c>
      <c r="M889" s="2">
        <v>0</v>
      </c>
      <c r="N889" s="2">
        <v>0</v>
      </c>
      <c r="O889" s="2">
        <v>0</v>
      </c>
      <c r="P889" s="2" t="s">
        <v>72</v>
      </c>
      <c r="Q889" s="2" t="s">
        <v>73</v>
      </c>
      <c r="R889" s="29" t="e">
        <f>IF(INDEX(#REF!,MATCH('data '!$B889,#REF!,0),MATCH('data '!R$3,#REF!,0))=0,"",INDEX(#REF!,MATCH('data '!$B889,#REF!,0),MATCH('data '!R$3,#REF!,0)))</f>
        <v>#REF!</v>
      </c>
      <c r="S889" s="29" t="e">
        <f>IF(INDEX(#REF!,MATCH('data '!$B889,#REF!,0),MATCH('data '!S$3,#REF!,0))=0,"",INDEX(#REF!,MATCH('data '!$B889,#REF!,0),MATCH('data '!S$3,#REF!,0)))</f>
        <v>#REF!</v>
      </c>
      <c r="T889" s="29" t="e">
        <f>IF(INDEX(#REF!,MATCH('data '!$B889,#REF!,0),MATCH('data '!T$3,#REF!,0))=0,"",INDEX(#REF!,MATCH('data '!$B889,#REF!,0),MATCH('data '!T$3,#REF!,0)))</f>
        <v>#REF!</v>
      </c>
      <c r="V889" s="25" t="s">
        <v>74</v>
      </c>
      <c r="W889" s="25">
        <v>0</v>
      </c>
      <c r="AC889" s="8" t="e">
        <f>VLOOKUP(B889,#REF!,19,0)</f>
        <v>#REF!</v>
      </c>
      <c r="AP889" s="8" t="str">
        <f t="shared" si="34"/>
        <v>Not yet endorsed</v>
      </c>
      <c r="AQ889" s="10" t="b" cm="1">
        <f t="array" aca="1" ref="AQ889" ca="1">IF(AM889&gt;0,(TODAY()-AM889),IF(AL889&gt;0,(TODAY()-AL889),IF(AK889&gt;0,(TODAY()-AK889,IF(AI889&gt;0,(TODAY()-AI889),IF(AG889&gt;0,(TODAY()-AG889),IF(AF889&gt;0,(TODAY()-AF889),IF(X889&gt;0,(TODAY()-X889)," "))))))))</f>
        <v>0</v>
      </c>
      <c r="BD889" s="2" t="str">
        <f t="shared" si="35"/>
        <v>Not yet endorsed</v>
      </c>
      <c r="BE889" s="2" t="s">
        <v>75</v>
      </c>
      <c r="BG889" s="2" t="e">
        <v>#N/A</v>
      </c>
    </row>
    <row r="890" spans="2:60" hidden="1" x14ac:dyDescent="0.25">
      <c r="B890" s="2" t="s">
        <v>3826</v>
      </c>
      <c r="C890" s="2" t="s">
        <v>3827</v>
      </c>
      <c r="D890" s="44" t="s">
        <v>3828</v>
      </c>
      <c r="E890" s="2" t="s">
        <v>3</v>
      </c>
      <c r="F890" s="2" t="s">
        <v>138</v>
      </c>
      <c r="G890" s="2" t="s">
        <v>1</v>
      </c>
      <c r="H890" s="2" t="s">
        <v>139</v>
      </c>
      <c r="I890" s="2" t="s">
        <v>140</v>
      </c>
      <c r="J890" s="2" t="s">
        <v>141</v>
      </c>
      <c r="K890" s="2" t="s">
        <v>142</v>
      </c>
      <c r="L890" s="2" t="s">
        <v>1780</v>
      </c>
      <c r="M890" s="2">
        <v>0</v>
      </c>
      <c r="N890" s="2">
        <v>0</v>
      </c>
      <c r="O890" s="2">
        <v>0</v>
      </c>
      <c r="P890" s="2" t="s">
        <v>72</v>
      </c>
      <c r="Q890" s="2" t="s">
        <v>73</v>
      </c>
      <c r="R890" s="29" t="e">
        <f>IF(INDEX(#REF!,MATCH('data '!$B890,#REF!,0),MATCH('data '!R$3,#REF!,0))=0,"",INDEX(#REF!,MATCH('data '!$B890,#REF!,0),MATCH('data '!R$3,#REF!,0)))</f>
        <v>#REF!</v>
      </c>
      <c r="S890" s="29" t="e">
        <f>IF(INDEX(#REF!,MATCH('data '!$B890,#REF!,0),MATCH('data '!S$3,#REF!,0))=0,"",INDEX(#REF!,MATCH('data '!$B890,#REF!,0),MATCH('data '!S$3,#REF!,0)))</f>
        <v>#REF!</v>
      </c>
      <c r="T890" s="29" t="e">
        <f>IF(INDEX(#REF!,MATCH('data '!$B890,#REF!,0),MATCH('data '!T$3,#REF!,0))=0,"",INDEX(#REF!,MATCH('data '!$B890,#REF!,0),MATCH('data '!T$3,#REF!,0)))</f>
        <v>#REF!</v>
      </c>
      <c r="V890" s="25" t="s">
        <v>74</v>
      </c>
      <c r="W890" s="25">
        <v>0</v>
      </c>
      <c r="AC890" s="8" t="e">
        <f>VLOOKUP(B890,#REF!,19,0)</f>
        <v>#REF!</v>
      </c>
      <c r="AP890" s="8" t="str">
        <f t="shared" si="34"/>
        <v>Not yet endorsed</v>
      </c>
      <c r="AQ890" s="10" t="b" cm="1">
        <f t="array" aca="1" ref="AQ890" ca="1">IF(AM890&gt;0,(TODAY()-AM890),IF(AL890&gt;0,(TODAY()-AL890),IF(AK890&gt;0,(TODAY()-AK890,IF(AI890&gt;0,(TODAY()-AI890),IF(AG890&gt;0,(TODAY()-AG890),IF(AF890&gt;0,(TODAY()-AF890),IF(X890&gt;0,(TODAY()-X890)," "))))))))</f>
        <v>0</v>
      </c>
      <c r="BD890" s="2" t="str">
        <f t="shared" si="35"/>
        <v>Not yet endorsed</v>
      </c>
      <c r="BE890" s="2" t="s">
        <v>75</v>
      </c>
      <c r="BG890" s="2" t="e">
        <v>#N/A</v>
      </c>
      <c r="BH890" s="2" t="e" vm="1">
        <v>#REF!</v>
      </c>
    </row>
    <row r="891" spans="2:60" hidden="1" x14ac:dyDescent="0.25">
      <c r="B891" s="2" t="s">
        <v>3829</v>
      </c>
      <c r="C891" s="2" t="s">
        <v>3830</v>
      </c>
      <c r="D891" s="44" t="s">
        <v>3831</v>
      </c>
      <c r="E891" s="2" t="s">
        <v>4</v>
      </c>
      <c r="F891" s="2" t="s">
        <v>1118</v>
      </c>
      <c r="G891" s="2" t="s">
        <v>1</v>
      </c>
      <c r="H891" s="2" t="s">
        <v>139</v>
      </c>
      <c r="I891" s="2" t="s">
        <v>140</v>
      </c>
      <c r="J891" s="2" t="s">
        <v>122</v>
      </c>
      <c r="K891" s="2" t="s">
        <v>359</v>
      </c>
      <c r="L891" s="2" t="s">
        <v>3566</v>
      </c>
      <c r="M891" s="2">
        <v>0</v>
      </c>
      <c r="N891" s="2">
        <v>0</v>
      </c>
      <c r="O891" s="2">
        <v>0</v>
      </c>
      <c r="P891" s="2" t="s">
        <v>72</v>
      </c>
      <c r="Q891" s="2" t="s">
        <v>143</v>
      </c>
      <c r="R891" s="29" t="e">
        <f>IF(INDEX(#REF!,MATCH('data '!$B891,#REF!,0),MATCH('data '!R$3,#REF!,0))=0,"",INDEX(#REF!,MATCH('data '!$B891,#REF!,0),MATCH('data '!R$3,#REF!,0)))</f>
        <v>#REF!</v>
      </c>
      <c r="S891" s="29" t="e">
        <f>IF(INDEX(#REF!,MATCH('data '!$B891,#REF!,0),MATCH('data '!S$3,#REF!,0))=0,"",INDEX(#REF!,MATCH('data '!$B891,#REF!,0),MATCH('data '!S$3,#REF!,0)))</f>
        <v>#REF!</v>
      </c>
      <c r="T891" s="29" t="e">
        <f>IF(INDEX(#REF!,MATCH('data '!$B891,#REF!,0),MATCH('data '!T$3,#REF!,0))=0,"",INDEX(#REF!,MATCH('data '!$B891,#REF!,0),MATCH('data '!T$3,#REF!,0)))</f>
        <v>#REF!</v>
      </c>
      <c r="V891" s="25" t="s">
        <v>74</v>
      </c>
      <c r="W891" s="25">
        <v>0</v>
      </c>
      <c r="AC891" s="8" t="e">
        <f>VLOOKUP(B891,#REF!,19,0)</f>
        <v>#REF!</v>
      </c>
      <c r="AP891" s="8" t="str">
        <f t="shared" si="34"/>
        <v>Not yet endorsed</v>
      </c>
      <c r="AQ891" s="10" t="b" cm="1">
        <f t="array" aca="1" ref="AQ891" ca="1">IF(AM891&gt;0,(TODAY()-AM891),IF(AL891&gt;0,(TODAY()-AL891),IF(AK891&gt;0,(TODAY()-AK891,IF(AI891&gt;0,(TODAY()-AI891),IF(AG891&gt;0,(TODAY()-AG891),IF(AF891&gt;0,(TODAY()-AF891),IF(X891&gt;0,(TODAY()-X891)," "))))))))</f>
        <v>0</v>
      </c>
      <c r="BD891" s="2" t="str">
        <f t="shared" si="35"/>
        <v>Not yet endorsed</v>
      </c>
      <c r="BE891" s="2" t="s">
        <v>75</v>
      </c>
      <c r="BG891" s="2" t="e">
        <v>#N/A</v>
      </c>
    </row>
    <row r="892" spans="2:60" hidden="1" x14ac:dyDescent="0.25">
      <c r="B892" s="2" t="s">
        <v>3832</v>
      </c>
      <c r="C892" s="2" t="s">
        <v>3833</v>
      </c>
      <c r="D892" s="44" t="s">
        <v>3834</v>
      </c>
      <c r="E892" s="2" t="s">
        <v>5</v>
      </c>
      <c r="F892" s="2" t="s">
        <v>1878</v>
      </c>
      <c r="G892" s="2" t="s">
        <v>1</v>
      </c>
      <c r="H892" s="2" t="s">
        <v>139</v>
      </c>
      <c r="I892" s="2" t="s">
        <v>140</v>
      </c>
      <c r="J892" s="2" t="s">
        <v>224</v>
      </c>
      <c r="K892" s="2" t="s">
        <v>913</v>
      </c>
      <c r="L892" s="2" t="s">
        <v>1879</v>
      </c>
      <c r="M892" s="2">
        <v>0</v>
      </c>
      <c r="N892" s="2">
        <v>0</v>
      </c>
      <c r="O892" s="2">
        <v>0</v>
      </c>
      <c r="P892" s="2" t="s">
        <v>72</v>
      </c>
      <c r="Q892" s="2" t="s">
        <v>73</v>
      </c>
      <c r="R892" s="29" t="e">
        <f>IF(INDEX(#REF!,MATCH('data '!$B892,#REF!,0),MATCH('data '!R$3,#REF!,0))=0,"",INDEX(#REF!,MATCH('data '!$B892,#REF!,0),MATCH('data '!R$3,#REF!,0)))</f>
        <v>#REF!</v>
      </c>
      <c r="S892" s="29" t="e">
        <f>IF(INDEX(#REF!,MATCH('data '!$B892,#REF!,0),MATCH('data '!S$3,#REF!,0))=0,"",INDEX(#REF!,MATCH('data '!$B892,#REF!,0),MATCH('data '!S$3,#REF!,0)))</f>
        <v>#REF!</v>
      </c>
      <c r="T892" s="29" t="e">
        <f>IF(INDEX(#REF!,MATCH('data '!$B892,#REF!,0),MATCH('data '!T$3,#REF!,0))=0,"",INDEX(#REF!,MATCH('data '!$B892,#REF!,0),MATCH('data '!T$3,#REF!,0)))</f>
        <v>#REF!</v>
      </c>
      <c r="V892" s="25" t="s">
        <v>74</v>
      </c>
      <c r="W892" s="25">
        <v>0</v>
      </c>
      <c r="AC892" s="8" t="e">
        <f>VLOOKUP(B892,#REF!,19,0)</f>
        <v>#REF!</v>
      </c>
      <c r="AE892" s="8" t="s">
        <v>228</v>
      </c>
      <c r="AG892" s="8">
        <v>46021</v>
      </c>
      <c r="AH892" s="8" t="s">
        <v>1590</v>
      </c>
      <c r="AI892" s="8">
        <v>46028</v>
      </c>
      <c r="AJ892" s="8" t="s">
        <v>1591</v>
      </c>
      <c r="AP892" s="8" t="str">
        <f t="shared" si="34"/>
        <v>PO Issued</v>
      </c>
      <c r="AQ892" s="10" t="b" cm="1">
        <f t="array" aca="1" ref="AQ892" ca="1">IF(AM892&gt;0,(TODAY()-AM892),IF(AL892&gt;0,(TODAY()-AL892),IF(AK892&gt;0,(TODAY()-AK892,IF(AI892&gt;0,(TODAY()-AI892),IF(AG892&gt;0,(TODAY()-AG892),IF(AF892&gt;0,(TODAY()-AF892),IF(X892&gt;0,(TODAY()-X892)," "))))))))</f>
        <v>0</v>
      </c>
      <c r="BD892" s="2" t="str">
        <f t="shared" si="35"/>
        <v>Not yet endorsed</v>
      </c>
      <c r="BE892" s="2" t="s">
        <v>75</v>
      </c>
      <c r="BG892" s="2" t="e">
        <v>#N/A</v>
      </c>
      <c r="BH892" s="2" t="e" vm="1">
        <v>#REF!</v>
      </c>
    </row>
    <row r="893" spans="2:60" hidden="1" x14ac:dyDescent="0.25">
      <c r="B893" s="2" t="s">
        <v>3835</v>
      </c>
      <c r="C893" s="2" t="s">
        <v>3836</v>
      </c>
      <c r="D893" s="44" t="s">
        <v>3837</v>
      </c>
      <c r="E893" s="2" t="s">
        <v>3</v>
      </c>
      <c r="F893" s="2" t="s">
        <v>138</v>
      </c>
      <c r="G893" s="2" t="s">
        <v>1</v>
      </c>
      <c r="H893" s="2" t="s">
        <v>139</v>
      </c>
      <c r="I893" s="2" t="s">
        <v>140</v>
      </c>
      <c r="J893" s="2" t="s">
        <v>141</v>
      </c>
      <c r="K893" s="2" t="s">
        <v>142</v>
      </c>
      <c r="L893" s="2" t="s">
        <v>2205</v>
      </c>
      <c r="M893" s="2">
        <v>0</v>
      </c>
      <c r="N893" s="2">
        <v>0</v>
      </c>
      <c r="O893" s="2">
        <v>0</v>
      </c>
      <c r="P893" s="2" t="s">
        <v>72</v>
      </c>
      <c r="Q893" s="2" t="s">
        <v>73</v>
      </c>
      <c r="R893" s="29" t="e">
        <f>IF(INDEX(#REF!,MATCH('data '!$B893,#REF!,0),MATCH('data '!R$3,#REF!,0))=0,"",INDEX(#REF!,MATCH('data '!$B893,#REF!,0),MATCH('data '!R$3,#REF!,0)))</f>
        <v>#REF!</v>
      </c>
      <c r="S893" s="29" t="e">
        <f>IF(INDEX(#REF!,MATCH('data '!$B893,#REF!,0),MATCH('data '!S$3,#REF!,0))=0,"",INDEX(#REF!,MATCH('data '!$B893,#REF!,0),MATCH('data '!S$3,#REF!,0)))</f>
        <v>#REF!</v>
      </c>
      <c r="T893" s="29" t="e">
        <f>IF(INDEX(#REF!,MATCH('data '!$B893,#REF!,0),MATCH('data '!T$3,#REF!,0))=0,"",INDEX(#REF!,MATCH('data '!$B893,#REF!,0),MATCH('data '!T$3,#REF!,0)))</f>
        <v>#REF!</v>
      </c>
      <c r="V893" s="25" t="s">
        <v>74</v>
      </c>
      <c r="W893" s="25">
        <v>0</v>
      </c>
      <c r="AC893" s="8" t="e">
        <f>VLOOKUP(B893,#REF!,19,0)</f>
        <v>#REF!</v>
      </c>
      <c r="AP893" s="8" t="str">
        <f t="shared" si="34"/>
        <v>Not yet endorsed</v>
      </c>
      <c r="AQ893" s="10" t="b" cm="1">
        <f t="array" aca="1" ref="AQ893" ca="1">IF(AM893&gt;0,(TODAY()-AM893),IF(AL893&gt;0,(TODAY()-AL893),IF(AK893&gt;0,(TODAY()-AK893,IF(AI893&gt;0,(TODAY()-AI893),IF(AG893&gt;0,(TODAY()-AG893),IF(AF893&gt;0,(TODAY()-AF893),IF(X893&gt;0,(TODAY()-X893)," "))))))))</f>
        <v>0</v>
      </c>
      <c r="BD893" s="2" t="str">
        <f t="shared" si="35"/>
        <v>Not yet endorsed</v>
      </c>
      <c r="BE893" s="2" t="s">
        <v>75</v>
      </c>
      <c r="BG893" s="2" t="e">
        <v>#N/A</v>
      </c>
      <c r="BH893" s="2" t="e" vm="1">
        <v>#REF!</v>
      </c>
    </row>
    <row r="894" spans="2:60" hidden="1" x14ac:dyDescent="0.25">
      <c r="B894" s="2" t="s">
        <v>3838</v>
      </c>
      <c r="C894" s="2" t="s">
        <v>3839</v>
      </c>
      <c r="D894" s="44" t="s">
        <v>3840</v>
      </c>
      <c r="E894" s="2" t="s">
        <v>11</v>
      </c>
      <c r="F894" s="2" t="s">
        <v>450</v>
      </c>
      <c r="G894" s="2" t="s">
        <v>1</v>
      </c>
      <c r="H894" s="2" t="s">
        <v>165</v>
      </c>
      <c r="I894" s="2" t="s">
        <v>68</v>
      </c>
      <c r="J894" s="2" t="s">
        <v>239</v>
      </c>
      <c r="K894" s="2" t="s">
        <v>451</v>
      </c>
      <c r="L894" s="2" t="s">
        <v>3841</v>
      </c>
      <c r="M894" s="2">
        <v>0</v>
      </c>
      <c r="N894" s="2">
        <v>0</v>
      </c>
      <c r="O894" s="2">
        <v>0</v>
      </c>
      <c r="P894" s="2" t="s">
        <v>72</v>
      </c>
      <c r="Q894" s="2" t="s">
        <v>73</v>
      </c>
      <c r="R894" s="29" t="e">
        <f>IF(INDEX(#REF!,MATCH('data '!$B894,#REF!,0),MATCH('data '!R$3,#REF!,0))=0,"",INDEX(#REF!,MATCH('data '!$B894,#REF!,0),MATCH('data '!R$3,#REF!,0)))</f>
        <v>#REF!</v>
      </c>
      <c r="S894" s="29" t="e">
        <f>IF(INDEX(#REF!,MATCH('data '!$B894,#REF!,0),MATCH('data '!S$3,#REF!,0))=0,"",INDEX(#REF!,MATCH('data '!$B894,#REF!,0),MATCH('data '!S$3,#REF!,0)))</f>
        <v>#REF!</v>
      </c>
      <c r="T894" s="29" t="e">
        <f>IF(INDEX(#REF!,MATCH('data '!$B894,#REF!,0),MATCH('data '!T$3,#REF!,0))=0,"",INDEX(#REF!,MATCH('data '!$B894,#REF!,0),MATCH('data '!T$3,#REF!,0)))</f>
        <v>#REF!</v>
      </c>
      <c r="V894" s="25" t="s">
        <v>74</v>
      </c>
      <c r="W894" s="25">
        <v>0</v>
      </c>
      <c r="AC894" s="8" t="e">
        <f>VLOOKUP(B894,#REF!,19,0)</f>
        <v>#REF!</v>
      </c>
      <c r="AP894" s="8" t="str">
        <f t="shared" si="34"/>
        <v>Not yet endorsed</v>
      </c>
      <c r="AQ894" s="10" t="b" cm="1">
        <f t="array" aca="1" ref="AQ894" ca="1">IF(AM894&gt;0,(TODAY()-AM894),IF(AL894&gt;0,(TODAY()-AL894),IF(AK894&gt;0,(TODAY()-AK894,IF(AI894&gt;0,(TODAY()-AI894),IF(AG894&gt;0,(TODAY()-AG894),IF(AF894&gt;0,(TODAY()-AF894),IF(X894&gt;0,(TODAY()-X894)," "))))))))</f>
        <v>0</v>
      </c>
      <c r="BD894" s="2" t="str">
        <f t="shared" si="35"/>
        <v>Not yet endorsed</v>
      </c>
      <c r="BE894" s="2" t="s">
        <v>75</v>
      </c>
      <c r="BG894" s="2" t="e">
        <v>#N/A</v>
      </c>
    </row>
    <row r="895" spans="2:60" hidden="1" x14ac:dyDescent="0.25">
      <c r="B895" s="2" t="s">
        <v>3842</v>
      </c>
      <c r="C895" s="2" t="s">
        <v>3843</v>
      </c>
      <c r="D895" s="44" t="s">
        <v>3844</v>
      </c>
      <c r="E895" s="2" t="s">
        <v>11</v>
      </c>
      <c r="F895" s="2" t="s">
        <v>180</v>
      </c>
      <c r="G895" s="2" t="s">
        <v>1</v>
      </c>
      <c r="H895" s="2" t="s">
        <v>165</v>
      </c>
      <c r="I895" s="2" t="s">
        <v>68</v>
      </c>
      <c r="J895" s="2" t="s">
        <v>181</v>
      </c>
      <c r="K895" s="2" t="s">
        <v>182</v>
      </c>
      <c r="L895" s="2" t="s">
        <v>183</v>
      </c>
      <c r="M895" s="2">
        <v>0</v>
      </c>
      <c r="N895" s="2">
        <v>0</v>
      </c>
      <c r="O895" s="2">
        <v>0</v>
      </c>
      <c r="P895" s="2" t="s">
        <v>72</v>
      </c>
      <c r="Q895" s="2" t="s">
        <v>73</v>
      </c>
      <c r="R895" s="29" t="e">
        <f>IF(INDEX(#REF!,MATCH('data '!$B895,#REF!,0),MATCH('data '!R$3,#REF!,0))=0,"",INDEX(#REF!,MATCH('data '!$B895,#REF!,0),MATCH('data '!R$3,#REF!,0)))</f>
        <v>#REF!</v>
      </c>
      <c r="S895" s="29" t="e">
        <f>IF(INDEX(#REF!,MATCH('data '!$B895,#REF!,0),MATCH('data '!S$3,#REF!,0))=0,"",INDEX(#REF!,MATCH('data '!$B895,#REF!,0),MATCH('data '!S$3,#REF!,0)))</f>
        <v>#REF!</v>
      </c>
      <c r="T895" s="29" t="e">
        <f>IF(INDEX(#REF!,MATCH('data '!$B895,#REF!,0),MATCH('data '!T$3,#REF!,0))=0,"",INDEX(#REF!,MATCH('data '!$B895,#REF!,0),MATCH('data '!T$3,#REF!,0)))</f>
        <v>#REF!</v>
      </c>
      <c r="V895" s="25" t="s">
        <v>74</v>
      </c>
      <c r="W895" s="25">
        <v>0</v>
      </c>
      <c r="AC895" s="8" t="e">
        <f>VLOOKUP(B895,#REF!,19,0)</f>
        <v>#REF!</v>
      </c>
      <c r="AP895" s="8" t="str">
        <f t="shared" si="34"/>
        <v>Not yet endorsed</v>
      </c>
      <c r="AQ895" s="10" t="b" cm="1">
        <f t="array" aca="1" ref="AQ895" ca="1">IF(AM895&gt;0,(TODAY()-AM895),IF(AL895&gt;0,(TODAY()-AL895),IF(AK895&gt;0,(TODAY()-AK895,IF(AI895&gt;0,(TODAY()-AI895),IF(AG895&gt;0,(TODAY()-AG895),IF(AF895&gt;0,(TODAY()-AF895),IF(X895&gt;0,(TODAY()-X895)," "))))))))</f>
        <v>0</v>
      </c>
      <c r="BD895" s="2" t="str">
        <f t="shared" si="35"/>
        <v>Not yet endorsed</v>
      </c>
      <c r="BE895" s="2" t="s">
        <v>75</v>
      </c>
      <c r="BG895" s="2" t="e">
        <v>#N/A</v>
      </c>
    </row>
    <row r="896" spans="2:60" hidden="1" x14ac:dyDescent="0.25">
      <c r="B896" s="2" t="s">
        <v>3845</v>
      </c>
      <c r="C896" s="2" t="s">
        <v>3846</v>
      </c>
      <c r="D896" s="44" t="s">
        <v>3847</v>
      </c>
      <c r="E896" s="2" t="s">
        <v>6</v>
      </c>
      <c r="F896" s="2" t="s">
        <v>768</v>
      </c>
      <c r="G896" s="2" t="s">
        <v>1</v>
      </c>
      <c r="H896" s="2" t="s">
        <v>111</v>
      </c>
      <c r="I896" s="2" t="s">
        <v>112</v>
      </c>
      <c r="J896" s="2" t="s">
        <v>344</v>
      </c>
      <c r="K896" s="2" t="s">
        <v>620</v>
      </c>
      <c r="L896" s="2" t="s">
        <v>769</v>
      </c>
      <c r="M896" s="2">
        <v>0</v>
      </c>
      <c r="N896" s="2">
        <v>0</v>
      </c>
      <c r="O896" s="2">
        <v>0</v>
      </c>
      <c r="P896" s="2" t="s">
        <v>72</v>
      </c>
      <c r="Q896" s="2" t="s">
        <v>73</v>
      </c>
      <c r="R896" s="29" t="e">
        <f>IF(INDEX(#REF!,MATCH('data '!$B896,#REF!,0),MATCH('data '!R$3,#REF!,0))=0,"",INDEX(#REF!,MATCH('data '!$B896,#REF!,0),MATCH('data '!R$3,#REF!,0)))</f>
        <v>#REF!</v>
      </c>
      <c r="S896" s="29" t="e">
        <f>IF(INDEX(#REF!,MATCH('data '!$B896,#REF!,0),MATCH('data '!S$3,#REF!,0))=0,"",INDEX(#REF!,MATCH('data '!$B896,#REF!,0),MATCH('data '!S$3,#REF!,0)))</f>
        <v>#REF!</v>
      </c>
      <c r="T896" s="29" t="e">
        <f>IF(INDEX(#REF!,MATCH('data '!$B896,#REF!,0),MATCH('data '!T$3,#REF!,0))=0,"",INDEX(#REF!,MATCH('data '!$B896,#REF!,0),MATCH('data '!T$3,#REF!,0)))</f>
        <v>#REF!</v>
      </c>
      <c r="V896" s="25" t="s">
        <v>74</v>
      </c>
      <c r="W896" s="25">
        <v>0</v>
      </c>
      <c r="AC896" s="8" t="e">
        <f>VLOOKUP(B896,#REF!,19,0)</f>
        <v>#REF!</v>
      </c>
      <c r="AP896" s="8" t="str">
        <f t="shared" si="34"/>
        <v>Not yet endorsed</v>
      </c>
      <c r="AQ896" s="10" t="b" cm="1">
        <f t="array" aca="1" ref="AQ896" ca="1">IF(AM896&gt;0,(TODAY()-AM896),IF(AL896&gt;0,(TODAY()-AL896),IF(AK896&gt;0,(TODAY()-AK896,IF(AI896&gt;0,(TODAY()-AI896),IF(AG896&gt;0,(TODAY()-AG896),IF(AF896&gt;0,(TODAY()-AF896),IF(X896&gt;0,(TODAY()-X896)," "))))))))</f>
        <v>0</v>
      </c>
      <c r="BD896" s="2" t="str">
        <f t="shared" si="35"/>
        <v>Not yet endorsed</v>
      </c>
      <c r="BE896" s="2" t="s">
        <v>75</v>
      </c>
      <c r="BG896" s="2" t="e">
        <v>#N/A</v>
      </c>
    </row>
    <row r="897" spans="2:59" hidden="1" x14ac:dyDescent="0.25">
      <c r="B897" s="2" t="s">
        <v>3848</v>
      </c>
      <c r="C897" s="2" t="s">
        <v>3849</v>
      </c>
      <c r="D897" s="44" t="s">
        <v>3850</v>
      </c>
      <c r="E897" s="2" t="s">
        <v>11</v>
      </c>
      <c r="F897" s="2" t="s">
        <v>591</v>
      </c>
      <c r="G897" s="2" t="s">
        <v>1</v>
      </c>
      <c r="H897" s="2" t="s">
        <v>165</v>
      </c>
      <c r="I897" s="2" t="s">
        <v>68</v>
      </c>
      <c r="J897" s="2" t="s">
        <v>173</v>
      </c>
      <c r="K897" s="2" t="s">
        <v>592</v>
      </c>
      <c r="L897" s="2" t="s">
        <v>593</v>
      </c>
      <c r="M897" s="2">
        <v>0</v>
      </c>
      <c r="N897" s="2">
        <v>0</v>
      </c>
      <c r="O897" s="2">
        <v>0</v>
      </c>
      <c r="P897" s="2" t="s">
        <v>72</v>
      </c>
      <c r="Q897" s="2" t="s">
        <v>73</v>
      </c>
      <c r="R897" s="29" t="e">
        <f>IF(INDEX(#REF!,MATCH('data '!$B897,#REF!,0),MATCH('data '!R$3,#REF!,0))=0,"",INDEX(#REF!,MATCH('data '!$B897,#REF!,0),MATCH('data '!R$3,#REF!,0)))</f>
        <v>#REF!</v>
      </c>
      <c r="S897" s="29" t="e">
        <f>IF(INDEX(#REF!,MATCH('data '!$B897,#REF!,0),MATCH('data '!S$3,#REF!,0))=0,"",INDEX(#REF!,MATCH('data '!$B897,#REF!,0),MATCH('data '!S$3,#REF!,0)))</f>
        <v>#REF!</v>
      </c>
      <c r="T897" s="29" t="e">
        <f>IF(INDEX(#REF!,MATCH('data '!$B897,#REF!,0),MATCH('data '!T$3,#REF!,0))=0,"",INDEX(#REF!,MATCH('data '!$B897,#REF!,0),MATCH('data '!T$3,#REF!,0)))</f>
        <v>#REF!</v>
      </c>
      <c r="V897" s="25" t="s">
        <v>74</v>
      </c>
      <c r="W897" s="25">
        <v>0</v>
      </c>
      <c r="AC897" s="8" t="e">
        <f>VLOOKUP(B897,#REF!,19,0)</f>
        <v>#REF!</v>
      </c>
      <c r="AP897" s="8" t="str">
        <f t="shared" si="34"/>
        <v>Not yet endorsed</v>
      </c>
      <c r="AQ897" s="10" t="b" cm="1">
        <f t="array" aca="1" ref="AQ897" ca="1">IF(AM897&gt;0,(TODAY()-AM897),IF(AL897&gt;0,(TODAY()-AL897),IF(AK897&gt;0,(TODAY()-AK897,IF(AI897&gt;0,(TODAY()-AI897),IF(AG897&gt;0,(TODAY()-AG897),IF(AF897&gt;0,(TODAY()-AF897),IF(X897&gt;0,(TODAY()-X897)," "))))))))</f>
        <v>0</v>
      </c>
      <c r="BD897" s="2" t="str">
        <f t="shared" si="35"/>
        <v>Not yet endorsed</v>
      </c>
      <c r="BE897" s="2" t="s">
        <v>75</v>
      </c>
      <c r="BG897" s="2" t="e">
        <v>#N/A</v>
      </c>
    </row>
    <row r="898" spans="2:59" hidden="1" x14ac:dyDescent="0.25">
      <c r="B898" s="2" t="s">
        <v>3851</v>
      </c>
      <c r="C898" s="2" t="s">
        <v>3852</v>
      </c>
      <c r="D898" s="44" t="s">
        <v>3853</v>
      </c>
      <c r="E898" s="2" t="s">
        <v>11</v>
      </c>
      <c r="F898" s="2" t="s">
        <v>597</v>
      </c>
      <c r="G898" s="2" t="s">
        <v>1</v>
      </c>
      <c r="H898" s="2" t="s">
        <v>165</v>
      </c>
      <c r="I898" s="2" t="s">
        <v>68</v>
      </c>
      <c r="J898" s="2" t="s">
        <v>239</v>
      </c>
      <c r="K898" s="2" t="s">
        <v>598</v>
      </c>
      <c r="L898" s="2" t="s">
        <v>599</v>
      </c>
      <c r="M898" s="2">
        <v>0</v>
      </c>
      <c r="N898" s="2">
        <v>0</v>
      </c>
      <c r="O898" s="2">
        <v>0</v>
      </c>
      <c r="P898" s="2" t="s">
        <v>72</v>
      </c>
      <c r="Q898" s="2" t="s">
        <v>73</v>
      </c>
      <c r="R898" s="29" t="e">
        <f>IF(INDEX(#REF!,MATCH('data '!$B898,#REF!,0),MATCH('data '!R$3,#REF!,0))=0,"",INDEX(#REF!,MATCH('data '!$B898,#REF!,0),MATCH('data '!R$3,#REF!,0)))</f>
        <v>#REF!</v>
      </c>
      <c r="S898" s="29" t="e">
        <f>IF(INDEX(#REF!,MATCH('data '!$B898,#REF!,0),MATCH('data '!S$3,#REF!,0))=0,"",INDEX(#REF!,MATCH('data '!$B898,#REF!,0),MATCH('data '!S$3,#REF!,0)))</f>
        <v>#REF!</v>
      </c>
      <c r="T898" s="29" t="e">
        <f>IF(INDEX(#REF!,MATCH('data '!$B898,#REF!,0),MATCH('data '!T$3,#REF!,0))=0,"",INDEX(#REF!,MATCH('data '!$B898,#REF!,0),MATCH('data '!T$3,#REF!,0)))</f>
        <v>#REF!</v>
      </c>
      <c r="V898" s="25" t="s">
        <v>74</v>
      </c>
      <c r="W898" s="25">
        <v>0</v>
      </c>
      <c r="AC898" s="8" t="e">
        <f>VLOOKUP(B898,#REF!,19,0)</f>
        <v>#REF!</v>
      </c>
      <c r="AP898" s="8" t="str">
        <f t="shared" si="34"/>
        <v>Not yet endorsed</v>
      </c>
      <c r="AQ898" s="10" t="b" cm="1">
        <f t="array" aca="1" ref="AQ898" ca="1">IF(AM898&gt;0,(TODAY()-AM898),IF(AL898&gt;0,(TODAY()-AL898),IF(AK898&gt;0,(TODAY()-AK898,IF(AI898&gt;0,(TODAY()-AI898),IF(AG898&gt;0,(TODAY()-AG898),IF(AF898&gt;0,(TODAY()-AF898),IF(X898&gt;0,(TODAY()-X898)," "))))))))</f>
        <v>0</v>
      </c>
      <c r="BD898" s="2" t="str">
        <f t="shared" si="35"/>
        <v>Not yet endorsed</v>
      </c>
      <c r="BE898" s="2" t="s">
        <v>75</v>
      </c>
      <c r="BG898" s="2" t="e">
        <v>#N/A</v>
      </c>
    </row>
    <row r="899" spans="2:59" hidden="1" x14ac:dyDescent="0.25">
      <c r="B899" s="2" t="s">
        <v>3854</v>
      </c>
      <c r="C899" s="2" t="s">
        <v>3855</v>
      </c>
      <c r="D899" s="44" t="s">
        <v>3856</v>
      </c>
      <c r="E899" s="2" t="s">
        <v>11</v>
      </c>
      <c r="F899" s="2" t="s">
        <v>591</v>
      </c>
      <c r="G899" s="2" t="s">
        <v>1</v>
      </c>
      <c r="H899" s="2" t="s">
        <v>165</v>
      </c>
      <c r="I899" s="2" t="s">
        <v>68</v>
      </c>
      <c r="J899" s="2" t="s">
        <v>173</v>
      </c>
      <c r="K899" s="2" t="s">
        <v>592</v>
      </c>
      <c r="L899" s="2" t="s">
        <v>593</v>
      </c>
      <c r="M899" s="2">
        <v>0</v>
      </c>
      <c r="N899" s="2">
        <v>0</v>
      </c>
      <c r="O899" s="2">
        <v>0</v>
      </c>
      <c r="P899" s="2" t="s">
        <v>72</v>
      </c>
      <c r="Q899" s="2" t="s">
        <v>73</v>
      </c>
      <c r="R899" s="29" t="e">
        <f>IF(INDEX(#REF!,MATCH('data '!$B899,#REF!,0),MATCH('data '!R$3,#REF!,0))=0,"",INDEX(#REF!,MATCH('data '!$B899,#REF!,0),MATCH('data '!R$3,#REF!,0)))</f>
        <v>#REF!</v>
      </c>
      <c r="S899" s="29" t="e">
        <f>IF(INDEX(#REF!,MATCH('data '!$B899,#REF!,0),MATCH('data '!S$3,#REF!,0))=0,"",INDEX(#REF!,MATCH('data '!$B899,#REF!,0),MATCH('data '!S$3,#REF!,0)))</f>
        <v>#REF!</v>
      </c>
      <c r="T899" s="29" t="e">
        <f>IF(INDEX(#REF!,MATCH('data '!$B899,#REF!,0),MATCH('data '!T$3,#REF!,0))=0,"",INDEX(#REF!,MATCH('data '!$B899,#REF!,0),MATCH('data '!T$3,#REF!,0)))</f>
        <v>#REF!</v>
      </c>
      <c r="V899" s="25" t="s">
        <v>74</v>
      </c>
      <c r="W899" s="25">
        <v>0</v>
      </c>
      <c r="AC899" s="8" t="e">
        <f>VLOOKUP(B899,#REF!,19,0)</f>
        <v>#REF!</v>
      </c>
      <c r="AP899" s="8" t="str">
        <f t="shared" si="34"/>
        <v>Not yet endorsed</v>
      </c>
      <c r="AQ899" s="10" t="b" cm="1">
        <f t="array" aca="1" ref="AQ899" ca="1">IF(AM899&gt;0,(TODAY()-AM899),IF(AL899&gt;0,(TODAY()-AL899),IF(AK899&gt;0,(TODAY()-AK899,IF(AI899&gt;0,(TODAY()-AI899),IF(AG899&gt;0,(TODAY()-AG899),IF(AF899&gt;0,(TODAY()-AF899),IF(X899&gt;0,(TODAY()-X899)," "))))))))</f>
        <v>0</v>
      </c>
      <c r="BD899" s="2" t="str">
        <f t="shared" si="35"/>
        <v>Not yet endorsed</v>
      </c>
      <c r="BE899" s="2" t="s">
        <v>75</v>
      </c>
      <c r="BG899" s="2" t="e">
        <v>#N/A</v>
      </c>
    </row>
    <row r="900" spans="2:59" hidden="1" x14ac:dyDescent="0.25">
      <c r="B900" s="2" t="s">
        <v>3857</v>
      </c>
      <c r="C900" s="2" t="s">
        <v>3858</v>
      </c>
      <c r="D900" s="44" t="s">
        <v>3859</v>
      </c>
      <c r="E900" s="2" t="s">
        <v>11</v>
      </c>
      <c r="F900" s="2" t="s">
        <v>180</v>
      </c>
      <c r="G900" s="2" t="s">
        <v>1</v>
      </c>
      <c r="H900" s="2" t="s">
        <v>165</v>
      </c>
      <c r="I900" s="2" t="s">
        <v>68</v>
      </c>
      <c r="J900" s="2" t="s">
        <v>181</v>
      </c>
      <c r="K900" s="2" t="s">
        <v>182</v>
      </c>
      <c r="L900" s="2" t="s">
        <v>183</v>
      </c>
      <c r="M900" s="2">
        <v>0</v>
      </c>
      <c r="N900" s="2">
        <v>0</v>
      </c>
      <c r="O900" s="2">
        <v>0</v>
      </c>
      <c r="P900" s="2" t="s">
        <v>72</v>
      </c>
      <c r="Q900" s="2" t="s">
        <v>73</v>
      </c>
      <c r="R900" s="29" t="e">
        <f>IF(INDEX(#REF!,MATCH('data '!$B900,#REF!,0),MATCH('data '!R$3,#REF!,0))=0,"",INDEX(#REF!,MATCH('data '!$B900,#REF!,0),MATCH('data '!R$3,#REF!,0)))</f>
        <v>#REF!</v>
      </c>
      <c r="S900" s="29" t="e">
        <f>IF(INDEX(#REF!,MATCH('data '!$B900,#REF!,0),MATCH('data '!S$3,#REF!,0))=0,"",INDEX(#REF!,MATCH('data '!$B900,#REF!,0),MATCH('data '!S$3,#REF!,0)))</f>
        <v>#REF!</v>
      </c>
      <c r="T900" s="29" t="e">
        <f>IF(INDEX(#REF!,MATCH('data '!$B900,#REF!,0),MATCH('data '!T$3,#REF!,0))=0,"",INDEX(#REF!,MATCH('data '!$B900,#REF!,0),MATCH('data '!T$3,#REF!,0)))</f>
        <v>#REF!</v>
      </c>
      <c r="V900" s="25" t="s">
        <v>74</v>
      </c>
      <c r="W900" s="25">
        <v>0</v>
      </c>
      <c r="AC900" s="8" t="e">
        <f>VLOOKUP(B900,#REF!,19,0)</f>
        <v>#REF!</v>
      </c>
      <c r="AP900" s="8" t="str">
        <f t="shared" ref="AP900:AP943" si="36">IF(AM900&gt;0,"Tempo Energized",IF(AL900&gt;0,"Tempo Permit Released",IF(AK900&gt;0,"COOP Surveyed",IF(AI900&gt;0,"PO Issued",IF(AG900&gt;0,"PQ Raised",IF(AF900&gt;0,"Vendor Allocated",IF(X900&gt;0,"BP Secured","Not yet endorsed")))))))</f>
        <v>Not yet endorsed</v>
      </c>
      <c r="AQ900" s="10" t="b" cm="1">
        <f t="array" aca="1" ref="AQ900" ca="1">IF(AM900&gt;0,(TODAY()-AM900),IF(AL900&gt;0,(TODAY()-AL900),IF(AK900&gt;0,(TODAY()-AK900,IF(AI900&gt;0,(TODAY()-AI900),IF(AG900&gt;0,(TODAY()-AG900),IF(AF900&gt;0,(TODAY()-AF900),IF(X900&gt;0,(TODAY()-X900)," "))))))))</f>
        <v>0</v>
      </c>
      <c r="BD900" s="2" t="str">
        <f t="shared" ref="BD900:BD943" si="37">IF(BC900&gt;0,"Permanent Energized",IF(BB900&gt;0,"Bill deposit Paid",IF(BA900&gt;0,"Line Construction Completed",IF(AZ900&gt;0,"Line Construction Started",IF(AX900&gt;0,"PO Issued",IF(AV900&gt;0,"PQ Raised",IF(AU900&gt;0,"BoQ Approved",IF(AT900&gt;0,"BoQ Submitted",IF(AF900&gt;0,"Vendor Allocated",IF(X900&gt;0,"BP Secured",IF(U900&gt;0,"TSSR Approved","Not yet endorsed")))))))))))</f>
        <v>Not yet endorsed</v>
      </c>
      <c r="BE900" s="2" t="s">
        <v>75</v>
      </c>
      <c r="BG900" s="2" t="e">
        <v>#N/A</v>
      </c>
    </row>
    <row r="901" spans="2:59" hidden="1" x14ac:dyDescent="0.25">
      <c r="B901" s="2" t="s">
        <v>3860</v>
      </c>
      <c r="C901" s="2" t="s">
        <v>3861</v>
      </c>
      <c r="D901" s="44" t="s">
        <v>3862</v>
      </c>
      <c r="E901" s="2" t="s">
        <v>11</v>
      </c>
      <c r="F901" s="2" t="s">
        <v>591</v>
      </c>
      <c r="G901" s="2" t="s">
        <v>1</v>
      </c>
      <c r="H901" s="2" t="s">
        <v>165</v>
      </c>
      <c r="I901" s="2" t="s">
        <v>68</v>
      </c>
      <c r="J901" s="2" t="s">
        <v>173</v>
      </c>
      <c r="K901" s="2" t="s">
        <v>592</v>
      </c>
      <c r="L901" s="2" t="s">
        <v>593</v>
      </c>
      <c r="M901" s="2">
        <v>0</v>
      </c>
      <c r="N901" s="2">
        <v>0</v>
      </c>
      <c r="O901" s="2">
        <v>0</v>
      </c>
      <c r="P901" s="2" t="s">
        <v>72</v>
      </c>
      <c r="Q901" s="2" t="s">
        <v>73</v>
      </c>
      <c r="R901" s="29" t="e">
        <f>IF(INDEX(#REF!,MATCH('data '!$B901,#REF!,0),MATCH('data '!R$3,#REF!,0))=0,"",INDEX(#REF!,MATCH('data '!$B901,#REF!,0),MATCH('data '!R$3,#REF!,0)))</f>
        <v>#REF!</v>
      </c>
      <c r="S901" s="29" t="e">
        <f>IF(INDEX(#REF!,MATCH('data '!$B901,#REF!,0),MATCH('data '!S$3,#REF!,0))=0,"",INDEX(#REF!,MATCH('data '!$B901,#REF!,0),MATCH('data '!S$3,#REF!,0)))</f>
        <v>#REF!</v>
      </c>
      <c r="T901" s="29" t="e">
        <f>IF(INDEX(#REF!,MATCH('data '!$B901,#REF!,0),MATCH('data '!T$3,#REF!,0))=0,"",INDEX(#REF!,MATCH('data '!$B901,#REF!,0),MATCH('data '!T$3,#REF!,0)))</f>
        <v>#REF!</v>
      </c>
      <c r="V901" s="25" t="s">
        <v>74</v>
      </c>
      <c r="W901" s="25">
        <v>0</v>
      </c>
      <c r="AC901" s="8" t="e">
        <f>VLOOKUP(B901,#REF!,19,0)</f>
        <v>#REF!</v>
      </c>
      <c r="AP901" s="8" t="str">
        <f t="shared" si="36"/>
        <v>Not yet endorsed</v>
      </c>
      <c r="AQ901" s="10" t="b" cm="1">
        <f t="array" aca="1" ref="AQ901" ca="1">IF(AM901&gt;0,(TODAY()-AM901),IF(AL901&gt;0,(TODAY()-AL901),IF(AK901&gt;0,(TODAY()-AK901,IF(AI901&gt;0,(TODAY()-AI901),IF(AG901&gt;0,(TODAY()-AG901),IF(AF901&gt;0,(TODAY()-AF901),IF(X901&gt;0,(TODAY()-X901)," "))))))))</f>
        <v>0</v>
      </c>
      <c r="BD901" s="2" t="str">
        <f t="shared" si="37"/>
        <v>Not yet endorsed</v>
      </c>
      <c r="BE901" s="2" t="s">
        <v>75</v>
      </c>
      <c r="BG901" s="2" t="e">
        <v>#N/A</v>
      </c>
    </row>
    <row r="902" spans="2:59" hidden="1" x14ac:dyDescent="0.25">
      <c r="B902" s="2" t="s">
        <v>3863</v>
      </c>
      <c r="C902" s="2" t="s">
        <v>3864</v>
      </c>
      <c r="D902" s="44" t="s">
        <v>3865</v>
      </c>
      <c r="E902" s="2" t="s">
        <v>11</v>
      </c>
      <c r="F902" s="2" t="s">
        <v>1371</v>
      </c>
      <c r="G902" s="2" t="s">
        <v>1</v>
      </c>
      <c r="H902" s="2" t="s">
        <v>165</v>
      </c>
      <c r="I902" s="2" t="s">
        <v>68</v>
      </c>
      <c r="J902" s="2" t="s">
        <v>69</v>
      </c>
      <c r="K902" s="2" t="s">
        <v>1372</v>
      </c>
      <c r="L902" s="2" t="s">
        <v>1373</v>
      </c>
      <c r="M902" s="2">
        <v>0</v>
      </c>
      <c r="N902" s="2">
        <v>0</v>
      </c>
      <c r="O902" s="2">
        <v>0</v>
      </c>
      <c r="P902" s="2" t="s">
        <v>72</v>
      </c>
      <c r="Q902" s="2" t="s">
        <v>73</v>
      </c>
      <c r="R902" s="29" t="e">
        <f>IF(INDEX(#REF!,MATCH('data '!$B902,#REF!,0),MATCH('data '!R$3,#REF!,0))=0,"",INDEX(#REF!,MATCH('data '!$B902,#REF!,0),MATCH('data '!R$3,#REF!,0)))</f>
        <v>#REF!</v>
      </c>
      <c r="S902" s="29" t="e">
        <f>IF(INDEX(#REF!,MATCH('data '!$B902,#REF!,0),MATCH('data '!S$3,#REF!,0))=0,"",INDEX(#REF!,MATCH('data '!$B902,#REF!,0),MATCH('data '!S$3,#REF!,0)))</f>
        <v>#REF!</v>
      </c>
      <c r="T902" s="29" t="e">
        <f>IF(INDEX(#REF!,MATCH('data '!$B902,#REF!,0),MATCH('data '!T$3,#REF!,0))=0,"",INDEX(#REF!,MATCH('data '!$B902,#REF!,0),MATCH('data '!T$3,#REF!,0)))</f>
        <v>#REF!</v>
      </c>
      <c r="V902" s="25" t="s">
        <v>74</v>
      </c>
      <c r="W902" s="25">
        <v>0</v>
      </c>
      <c r="AC902" s="8" t="e">
        <f>VLOOKUP(B902,#REF!,19,0)</f>
        <v>#REF!</v>
      </c>
      <c r="AP902" s="8" t="str">
        <f t="shared" si="36"/>
        <v>Not yet endorsed</v>
      </c>
      <c r="AQ902" s="10" t="b" cm="1">
        <f t="array" aca="1" ref="AQ902" ca="1">IF(AM902&gt;0,(TODAY()-AM902),IF(AL902&gt;0,(TODAY()-AL902),IF(AK902&gt;0,(TODAY()-AK902,IF(AI902&gt;0,(TODAY()-AI902),IF(AG902&gt;0,(TODAY()-AG902),IF(AF902&gt;0,(TODAY()-AF902),IF(X902&gt;0,(TODAY()-X902)," "))))))))</f>
        <v>0</v>
      </c>
      <c r="BD902" s="2" t="str">
        <f t="shared" si="37"/>
        <v>Not yet endorsed</v>
      </c>
      <c r="BE902" s="2" t="s">
        <v>75</v>
      </c>
      <c r="BG902" s="2" t="e">
        <v>#N/A</v>
      </c>
    </row>
    <row r="903" spans="2:59" hidden="1" x14ac:dyDescent="0.25">
      <c r="B903" s="2" t="s">
        <v>3866</v>
      </c>
      <c r="C903" s="2" t="s">
        <v>3867</v>
      </c>
      <c r="D903" s="44" t="s">
        <v>3868</v>
      </c>
      <c r="E903" s="2" t="s">
        <v>11</v>
      </c>
      <c r="F903" s="2" t="s">
        <v>850</v>
      </c>
      <c r="G903" s="2" t="s">
        <v>1</v>
      </c>
      <c r="H903" s="2" t="s">
        <v>165</v>
      </c>
      <c r="I903" s="2" t="s">
        <v>68</v>
      </c>
      <c r="J903" s="2" t="s">
        <v>173</v>
      </c>
      <c r="K903" s="2" t="s">
        <v>592</v>
      </c>
      <c r="L903" s="2" t="s">
        <v>1459</v>
      </c>
      <c r="M903" s="2">
        <v>0</v>
      </c>
      <c r="N903" s="2">
        <v>0</v>
      </c>
      <c r="O903" s="2">
        <v>0</v>
      </c>
      <c r="P903" s="2" t="s">
        <v>72</v>
      </c>
      <c r="Q903" s="2" t="s">
        <v>73</v>
      </c>
      <c r="R903" s="29" t="e">
        <f>IF(INDEX(#REF!,MATCH('data '!$B903,#REF!,0),MATCH('data '!R$3,#REF!,0))=0,"",INDEX(#REF!,MATCH('data '!$B903,#REF!,0),MATCH('data '!R$3,#REF!,0)))</f>
        <v>#REF!</v>
      </c>
      <c r="S903" s="29" t="e">
        <f>IF(INDEX(#REF!,MATCH('data '!$B903,#REF!,0),MATCH('data '!S$3,#REF!,0))=0,"",INDEX(#REF!,MATCH('data '!$B903,#REF!,0),MATCH('data '!S$3,#REF!,0)))</f>
        <v>#REF!</v>
      </c>
      <c r="T903" s="29" t="e">
        <f>IF(INDEX(#REF!,MATCH('data '!$B903,#REF!,0),MATCH('data '!T$3,#REF!,0))=0,"",INDEX(#REF!,MATCH('data '!$B903,#REF!,0),MATCH('data '!T$3,#REF!,0)))</f>
        <v>#REF!</v>
      </c>
      <c r="V903" s="25" t="s">
        <v>74</v>
      </c>
      <c r="W903" s="25">
        <v>0</v>
      </c>
      <c r="AC903" s="8" t="e">
        <f>VLOOKUP(B903,#REF!,19,0)</f>
        <v>#REF!</v>
      </c>
      <c r="AP903" s="8" t="str">
        <f t="shared" si="36"/>
        <v>Not yet endorsed</v>
      </c>
      <c r="AQ903" s="10" t="b" cm="1">
        <f t="array" aca="1" ref="AQ903" ca="1">IF(AM903&gt;0,(TODAY()-AM903),IF(AL903&gt;0,(TODAY()-AL903),IF(AK903&gt;0,(TODAY()-AK903,IF(AI903&gt;0,(TODAY()-AI903),IF(AG903&gt;0,(TODAY()-AG903),IF(AF903&gt;0,(TODAY()-AF903),IF(X903&gt;0,(TODAY()-X903)," "))))))))</f>
        <v>0</v>
      </c>
      <c r="BD903" s="2" t="str">
        <f t="shared" si="37"/>
        <v>Not yet endorsed</v>
      </c>
      <c r="BE903" s="2" t="s">
        <v>75</v>
      </c>
      <c r="BG903" s="2" t="e">
        <v>#N/A</v>
      </c>
    </row>
    <row r="904" spans="2:59" hidden="1" x14ac:dyDescent="0.25">
      <c r="B904" s="2" t="s">
        <v>3869</v>
      </c>
      <c r="C904" s="2" t="s">
        <v>3870</v>
      </c>
      <c r="D904" s="44" t="s">
        <v>3871</v>
      </c>
      <c r="E904" s="2" t="s">
        <v>11</v>
      </c>
      <c r="F904" s="2" t="s">
        <v>591</v>
      </c>
      <c r="G904" s="2" t="s">
        <v>1</v>
      </c>
      <c r="H904" s="2" t="s">
        <v>165</v>
      </c>
      <c r="I904" s="2" t="s">
        <v>68</v>
      </c>
      <c r="J904" s="2" t="s">
        <v>173</v>
      </c>
      <c r="K904" s="2" t="s">
        <v>592</v>
      </c>
      <c r="L904" s="2" t="s">
        <v>593</v>
      </c>
      <c r="M904" s="2">
        <v>0</v>
      </c>
      <c r="N904" s="2">
        <v>0</v>
      </c>
      <c r="O904" s="2">
        <v>0</v>
      </c>
      <c r="P904" s="2" t="s">
        <v>72</v>
      </c>
      <c r="Q904" s="2" t="s">
        <v>73</v>
      </c>
      <c r="R904" s="29" t="e">
        <f>IF(INDEX(#REF!,MATCH('data '!$B904,#REF!,0),MATCH('data '!R$3,#REF!,0))=0,"",INDEX(#REF!,MATCH('data '!$B904,#REF!,0),MATCH('data '!R$3,#REF!,0)))</f>
        <v>#REF!</v>
      </c>
      <c r="S904" s="29" t="e">
        <f>IF(INDEX(#REF!,MATCH('data '!$B904,#REF!,0),MATCH('data '!S$3,#REF!,0))=0,"",INDEX(#REF!,MATCH('data '!$B904,#REF!,0),MATCH('data '!S$3,#REF!,0)))</f>
        <v>#REF!</v>
      </c>
      <c r="T904" s="29" t="e">
        <f>IF(INDEX(#REF!,MATCH('data '!$B904,#REF!,0),MATCH('data '!T$3,#REF!,0))=0,"",INDEX(#REF!,MATCH('data '!$B904,#REF!,0),MATCH('data '!T$3,#REF!,0)))</f>
        <v>#REF!</v>
      </c>
      <c r="V904" s="25" t="s">
        <v>74</v>
      </c>
      <c r="W904" s="25">
        <v>0</v>
      </c>
      <c r="AC904" s="8" t="e">
        <f>VLOOKUP(B904,#REF!,19,0)</f>
        <v>#REF!</v>
      </c>
      <c r="AP904" s="8" t="str">
        <f t="shared" si="36"/>
        <v>Not yet endorsed</v>
      </c>
      <c r="AQ904" s="10" t="b" cm="1">
        <f t="array" aca="1" ref="AQ904" ca="1">IF(AM904&gt;0,(TODAY()-AM904),IF(AL904&gt;0,(TODAY()-AL904),IF(AK904&gt;0,(TODAY()-AK904,IF(AI904&gt;0,(TODAY()-AI904),IF(AG904&gt;0,(TODAY()-AG904),IF(AF904&gt;0,(TODAY()-AF904),IF(X904&gt;0,(TODAY()-X904)," "))))))))</f>
        <v>0</v>
      </c>
      <c r="BD904" s="2" t="str">
        <f t="shared" si="37"/>
        <v>Not yet endorsed</v>
      </c>
      <c r="BE904" s="2" t="s">
        <v>75</v>
      </c>
      <c r="BG904" s="2" t="e">
        <v>#N/A</v>
      </c>
    </row>
    <row r="905" spans="2:59" hidden="1" x14ac:dyDescent="0.25">
      <c r="B905" s="2" t="s">
        <v>3872</v>
      </c>
      <c r="C905" s="2" t="s">
        <v>3873</v>
      </c>
      <c r="D905" s="44" t="s">
        <v>3874</v>
      </c>
      <c r="E905" s="2" t="s">
        <v>11</v>
      </c>
      <c r="F905" s="2" t="s">
        <v>591</v>
      </c>
      <c r="G905" s="2" t="s">
        <v>1</v>
      </c>
      <c r="H905" s="2" t="s">
        <v>165</v>
      </c>
      <c r="I905" s="2" t="s">
        <v>68</v>
      </c>
      <c r="J905" s="2" t="s">
        <v>173</v>
      </c>
      <c r="K905" s="2" t="s">
        <v>592</v>
      </c>
      <c r="L905" s="2" t="s">
        <v>593</v>
      </c>
      <c r="M905" s="2">
        <v>0</v>
      </c>
      <c r="N905" s="2">
        <v>0</v>
      </c>
      <c r="O905" s="2">
        <v>0</v>
      </c>
      <c r="P905" s="2" t="s">
        <v>72</v>
      </c>
      <c r="Q905" s="2" t="s">
        <v>73</v>
      </c>
      <c r="R905" s="29" t="e">
        <f>IF(INDEX(#REF!,MATCH('data '!$B905,#REF!,0),MATCH('data '!R$3,#REF!,0))=0,"",INDEX(#REF!,MATCH('data '!$B905,#REF!,0),MATCH('data '!R$3,#REF!,0)))</f>
        <v>#REF!</v>
      </c>
      <c r="S905" s="29" t="e">
        <f>IF(INDEX(#REF!,MATCH('data '!$B905,#REF!,0),MATCH('data '!S$3,#REF!,0))=0,"",INDEX(#REF!,MATCH('data '!$B905,#REF!,0),MATCH('data '!S$3,#REF!,0)))</f>
        <v>#REF!</v>
      </c>
      <c r="T905" s="29" t="e">
        <f>IF(INDEX(#REF!,MATCH('data '!$B905,#REF!,0),MATCH('data '!T$3,#REF!,0))=0,"",INDEX(#REF!,MATCH('data '!$B905,#REF!,0),MATCH('data '!T$3,#REF!,0)))</f>
        <v>#REF!</v>
      </c>
      <c r="V905" s="25" t="s">
        <v>74</v>
      </c>
      <c r="W905" s="25">
        <v>0</v>
      </c>
      <c r="AC905" s="8" t="e">
        <f>VLOOKUP(B905,#REF!,19,0)</f>
        <v>#REF!</v>
      </c>
      <c r="AP905" s="8" t="str">
        <f t="shared" si="36"/>
        <v>Not yet endorsed</v>
      </c>
      <c r="AQ905" s="10" t="b" cm="1">
        <f t="array" aca="1" ref="AQ905" ca="1">IF(AM905&gt;0,(TODAY()-AM905),IF(AL905&gt;0,(TODAY()-AL905),IF(AK905&gt;0,(TODAY()-AK905,IF(AI905&gt;0,(TODAY()-AI905),IF(AG905&gt;0,(TODAY()-AG905),IF(AF905&gt;0,(TODAY()-AF905),IF(X905&gt;0,(TODAY()-X905)," "))))))))</f>
        <v>0</v>
      </c>
      <c r="BD905" s="2" t="str">
        <f t="shared" si="37"/>
        <v>Not yet endorsed</v>
      </c>
      <c r="BE905" s="2" t="s">
        <v>75</v>
      </c>
      <c r="BG905" s="2" t="e">
        <v>#N/A</v>
      </c>
    </row>
    <row r="906" spans="2:59" hidden="1" x14ac:dyDescent="0.25">
      <c r="B906" s="2" t="s">
        <v>3875</v>
      </c>
      <c r="C906" s="2" t="s">
        <v>3876</v>
      </c>
      <c r="D906" s="44" t="s">
        <v>3877</v>
      </c>
      <c r="E906" s="2" t="s">
        <v>11</v>
      </c>
      <c r="F906" s="2" t="s">
        <v>180</v>
      </c>
      <c r="G906" s="2" t="s">
        <v>1</v>
      </c>
      <c r="H906" s="2" t="s">
        <v>165</v>
      </c>
      <c r="I906" s="2" t="s">
        <v>68</v>
      </c>
      <c r="J906" s="2" t="s">
        <v>181</v>
      </c>
      <c r="K906" s="2" t="s">
        <v>182</v>
      </c>
      <c r="L906" s="2" t="s">
        <v>183</v>
      </c>
      <c r="M906" s="2">
        <v>0</v>
      </c>
      <c r="N906" s="2">
        <v>0</v>
      </c>
      <c r="O906" s="2">
        <v>0</v>
      </c>
      <c r="P906" s="2" t="s">
        <v>72</v>
      </c>
      <c r="Q906" s="2" t="s">
        <v>73</v>
      </c>
      <c r="R906" s="29" t="e">
        <f>IF(INDEX(#REF!,MATCH('data '!$B906,#REF!,0),MATCH('data '!R$3,#REF!,0))=0,"",INDEX(#REF!,MATCH('data '!$B906,#REF!,0),MATCH('data '!R$3,#REF!,0)))</f>
        <v>#REF!</v>
      </c>
      <c r="S906" s="29" t="e">
        <f>IF(INDEX(#REF!,MATCH('data '!$B906,#REF!,0),MATCH('data '!S$3,#REF!,0))=0,"",INDEX(#REF!,MATCH('data '!$B906,#REF!,0),MATCH('data '!S$3,#REF!,0)))</f>
        <v>#REF!</v>
      </c>
      <c r="T906" s="29" t="e">
        <f>IF(INDEX(#REF!,MATCH('data '!$B906,#REF!,0),MATCH('data '!T$3,#REF!,0))=0,"",INDEX(#REF!,MATCH('data '!$B906,#REF!,0),MATCH('data '!T$3,#REF!,0)))</f>
        <v>#REF!</v>
      </c>
      <c r="V906" s="25" t="s">
        <v>74</v>
      </c>
      <c r="W906" s="25">
        <v>0</v>
      </c>
      <c r="AC906" s="8" t="e">
        <f>VLOOKUP(B906,#REF!,19,0)</f>
        <v>#REF!</v>
      </c>
      <c r="AP906" s="8" t="str">
        <f t="shared" si="36"/>
        <v>Not yet endorsed</v>
      </c>
      <c r="AQ906" s="10" t="b" cm="1">
        <f t="array" aca="1" ref="AQ906" ca="1">IF(AM906&gt;0,(TODAY()-AM906),IF(AL906&gt;0,(TODAY()-AL906),IF(AK906&gt;0,(TODAY()-AK906,IF(AI906&gt;0,(TODAY()-AI906),IF(AG906&gt;0,(TODAY()-AG906),IF(AF906&gt;0,(TODAY()-AF906),IF(X906&gt;0,(TODAY()-X906)," "))))))))</f>
        <v>0</v>
      </c>
      <c r="BD906" s="2" t="str">
        <f t="shared" si="37"/>
        <v>Not yet endorsed</v>
      </c>
      <c r="BE906" s="2" t="s">
        <v>75</v>
      </c>
      <c r="BG906" s="2" t="e">
        <v>#N/A</v>
      </c>
    </row>
    <row r="907" spans="2:59" hidden="1" x14ac:dyDescent="0.25">
      <c r="B907" s="2" t="s">
        <v>3878</v>
      </c>
      <c r="C907" s="2" t="s">
        <v>3879</v>
      </c>
      <c r="D907" s="44" t="s">
        <v>3880</v>
      </c>
      <c r="E907" s="2" t="s">
        <v>11</v>
      </c>
      <c r="F907" s="2" t="s">
        <v>1268</v>
      </c>
      <c r="G907" s="2" t="s">
        <v>1</v>
      </c>
      <c r="H907" s="2" t="s">
        <v>165</v>
      </c>
      <c r="I907" s="2" t="s">
        <v>68</v>
      </c>
      <c r="J907" s="2" t="s">
        <v>173</v>
      </c>
      <c r="K907" s="2" t="s">
        <v>303</v>
      </c>
      <c r="L907" s="2" t="s">
        <v>3102</v>
      </c>
      <c r="M907" s="2">
        <v>0</v>
      </c>
      <c r="N907" s="2">
        <v>0</v>
      </c>
      <c r="O907" s="2">
        <v>0</v>
      </c>
      <c r="P907" s="2" t="s">
        <v>72</v>
      </c>
      <c r="Q907" s="2" t="s">
        <v>73</v>
      </c>
      <c r="R907" s="29" t="e">
        <f>IF(INDEX(#REF!,MATCH('data '!$B907,#REF!,0),MATCH('data '!R$3,#REF!,0))=0,"",INDEX(#REF!,MATCH('data '!$B907,#REF!,0),MATCH('data '!R$3,#REF!,0)))</f>
        <v>#REF!</v>
      </c>
      <c r="S907" s="29" t="e">
        <f>IF(INDEX(#REF!,MATCH('data '!$B907,#REF!,0),MATCH('data '!S$3,#REF!,0))=0,"",INDEX(#REF!,MATCH('data '!$B907,#REF!,0),MATCH('data '!S$3,#REF!,0)))</f>
        <v>#REF!</v>
      </c>
      <c r="T907" s="29" t="e">
        <f>IF(INDEX(#REF!,MATCH('data '!$B907,#REF!,0),MATCH('data '!T$3,#REF!,0))=0,"",INDEX(#REF!,MATCH('data '!$B907,#REF!,0),MATCH('data '!T$3,#REF!,0)))</f>
        <v>#REF!</v>
      </c>
      <c r="V907" s="25" t="s">
        <v>74</v>
      </c>
      <c r="W907" s="25">
        <v>0</v>
      </c>
      <c r="AC907" s="8" t="e">
        <f>VLOOKUP(B907,#REF!,19,0)</f>
        <v>#REF!</v>
      </c>
      <c r="AP907" s="8" t="str">
        <f t="shared" si="36"/>
        <v>Not yet endorsed</v>
      </c>
      <c r="AQ907" s="10" t="b" cm="1">
        <f t="array" aca="1" ref="AQ907" ca="1">IF(AM907&gt;0,(TODAY()-AM907),IF(AL907&gt;0,(TODAY()-AL907),IF(AK907&gt;0,(TODAY()-AK907,IF(AI907&gt;0,(TODAY()-AI907),IF(AG907&gt;0,(TODAY()-AG907),IF(AF907&gt;0,(TODAY()-AF907),IF(X907&gt;0,(TODAY()-X907)," "))))))))</f>
        <v>0</v>
      </c>
      <c r="BD907" s="2" t="str">
        <f t="shared" si="37"/>
        <v>Not yet endorsed</v>
      </c>
      <c r="BE907" s="2" t="s">
        <v>75</v>
      </c>
      <c r="BG907" s="2" t="e">
        <v>#N/A</v>
      </c>
    </row>
    <row r="908" spans="2:59" hidden="1" x14ac:dyDescent="0.25">
      <c r="B908" s="2" t="s">
        <v>3881</v>
      </c>
      <c r="C908" s="2" t="s">
        <v>3882</v>
      </c>
      <c r="D908" s="44" t="s">
        <v>3883</v>
      </c>
      <c r="E908" s="2" t="s">
        <v>11</v>
      </c>
      <c r="F908" s="2" t="s">
        <v>696</v>
      </c>
      <c r="G908" s="2" t="s">
        <v>1</v>
      </c>
      <c r="H908" s="2" t="s">
        <v>165</v>
      </c>
      <c r="I908" s="2" t="s">
        <v>68</v>
      </c>
      <c r="J908" s="2" t="s">
        <v>181</v>
      </c>
      <c r="K908" s="2" t="s">
        <v>697</v>
      </c>
      <c r="L908" s="2" t="s">
        <v>698</v>
      </c>
      <c r="M908" s="2">
        <v>0</v>
      </c>
      <c r="N908" s="2">
        <v>0</v>
      </c>
      <c r="O908" s="2">
        <v>0</v>
      </c>
      <c r="P908" s="2" t="s">
        <v>72</v>
      </c>
      <c r="Q908" s="2" t="s">
        <v>73</v>
      </c>
      <c r="R908" s="29" t="e">
        <f>IF(INDEX(#REF!,MATCH('data '!$B908,#REF!,0),MATCH('data '!R$3,#REF!,0))=0,"",INDEX(#REF!,MATCH('data '!$B908,#REF!,0),MATCH('data '!R$3,#REF!,0)))</f>
        <v>#REF!</v>
      </c>
      <c r="S908" s="29" t="e">
        <f>IF(INDEX(#REF!,MATCH('data '!$B908,#REF!,0),MATCH('data '!S$3,#REF!,0))=0,"",INDEX(#REF!,MATCH('data '!$B908,#REF!,0),MATCH('data '!S$3,#REF!,0)))</f>
        <v>#REF!</v>
      </c>
      <c r="T908" s="29" t="e">
        <f>IF(INDEX(#REF!,MATCH('data '!$B908,#REF!,0),MATCH('data '!T$3,#REF!,0))=0,"",INDEX(#REF!,MATCH('data '!$B908,#REF!,0),MATCH('data '!T$3,#REF!,0)))</f>
        <v>#REF!</v>
      </c>
      <c r="V908" s="25" t="s">
        <v>74</v>
      </c>
      <c r="W908" s="25">
        <v>0</v>
      </c>
      <c r="AC908" s="8" t="e">
        <f>VLOOKUP(B908,#REF!,19,0)</f>
        <v>#REF!</v>
      </c>
      <c r="AP908" s="8" t="str">
        <f t="shared" si="36"/>
        <v>Not yet endorsed</v>
      </c>
      <c r="AQ908" s="10" t="b" cm="1">
        <f t="array" aca="1" ref="AQ908" ca="1">IF(AM908&gt;0,(TODAY()-AM908),IF(AL908&gt;0,(TODAY()-AL908),IF(AK908&gt;0,(TODAY()-AK908,IF(AI908&gt;0,(TODAY()-AI908),IF(AG908&gt;0,(TODAY()-AG908),IF(AF908&gt;0,(TODAY()-AF908),IF(X908&gt;0,(TODAY()-X908)," "))))))))</f>
        <v>0</v>
      </c>
      <c r="BD908" s="2" t="str">
        <f t="shared" si="37"/>
        <v>Not yet endorsed</v>
      </c>
      <c r="BE908" s="2" t="s">
        <v>75</v>
      </c>
      <c r="BG908" s="2" t="e">
        <v>#N/A</v>
      </c>
    </row>
    <row r="909" spans="2:59" hidden="1" x14ac:dyDescent="0.25">
      <c r="B909" s="2" t="s">
        <v>3884</v>
      </c>
      <c r="C909" s="2" t="s">
        <v>3885</v>
      </c>
      <c r="D909" s="44" t="s">
        <v>3886</v>
      </c>
      <c r="E909" s="2" t="s">
        <v>11</v>
      </c>
      <c r="F909" s="2" t="s">
        <v>869</v>
      </c>
      <c r="G909" s="2" t="s">
        <v>1</v>
      </c>
      <c r="H909" s="2" t="s">
        <v>165</v>
      </c>
      <c r="I909" s="2" t="s">
        <v>68</v>
      </c>
      <c r="J909" s="2" t="s">
        <v>181</v>
      </c>
      <c r="K909" s="2" t="s">
        <v>870</v>
      </c>
      <c r="L909" s="2" t="s">
        <v>3887</v>
      </c>
      <c r="M909" s="2">
        <v>0</v>
      </c>
      <c r="N909" s="2">
        <v>0</v>
      </c>
      <c r="O909" s="2">
        <v>0</v>
      </c>
      <c r="P909" s="2" t="s">
        <v>72</v>
      </c>
      <c r="Q909" s="2" t="s">
        <v>73</v>
      </c>
      <c r="R909" s="29" t="e">
        <f>IF(INDEX(#REF!,MATCH('data '!$B909,#REF!,0),MATCH('data '!R$3,#REF!,0))=0,"",INDEX(#REF!,MATCH('data '!$B909,#REF!,0),MATCH('data '!R$3,#REF!,0)))</f>
        <v>#REF!</v>
      </c>
      <c r="S909" s="29" t="e">
        <f>IF(INDEX(#REF!,MATCH('data '!$B909,#REF!,0),MATCH('data '!S$3,#REF!,0))=0,"",INDEX(#REF!,MATCH('data '!$B909,#REF!,0),MATCH('data '!S$3,#REF!,0)))</f>
        <v>#REF!</v>
      </c>
      <c r="T909" s="29" t="e">
        <f>IF(INDEX(#REF!,MATCH('data '!$B909,#REF!,0),MATCH('data '!T$3,#REF!,0))=0,"",INDEX(#REF!,MATCH('data '!$B909,#REF!,0),MATCH('data '!T$3,#REF!,0)))</f>
        <v>#REF!</v>
      </c>
      <c r="V909" s="25" t="s">
        <v>74</v>
      </c>
      <c r="W909" s="25">
        <v>0</v>
      </c>
      <c r="AC909" s="8" t="e">
        <f>VLOOKUP(B909,#REF!,19,0)</f>
        <v>#REF!</v>
      </c>
      <c r="AP909" s="8" t="str">
        <f t="shared" si="36"/>
        <v>Not yet endorsed</v>
      </c>
      <c r="AQ909" s="10" t="b" cm="1">
        <f t="array" aca="1" ref="AQ909" ca="1">IF(AM909&gt;0,(TODAY()-AM909),IF(AL909&gt;0,(TODAY()-AL909),IF(AK909&gt;0,(TODAY()-AK909,IF(AI909&gt;0,(TODAY()-AI909),IF(AG909&gt;0,(TODAY()-AG909),IF(AF909&gt;0,(TODAY()-AF909),IF(X909&gt;0,(TODAY()-X909)," "))))))))</f>
        <v>0</v>
      </c>
      <c r="BD909" s="2" t="str">
        <f t="shared" si="37"/>
        <v>Not yet endorsed</v>
      </c>
      <c r="BE909" s="2" t="s">
        <v>75</v>
      </c>
      <c r="BG909" s="2" t="e">
        <v>#N/A</v>
      </c>
    </row>
    <row r="910" spans="2:59" hidden="1" x14ac:dyDescent="0.25">
      <c r="B910" s="2" t="s">
        <v>3888</v>
      </c>
      <c r="C910" s="2" t="s">
        <v>3889</v>
      </c>
      <c r="D910" s="44" t="s">
        <v>3890</v>
      </c>
      <c r="E910" s="2" t="s">
        <v>11</v>
      </c>
      <c r="F910" s="2" t="s">
        <v>869</v>
      </c>
      <c r="G910" s="2" t="s">
        <v>1</v>
      </c>
      <c r="H910" s="2" t="s">
        <v>165</v>
      </c>
      <c r="I910" s="2" t="s">
        <v>68</v>
      </c>
      <c r="J910" s="2" t="s">
        <v>181</v>
      </c>
      <c r="K910" s="2" t="s">
        <v>870</v>
      </c>
      <c r="L910" s="2" t="s">
        <v>3891</v>
      </c>
      <c r="M910" s="2">
        <v>0</v>
      </c>
      <c r="N910" s="2">
        <v>0</v>
      </c>
      <c r="O910" s="2">
        <v>0</v>
      </c>
      <c r="P910" s="2" t="s">
        <v>72</v>
      </c>
      <c r="Q910" s="2" t="s">
        <v>73</v>
      </c>
      <c r="R910" s="29" t="e">
        <f>IF(INDEX(#REF!,MATCH('data '!$B910,#REF!,0),MATCH('data '!R$3,#REF!,0))=0,"",INDEX(#REF!,MATCH('data '!$B910,#REF!,0),MATCH('data '!R$3,#REF!,0)))</f>
        <v>#REF!</v>
      </c>
      <c r="S910" s="29" t="e">
        <f>IF(INDEX(#REF!,MATCH('data '!$B910,#REF!,0),MATCH('data '!S$3,#REF!,0))=0,"",INDEX(#REF!,MATCH('data '!$B910,#REF!,0),MATCH('data '!S$3,#REF!,0)))</f>
        <v>#REF!</v>
      </c>
      <c r="T910" s="29" t="e">
        <f>IF(INDEX(#REF!,MATCH('data '!$B910,#REF!,0),MATCH('data '!T$3,#REF!,0))=0,"",INDEX(#REF!,MATCH('data '!$B910,#REF!,0),MATCH('data '!T$3,#REF!,0)))</f>
        <v>#REF!</v>
      </c>
      <c r="V910" s="25" t="s">
        <v>74</v>
      </c>
      <c r="W910" s="25">
        <v>0</v>
      </c>
      <c r="AC910" s="8" t="e">
        <f>VLOOKUP(B910,#REF!,19,0)</f>
        <v>#REF!</v>
      </c>
      <c r="AP910" s="8" t="str">
        <f t="shared" si="36"/>
        <v>Not yet endorsed</v>
      </c>
      <c r="AQ910" s="10" t="b" cm="1">
        <f t="array" aca="1" ref="AQ910" ca="1">IF(AM910&gt;0,(TODAY()-AM910),IF(AL910&gt;0,(TODAY()-AL910),IF(AK910&gt;0,(TODAY()-AK910,IF(AI910&gt;0,(TODAY()-AI910),IF(AG910&gt;0,(TODAY()-AG910),IF(AF910&gt;0,(TODAY()-AF910),IF(X910&gt;0,(TODAY()-X910)," "))))))))</f>
        <v>0</v>
      </c>
      <c r="BD910" s="2" t="str">
        <f t="shared" si="37"/>
        <v>Not yet endorsed</v>
      </c>
      <c r="BE910" s="2" t="s">
        <v>75</v>
      </c>
      <c r="BG910" s="2" t="e">
        <v>#N/A</v>
      </c>
    </row>
    <row r="911" spans="2:59" hidden="1" x14ac:dyDescent="0.25">
      <c r="B911" s="2" t="s">
        <v>3892</v>
      </c>
      <c r="C911" s="2" t="s">
        <v>3893</v>
      </c>
      <c r="D911" s="44" t="s">
        <v>3894</v>
      </c>
      <c r="E911" s="2" t="s">
        <v>11</v>
      </c>
      <c r="F911" s="2" t="s">
        <v>2979</v>
      </c>
      <c r="G911" s="2" t="s">
        <v>1</v>
      </c>
      <c r="H911" s="2" t="s">
        <v>165</v>
      </c>
      <c r="I911" s="2" t="s">
        <v>68</v>
      </c>
      <c r="J911" s="2" t="s">
        <v>239</v>
      </c>
      <c r="K911" s="2" t="s">
        <v>240</v>
      </c>
      <c r="L911" s="2" t="s">
        <v>3006</v>
      </c>
      <c r="M911" s="2">
        <v>0</v>
      </c>
      <c r="N911" s="2">
        <v>0</v>
      </c>
      <c r="O911" s="2">
        <v>0</v>
      </c>
      <c r="P911" s="2" t="s">
        <v>72</v>
      </c>
      <c r="Q911" s="2" t="s">
        <v>73</v>
      </c>
      <c r="R911" s="29" t="e">
        <f>IF(INDEX(#REF!,MATCH('data '!$B911,#REF!,0),MATCH('data '!R$3,#REF!,0))=0,"",INDEX(#REF!,MATCH('data '!$B911,#REF!,0),MATCH('data '!R$3,#REF!,0)))</f>
        <v>#REF!</v>
      </c>
      <c r="S911" s="29" t="e">
        <f>IF(INDEX(#REF!,MATCH('data '!$B911,#REF!,0),MATCH('data '!S$3,#REF!,0))=0,"",INDEX(#REF!,MATCH('data '!$B911,#REF!,0),MATCH('data '!S$3,#REF!,0)))</f>
        <v>#REF!</v>
      </c>
      <c r="T911" s="29" t="e">
        <f>IF(INDEX(#REF!,MATCH('data '!$B911,#REF!,0),MATCH('data '!T$3,#REF!,0))=0,"",INDEX(#REF!,MATCH('data '!$B911,#REF!,0),MATCH('data '!T$3,#REF!,0)))</f>
        <v>#REF!</v>
      </c>
      <c r="V911" s="25" t="s">
        <v>74</v>
      </c>
      <c r="W911" s="25">
        <v>0</v>
      </c>
      <c r="AC911" s="8" t="e">
        <f>VLOOKUP(B911,#REF!,19,0)</f>
        <v>#REF!</v>
      </c>
      <c r="AP911" s="8" t="str">
        <f t="shared" si="36"/>
        <v>Not yet endorsed</v>
      </c>
      <c r="AQ911" s="10" t="b" cm="1">
        <f t="array" aca="1" ref="AQ911" ca="1">IF(AM911&gt;0,(TODAY()-AM911),IF(AL911&gt;0,(TODAY()-AL911),IF(AK911&gt;0,(TODAY()-AK911,IF(AI911&gt;0,(TODAY()-AI911),IF(AG911&gt;0,(TODAY()-AG911),IF(AF911&gt;0,(TODAY()-AF911),IF(X911&gt;0,(TODAY()-X911)," "))))))))</f>
        <v>0</v>
      </c>
      <c r="BD911" s="2" t="str">
        <f t="shared" si="37"/>
        <v>Not yet endorsed</v>
      </c>
      <c r="BE911" s="2" t="s">
        <v>75</v>
      </c>
      <c r="BG911" s="2" t="e">
        <v>#N/A</v>
      </c>
    </row>
    <row r="912" spans="2:59" hidden="1" x14ac:dyDescent="0.25">
      <c r="B912" s="2" t="s">
        <v>3895</v>
      </c>
      <c r="C912" s="2" t="s">
        <v>3896</v>
      </c>
      <c r="D912" s="44" t="s">
        <v>3897</v>
      </c>
      <c r="E912" s="2" t="s">
        <v>11</v>
      </c>
      <c r="F912" s="2" t="s">
        <v>302</v>
      </c>
      <c r="G912" s="2" t="s">
        <v>1</v>
      </c>
      <c r="H912" s="2" t="s">
        <v>165</v>
      </c>
      <c r="I912" s="2" t="s">
        <v>68</v>
      </c>
      <c r="J912" s="2" t="s">
        <v>173</v>
      </c>
      <c r="K912" s="2" t="s">
        <v>303</v>
      </c>
      <c r="L912" s="2" t="s">
        <v>3898</v>
      </c>
      <c r="M912" s="2">
        <v>0</v>
      </c>
      <c r="N912" s="2">
        <v>0</v>
      </c>
      <c r="O912" s="2">
        <v>0</v>
      </c>
      <c r="P912" s="2" t="s">
        <v>72</v>
      </c>
      <c r="Q912" s="2" t="s">
        <v>73</v>
      </c>
      <c r="R912" s="29" t="e">
        <f>IF(INDEX(#REF!,MATCH('data '!$B912,#REF!,0),MATCH('data '!R$3,#REF!,0))=0,"",INDEX(#REF!,MATCH('data '!$B912,#REF!,0),MATCH('data '!R$3,#REF!,0)))</f>
        <v>#REF!</v>
      </c>
      <c r="S912" s="29" t="e">
        <f>IF(INDEX(#REF!,MATCH('data '!$B912,#REF!,0),MATCH('data '!S$3,#REF!,0))=0,"",INDEX(#REF!,MATCH('data '!$B912,#REF!,0),MATCH('data '!S$3,#REF!,0)))</f>
        <v>#REF!</v>
      </c>
      <c r="T912" s="29" t="e">
        <f>IF(INDEX(#REF!,MATCH('data '!$B912,#REF!,0),MATCH('data '!T$3,#REF!,0))=0,"",INDEX(#REF!,MATCH('data '!$B912,#REF!,0),MATCH('data '!T$3,#REF!,0)))</f>
        <v>#REF!</v>
      </c>
      <c r="V912" s="25" t="s">
        <v>74</v>
      </c>
      <c r="W912" s="25">
        <v>0</v>
      </c>
      <c r="AC912" s="8" t="e">
        <f>VLOOKUP(B912,#REF!,19,0)</f>
        <v>#REF!</v>
      </c>
      <c r="AP912" s="8" t="str">
        <f t="shared" si="36"/>
        <v>Not yet endorsed</v>
      </c>
      <c r="AQ912" s="10" t="b" cm="1">
        <f t="array" aca="1" ref="AQ912" ca="1">IF(AM912&gt;0,(TODAY()-AM912),IF(AL912&gt;0,(TODAY()-AL912),IF(AK912&gt;0,(TODAY()-AK912,IF(AI912&gt;0,(TODAY()-AI912),IF(AG912&gt;0,(TODAY()-AG912),IF(AF912&gt;0,(TODAY()-AF912),IF(X912&gt;0,(TODAY()-X912)," "))))))))</f>
        <v>0</v>
      </c>
      <c r="BD912" s="2" t="str">
        <f t="shared" si="37"/>
        <v>Not yet endorsed</v>
      </c>
      <c r="BE912" s="2" t="s">
        <v>75</v>
      </c>
      <c r="BG912" s="2" t="e">
        <v>#N/A</v>
      </c>
    </row>
    <row r="913" spans="2:59" hidden="1" x14ac:dyDescent="0.25">
      <c r="B913" s="2" t="s">
        <v>3899</v>
      </c>
      <c r="C913" s="2" t="s">
        <v>3900</v>
      </c>
      <c r="D913" s="44" t="s">
        <v>3901</v>
      </c>
      <c r="E913" s="2" t="s">
        <v>11</v>
      </c>
      <c r="F913" s="2" t="s">
        <v>1268</v>
      </c>
      <c r="G913" s="2" t="s">
        <v>1</v>
      </c>
      <c r="H913" s="2" t="s">
        <v>165</v>
      </c>
      <c r="I913" s="2" t="s">
        <v>68</v>
      </c>
      <c r="J913" s="2" t="s">
        <v>173</v>
      </c>
      <c r="K913" s="2" t="s">
        <v>303</v>
      </c>
      <c r="L913" s="2" t="s">
        <v>3902</v>
      </c>
      <c r="M913" s="2">
        <v>0</v>
      </c>
      <c r="N913" s="2">
        <v>0</v>
      </c>
      <c r="O913" s="2">
        <v>0</v>
      </c>
      <c r="P913" s="2" t="s">
        <v>72</v>
      </c>
      <c r="Q913" s="2" t="s">
        <v>73</v>
      </c>
      <c r="R913" s="29" t="e">
        <f>IF(INDEX(#REF!,MATCH('data '!$B913,#REF!,0),MATCH('data '!R$3,#REF!,0))=0,"",INDEX(#REF!,MATCH('data '!$B913,#REF!,0),MATCH('data '!R$3,#REF!,0)))</f>
        <v>#REF!</v>
      </c>
      <c r="S913" s="29" t="e">
        <f>IF(INDEX(#REF!,MATCH('data '!$B913,#REF!,0),MATCH('data '!S$3,#REF!,0))=0,"",INDEX(#REF!,MATCH('data '!$B913,#REF!,0),MATCH('data '!S$3,#REF!,0)))</f>
        <v>#REF!</v>
      </c>
      <c r="T913" s="29" t="e">
        <f>IF(INDEX(#REF!,MATCH('data '!$B913,#REF!,0),MATCH('data '!T$3,#REF!,0))=0,"",INDEX(#REF!,MATCH('data '!$B913,#REF!,0),MATCH('data '!T$3,#REF!,0)))</f>
        <v>#REF!</v>
      </c>
      <c r="V913" s="25" t="s">
        <v>74</v>
      </c>
      <c r="W913" s="25">
        <v>0</v>
      </c>
      <c r="AC913" s="8" t="e">
        <f>VLOOKUP(B913,#REF!,19,0)</f>
        <v>#REF!</v>
      </c>
      <c r="AP913" s="8" t="str">
        <f t="shared" si="36"/>
        <v>Not yet endorsed</v>
      </c>
      <c r="AQ913" s="10" t="b" cm="1">
        <f t="array" aca="1" ref="AQ913" ca="1">IF(AM913&gt;0,(TODAY()-AM913),IF(AL913&gt;0,(TODAY()-AL913),IF(AK913&gt;0,(TODAY()-AK913,IF(AI913&gt;0,(TODAY()-AI913),IF(AG913&gt;0,(TODAY()-AG913),IF(AF913&gt;0,(TODAY()-AF913),IF(X913&gt;0,(TODAY()-X913)," "))))))))</f>
        <v>0</v>
      </c>
      <c r="BD913" s="2" t="str">
        <f t="shared" si="37"/>
        <v>Not yet endorsed</v>
      </c>
      <c r="BE913" s="2" t="s">
        <v>75</v>
      </c>
      <c r="BG913" s="2" t="e">
        <v>#N/A</v>
      </c>
    </row>
    <row r="914" spans="2:59" hidden="1" x14ac:dyDescent="0.25">
      <c r="B914" s="2" t="s">
        <v>3903</v>
      </c>
      <c r="C914" s="2" t="s">
        <v>3904</v>
      </c>
      <c r="D914" s="44" t="s">
        <v>3905</v>
      </c>
      <c r="E914" s="2" t="s">
        <v>11</v>
      </c>
      <c r="F914" s="2" t="s">
        <v>238</v>
      </c>
      <c r="G914" s="2" t="s">
        <v>1</v>
      </c>
      <c r="H914" s="2" t="s">
        <v>165</v>
      </c>
      <c r="I914" s="2" t="s">
        <v>68</v>
      </c>
      <c r="J914" s="2" t="s">
        <v>239</v>
      </c>
      <c r="K914" s="2" t="s">
        <v>240</v>
      </c>
      <c r="L914" s="2" t="s">
        <v>241</v>
      </c>
      <c r="M914" s="2">
        <v>0</v>
      </c>
      <c r="N914" s="2">
        <v>0</v>
      </c>
      <c r="O914" s="2">
        <v>0</v>
      </c>
      <c r="P914" s="2" t="s">
        <v>72</v>
      </c>
      <c r="Q914" s="2" t="s">
        <v>73</v>
      </c>
      <c r="R914" s="29" t="e">
        <f>IF(INDEX(#REF!,MATCH('data '!$B914,#REF!,0),MATCH('data '!R$3,#REF!,0))=0,"",INDEX(#REF!,MATCH('data '!$B914,#REF!,0),MATCH('data '!R$3,#REF!,0)))</f>
        <v>#REF!</v>
      </c>
      <c r="S914" s="29" t="e">
        <f>IF(INDEX(#REF!,MATCH('data '!$B914,#REF!,0),MATCH('data '!S$3,#REF!,0))=0,"",INDEX(#REF!,MATCH('data '!$B914,#REF!,0),MATCH('data '!S$3,#REF!,0)))</f>
        <v>#REF!</v>
      </c>
      <c r="T914" s="29" t="e">
        <f>IF(INDEX(#REF!,MATCH('data '!$B914,#REF!,0),MATCH('data '!T$3,#REF!,0))=0,"",INDEX(#REF!,MATCH('data '!$B914,#REF!,0),MATCH('data '!T$3,#REF!,0)))</f>
        <v>#REF!</v>
      </c>
      <c r="V914" s="25" t="s">
        <v>74</v>
      </c>
      <c r="W914" s="25">
        <v>0</v>
      </c>
      <c r="AC914" s="8" t="e">
        <f>VLOOKUP(B914,#REF!,19,0)</f>
        <v>#REF!</v>
      </c>
      <c r="AP914" s="8" t="str">
        <f t="shared" si="36"/>
        <v>Not yet endorsed</v>
      </c>
      <c r="AQ914" s="10" t="b" cm="1">
        <f t="array" aca="1" ref="AQ914" ca="1">IF(AM914&gt;0,(TODAY()-AM914),IF(AL914&gt;0,(TODAY()-AL914),IF(AK914&gt;0,(TODAY()-AK914,IF(AI914&gt;0,(TODAY()-AI914),IF(AG914&gt;0,(TODAY()-AG914),IF(AF914&gt;0,(TODAY()-AF914),IF(X914&gt;0,(TODAY()-X914)," "))))))))</f>
        <v>0</v>
      </c>
      <c r="BD914" s="2" t="str">
        <f t="shared" si="37"/>
        <v>Not yet endorsed</v>
      </c>
      <c r="BE914" s="2" t="s">
        <v>75</v>
      </c>
      <c r="BG914" s="2" t="e">
        <v>#N/A</v>
      </c>
    </row>
    <row r="915" spans="2:59" hidden="1" x14ac:dyDescent="0.25">
      <c r="B915" s="2" t="s">
        <v>3906</v>
      </c>
      <c r="C915" s="2" t="s">
        <v>3907</v>
      </c>
      <c r="D915" s="44" t="s">
        <v>3908</v>
      </c>
      <c r="E915" s="2" t="s">
        <v>11</v>
      </c>
      <c r="F915" s="2" t="s">
        <v>591</v>
      </c>
      <c r="G915" s="2" t="s">
        <v>1</v>
      </c>
      <c r="H915" s="2" t="s">
        <v>165</v>
      </c>
      <c r="I915" s="2" t="s">
        <v>68</v>
      </c>
      <c r="J915" s="2" t="s">
        <v>173</v>
      </c>
      <c r="K915" s="2" t="s">
        <v>592</v>
      </c>
      <c r="L915" s="2" t="s">
        <v>593</v>
      </c>
      <c r="M915" s="2">
        <v>0</v>
      </c>
      <c r="N915" s="2">
        <v>0</v>
      </c>
      <c r="O915" s="2">
        <v>0</v>
      </c>
      <c r="P915" s="2" t="s">
        <v>72</v>
      </c>
      <c r="Q915" s="2" t="s">
        <v>73</v>
      </c>
      <c r="R915" s="29" t="e">
        <f>IF(INDEX(#REF!,MATCH('data '!$B915,#REF!,0),MATCH('data '!R$3,#REF!,0))=0,"",INDEX(#REF!,MATCH('data '!$B915,#REF!,0),MATCH('data '!R$3,#REF!,0)))</f>
        <v>#REF!</v>
      </c>
      <c r="S915" s="29" t="e">
        <f>IF(INDEX(#REF!,MATCH('data '!$B915,#REF!,0),MATCH('data '!S$3,#REF!,0))=0,"",INDEX(#REF!,MATCH('data '!$B915,#REF!,0),MATCH('data '!S$3,#REF!,0)))</f>
        <v>#REF!</v>
      </c>
      <c r="T915" s="29" t="e">
        <f>IF(INDEX(#REF!,MATCH('data '!$B915,#REF!,0),MATCH('data '!T$3,#REF!,0))=0,"",INDEX(#REF!,MATCH('data '!$B915,#REF!,0),MATCH('data '!T$3,#REF!,0)))</f>
        <v>#REF!</v>
      </c>
      <c r="V915" s="25" t="s">
        <v>74</v>
      </c>
      <c r="W915" s="25">
        <v>0</v>
      </c>
      <c r="AC915" s="8" t="e">
        <f>VLOOKUP(B915,#REF!,19,0)</f>
        <v>#REF!</v>
      </c>
      <c r="AP915" s="8" t="str">
        <f t="shared" si="36"/>
        <v>Not yet endorsed</v>
      </c>
      <c r="AQ915" s="10" t="b" cm="1">
        <f t="array" aca="1" ref="AQ915" ca="1">IF(AM915&gt;0,(TODAY()-AM915),IF(AL915&gt;0,(TODAY()-AL915),IF(AK915&gt;0,(TODAY()-AK915,IF(AI915&gt;0,(TODAY()-AI915),IF(AG915&gt;0,(TODAY()-AG915),IF(AF915&gt;0,(TODAY()-AF915),IF(X915&gt;0,(TODAY()-X915)," "))))))))</f>
        <v>0</v>
      </c>
      <c r="BD915" s="2" t="str">
        <f t="shared" si="37"/>
        <v>Not yet endorsed</v>
      </c>
      <c r="BE915" s="2" t="s">
        <v>75</v>
      </c>
      <c r="BG915" s="2" t="e">
        <v>#N/A</v>
      </c>
    </row>
    <row r="916" spans="2:59" hidden="1" x14ac:dyDescent="0.25">
      <c r="B916" s="2" t="s">
        <v>3909</v>
      </c>
      <c r="C916" s="2" t="s">
        <v>3910</v>
      </c>
      <c r="D916" s="44" t="s">
        <v>3911</v>
      </c>
      <c r="F916" s="2" t="e">
        <v>#N/A</v>
      </c>
      <c r="G916" s="2" t="s">
        <v>1</v>
      </c>
      <c r="H916" s="2" t="s">
        <v>139</v>
      </c>
      <c r="I916" s="2" t="s">
        <v>140</v>
      </c>
      <c r="J916" s="2" t="e">
        <v>#N/A</v>
      </c>
      <c r="K916" s="2" t="e">
        <v>#N/A</v>
      </c>
      <c r="L916" s="2" t="e">
        <v>#N/A</v>
      </c>
      <c r="M916" s="2" t="e">
        <v>#N/A</v>
      </c>
      <c r="N916" s="2" t="e">
        <v>#N/A</v>
      </c>
      <c r="O916" s="2" t="e">
        <v>#N/A</v>
      </c>
      <c r="P916" s="2" t="e">
        <v>#N/A</v>
      </c>
      <c r="Q916" s="2" t="e">
        <v>#N/A</v>
      </c>
      <c r="R916" s="29" t="e">
        <f>IF(INDEX(#REF!,MATCH('data '!$B916,#REF!,0),MATCH('data '!R$3,#REF!,0))=0,"",INDEX(#REF!,MATCH('data '!$B916,#REF!,0),MATCH('data '!R$3,#REF!,0)))</f>
        <v>#REF!</v>
      </c>
      <c r="S916" s="29" t="e">
        <f>IF(INDEX(#REF!,MATCH('data '!$B916,#REF!,0),MATCH('data '!S$3,#REF!,0))=0,"",INDEX(#REF!,MATCH('data '!$B916,#REF!,0),MATCH('data '!S$3,#REF!,0)))</f>
        <v>#REF!</v>
      </c>
      <c r="T916" s="29" t="e">
        <f>IF(INDEX(#REF!,MATCH('data '!$B916,#REF!,0),MATCH('data '!T$3,#REF!,0))=0,"",INDEX(#REF!,MATCH('data '!$B916,#REF!,0),MATCH('data '!T$3,#REF!,0)))</f>
        <v>#REF!</v>
      </c>
      <c r="V916" s="25">
        <v>0</v>
      </c>
      <c r="W916" s="25">
        <v>0</v>
      </c>
      <c r="AC916" s="8" t="e">
        <f>VLOOKUP(B916,#REF!,19,0)</f>
        <v>#REF!</v>
      </c>
      <c r="AP916" s="8" t="str">
        <f t="shared" si="36"/>
        <v>Not yet endorsed</v>
      </c>
      <c r="AQ916" s="10" t="b" cm="1">
        <f t="array" aca="1" ref="AQ916" ca="1">IF(AM916&gt;0,(TODAY()-AM916),IF(AL916&gt;0,(TODAY()-AL916),IF(AK916&gt;0,(TODAY()-AK916,IF(AI916&gt;0,(TODAY()-AI916),IF(AG916&gt;0,(TODAY()-AG916),IF(AF916&gt;0,(TODAY()-AF916),IF(X916&gt;0,(TODAY()-X916)," "))))))))</f>
        <v>0</v>
      </c>
      <c r="BD916" s="2" t="str">
        <f t="shared" si="37"/>
        <v>Not yet endorsed</v>
      </c>
      <c r="BE916" s="2" t="s">
        <v>75</v>
      </c>
      <c r="BG916" s="2" t="e">
        <v>#N/A</v>
      </c>
    </row>
    <row r="917" spans="2:59" hidden="1" x14ac:dyDescent="0.25">
      <c r="B917" s="2" t="s">
        <v>3912</v>
      </c>
      <c r="C917" s="2" t="s">
        <v>3913</v>
      </c>
      <c r="D917" s="44" t="s">
        <v>3914</v>
      </c>
      <c r="F917" s="2" t="e">
        <v>#N/A</v>
      </c>
      <c r="G917" s="2" t="s">
        <v>1</v>
      </c>
      <c r="H917" s="2" t="s">
        <v>120</v>
      </c>
      <c r="I917" s="2" t="s">
        <v>140</v>
      </c>
      <c r="J917" s="2" t="s">
        <v>209</v>
      </c>
      <c r="K917" s="2" t="s">
        <v>1588</v>
      </c>
      <c r="L917" s="2" t="s">
        <v>3915</v>
      </c>
      <c r="M917" s="2">
        <v>0</v>
      </c>
      <c r="N917" s="2">
        <v>0</v>
      </c>
      <c r="O917" s="2">
        <v>0</v>
      </c>
      <c r="P917" s="2" t="e">
        <v>#N/A</v>
      </c>
      <c r="Q917" s="2" t="e">
        <v>#N/A</v>
      </c>
      <c r="R917" s="29" t="e">
        <f>IF(INDEX(#REF!,MATCH('data '!$B917,#REF!,0),MATCH('data '!R$3,#REF!,0))=0,"",INDEX(#REF!,MATCH('data '!$B917,#REF!,0),MATCH('data '!R$3,#REF!,0)))</f>
        <v>#REF!</v>
      </c>
      <c r="S917" s="29" t="e">
        <f>IF(INDEX(#REF!,MATCH('data '!$B917,#REF!,0),MATCH('data '!S$3,#REF!,0))=0,"",INDEX(#REF!,MATCH('data '!$B917,#REF!,0),MATCH('data '!S$3,#REF!,0)))</f>
        <v>#REF!</v>
      </c>
      <c r="T917" s="29" t="e">
        <f>IF(INDEX(#REF!,MATCH('data '!$B917,#REF!,0),MATCH('data '!T$3,#REF!,0))=0,"",INDEX(#REF!,MATCH('data '!$B917,#REF!,0),MATCH('data '!T$3,#REF!,0)))</f>
        <v>#REF!</v>
      </c>
      <c r="V917" s="25">
        <v>0</v>
      </c>
      <c r="W917" s="25">
        <v>0</v>
      </c>
      <c r="AC917" s="8" t="e">
        <f>VLOOKUP(B917,#REF!,19,0)</f>
        <v>#REF!</v>
      </c>
      <c r="AP917" s="8" t="str">
        <f t="shared" si="36"/>
        <v>Not yet endorsed</v>
      </c>
      <c r="AQ917" s="10" t="b" cm="1">
        <f t="array" aca="1" ref="AQ917" ca="1">IF(AM917&gt;0,(TODAY()-AM917),IF(AL917&gt;0,(TODAY()-AL917),IF(AK917&gt;0,(TODAY()-AK917,IF(AI917&gt;0,(TODAY()-AI917),IF(AG917&gt;0,(TODAY()-AG917),IF(AF917&gt;0,(TODAY()-AF917),IF(X917&gt;0,(TODAY()-X917)," "))))))))</f>
        <v>0</v>
      </c>
      <c r="BD917" s="2" t="str">
        <f t="shared" si="37"/>
        <v>Not yet endorsed</v>
      </c>
      <c r="BE917" s="2" t="s">
        <v>75</v>
      </c>
      <c r="BG917" s="2" t="e">
        <v>#N/A</v>
      </c>
    </row>
    <row r="918" spans="2:59" hidden="1" x14ac:dyDescent="0.25">
      <c r="B918" s="2" t="s">
        <v>3916</v>
      </c>
      <c r="C918" s="2" t="s">
        <v>3917</v>
      </c>
      <c r="D918" s="44" t="s">
        <v>3918</v>
      </c>
      <c r="F918" s="2" t="e">
        <v>#N/A</v>
      </c>
      <c r="G918" s="2" t="s">
        <v>1</v>
      </c>
      <c r="H918" s="2" t="s">
        <v>139</v>
      </c>
      <c r="I918" s="2" t="s">
        <v>140</v>
      </c>
      <c r="J918" s="2" t="e">
        <v>#N/A</v>
      </c>
      <c r="K918" s="2" t="e">
        <v>#N/A</v>
      </c>
      <c r="L918" s="2" t="e">
        <v>#N/A</v>
      </c>
      <c r="M918" s="2" t="e">
        <v>#N/A</v>
      </c>
      <c r="N918" s="2" t="e">
        <v>#N/A</v>
      </c>
      <c r="O918" s="2" t="e">
        <v>#N/A</v>
      </c>
      <c r="P918" s="2" t="e">
        <v>#N/A</v>
      </c>
      <c r="Q918" s="2" t="e">
        <v>#N/A</v>
      </c>
      <c r="R918" s="29" t="e">
        <f>IF(INDEX(#REF!,MATCH('data '!$B918,#REF!,0),MATCH('data '!R$3,#REF!,0))=0,"",INDEX(#REF!,MATCH('data '!$B918,#REF!,0),MATCH('data '!R$3,#REF!,0)))</f>
        <v>#REF!</v>
      </c>
      <c r="S918" s="29" t="e">
        <f>IF(INDEX(#REF!,MATCH('data '!$B918,#REF!,0),MATCH('data '!S$3,#REF!,0))=0,"",INDEX(#REF!,MATCH('data '!$B918,#REF!,0),MATCH('data '!S$3,#REF!,0)))</f>
        <v>#REF!</v>
      </c>
      <c r="T918" s="29" t="e">
        <f>IF(INDEX(#REF!,MATCH('data '!$B918,#REF!,0),MATCH('data '!T$3,#REF!,0))=0,"",INDEX(#REF!,MATCH('data '!$B918,#REF!,0),MATCH('data '!T$3,#REF!,0)))</f>
        <v>#REF!</v>
      </c>
      <c r="V918" s="25">
        <v>0</v>
      </c>
      <c r="W918" s="25">
        <v>0</v>
      </c>
      <c r="AC918" s="8" t="e">
        <f>VLOOKUP(B918,#REF!,19,0)</f>
        <v>#REF!</v>
      </c>
      <c r="AP918" s="8" t="str">
        <f t="shared" si="36"/>
        <v>Not yet endorsed</v>
      </c>
      <c r="AQ918" s="10" t="b" cm="1">
        <f t="array" aca="1" ref="AQ918" ca="1">IF(AM918&gt;0,(TODAY()-AM918),IF(AL918&gt;0,(TODAY()-AL918),IF(AK918&gt;0,(TODAY()-AK918,IF(AI918&gt;0,(TODAY()-AI918),IF(AG918&gt;0,(TODAY()-AG918),IF(AF918&gt;0,(TODAY()-AF918),IF(X918&gt;0,(TODAY()-X918)," "))))))))</f>
        <v>0</v>
      </c>
      <c r="BD918" s="2" t="str">
        <f t="shared" si="37"/>
        <v>Not yet endorsed</v>
      </c>
      <c r="BE918" s="2" t="s">
        <v>75</v>
      </c>
      <c r="BG918" s="2" t="e">
        <v>#N/A</v>
      </c>
    </row>
    <row r="919" spans="2:59" hidden="1" x14ac:dyDescent="0.25">
      <c r="B919" s="2" t="s">
        <v>3919</v>
      </c>
      <c r="C919" s="2" t="s">
        <v>3920</v>
      </c>
      <c r="D919" s="44" t="s">
        <v>3921</v>
      </c>
      <c r="F919" s="2" t="e">
        <v>#N/A</v>
      </c>
      <c r="G919" s="2" t="s">
        <v>1</v>
      </c>
      <c r="H919" s="2" t="s">
        <v>139</v>
      </c>
      <c r="I919" s="2" t="s">
        <v>140</v>
      </c>
      <c r="J919" s="2" t="e">
        <v>#N/A</v>
      </c>
      <c r="K919" s="2" t="e">
        <v>#N/A</v>
      </c>
      <c r="L919" s="2" t="e">
        <v>#N/A</v>
      </c>
      <c r="M919" s="2" t="e">
        <v>#N/A</v>
      </c>
      <c r="N919" s="2" t="e">
        <v>#N/A</v>
      </c>
      <c r="O919" s="2" t="e">
        <v>#N/A</v>
      </c>
      <c r="P919" s="2" t="e">
        <v>#N/A</v>
      </c>
      <c r="Q919" s="2" t="e">
        <v>#N/A</v>
      </c>
      <c r="R919" s="29" t="e">
        <f>IF(INDEX(#REF!,MATCH('data '!$B919,#REF!,0),MATCH('data '!R$3,#REF!,0))=0,"",INDEX(#REF!,MATCH('data '!$B919,#REF!,0),MATCH('data '!R$3,#REF!,0)))</f>
        <v>#REF!</v>
      </c>
      <c r="S919" s="29" t="e">
        <f>IF(INDEX(#REF!,MATCH('data '!$B919,#REF!,0),MATCH('data '!S$3,#REF!,0))=0,"",INDEX(#REF!,MATCH('data '!$B919,#REF!,0),MATCH('data '!S$3,#REF!,0)))</f>
        <v>#REF!</v>
      </c>
      <c r="T919" s="29" t="e">
        <f>IF(INDEX(#REF!,MATCH('data '!$B919,#REF!,0),MATCH('data '!T$3,#REF!,0))=0,"",INDEX(#REF!,MATCH('data '!$B919,#REF!,0),MATCH('data '!T$3,#REF!,0)))</f>
        <v>#REF!</v>
      </c>
      <c r="V919" s="25">
        <v>0</v>
      </c>
      <c r="W919" s="25">
        <v>0</v>
      </c>
      <c r="AC919" s="8" t="e">
        <f>VLOOKUP(B919,#REF!,19,0)</f>
        <v>#REF!</v>
      </c>
      <c r="AP919" s="8" t="str">
        <f t="shared" si="36"/>
        <v>Not yet endorsed</v>
      </c>
      <c r="AQ919" s="10" t="b" cm="1">
        <f t="array" aca="1" ref="AQ919" ca="1">IF(AM919&gt;0,(TODAY()-AM919),IF(AL919&gt;0,(TODAY()-AL919),IF(AK919&gt;0,(TODAY()-AK919,IF(AI919&gt;0,(TODAY()-AI919),IF(AG919&gt;0,(TODAY()-AG919),IF(AF919&gt;0,(TODAY()-AF919),IF(X919&gt;0,(TODAY()-X919)," "))))))))</f>
        <v>0</v>
      </c>
      <c r="BD919" s="2" t="str">
        <f t="shared" si="37"/>
        <v>Not yet endorsed</v>
      </c>
      <c r="BE919" s="2" t="s">
        <v>75</v>
      </c>
      <c r="BG919" s="2" t="e">
        <v>#N/A</v>
      </c>
    </row>
    <row r="920" spans="2:59" hidden="1" x14ac:dyDescent="0.25">
      <c r="B920" s="2" t="s">
        <v>3922</v>
      </c>
      <c r="C920" s="2" t="s">
        <v>3923</v>
      </c>
      <c r="D920" s="44" t="s">
        <v>3924</v>
      </c>
      <c r="F920" s="2" t="e">
        <v>#N/A</v>
      </c>
      <c r="G920" s="2" t="s">
        <v>1</v>
      </c>
      <c r="H920" s="2" t="s">
        <v>139</v>
      </c>
      <c r="I920" s="2" t="s">
        <v>140</v>
      </c>
      <c r="J920" s="2" t="e">
        <v>#N/A</v>
      </c>
      <c r="K920" s="2" t="e">
        <v>#N/A</v>
      </c>
      <c r="L920" s="2" t="e">
        <v>#N/A</v>
      </c>
      <c r="M920" s="2" t="e">
        <v>#N/A</v>
      </c>
      <c r="N920" s="2" t="e">
        <v>#N/A</v>
      </c>
      <c r="O920" s="2" t="e">
        <v>#N/A</v>
      </c>
      <c r="P920" s="2" t="e">
        <v>#N/A</v>
      </c>
      <c r="Q920" s="2" t="e">
        <v>#N/A</v>
      </c>
      <c r="R920" s="29" t="e">
        <f>IF(INDEX(#REF!,MATCH('data '!$B920,#REF!,0),MATCH('data '!R$3,#REF!,0))=0,"",INDEX(#REF!,MATCH('data '!$B920,#REF!,0),MATCH('data '!R$3,#REF!,0)))</f>
        <v>#REF!</v>
      </c>
      <c r="S920" s="29" t="e">
        <f>IF(INDEX(#REF!,MATCH('data '!$B920,#REF!,0),MATCH('data '!S$3,#REF!,0))=0,"",INDEX(#REF!,MATCH('data '!$B920,#REF!,0),MATCH('data '!S$3,#REF!,0)))</f>
        <v>#REF!</v>
      </c>
      <c r="T920" s="29" t="e">
        <f>IF(INDEX(#REF!,MATCH('data '!$B920,#REF!,0),MATCH('data '!T$3,#REF!,0))=0,"",INDEX(#REF!,MATCH('data '!$B920,#REF!,0),MATCH('data '!T$3,#REF!,0)))</f>
        <v>#REF!</v>
      </c>
      <c r="V920" s="25">
        <v>0</v>
      </c>
      <c r="W920" s="25">
        <v>0</v>
      </c>
      <c r="AC920" s="8" t="e">
        <f>VLOOKUP(B920,#REF!,19,0)</f>
        <v>#REF!</v>
      </c>
      <c r="AP920" s="8" t="str">
        <f t="shared" si="36"/>
        <v>Not yet endorsed</v>
      </c>
      <c r="AQ920" s="10" t="b" cm="1">
        <f t="array" aca="1" ref="AQ920" ca="1">IF(AM920&gt;0,(TODAY()-AM920),IF(AL920&gt;0,(TODAY()-AL920),IF(AK920&gt;0,(TODAY()-AK920,IF(AI920&gt;0,(TODAY()-AI920),IF(AG920&gt;0,(TODAY()-AG920),IF(AF920&gt;0,(TODAY()-AF920),IF(X920&gt;0,(TODAY()-X920)," "))))))))</f>
        <v>0</v>
      </c>
      <c r="BD920" s="2" t="str">
        <f t="shared" si="37"/>
        <v>Not yet endorsed</v>
      </c>
      <c r="BE920" s="2" t="s">
        <v>75</v>
      </c>
      <c r="BG920" s="2" t="e">
        <v>#N/A</v>
      </c>
    </row>
    <row r="921" spans="2:59" hidden="1" x14ac:dyDescent="0.25">
      <c r="B921" s="2" t="s">
        <v>3925</v>
      </c>
      <c r="C921" s="2" t="s">
        <v>3926</v>
      </c>
      <c r="D921" s="44" t="s">
        <v>3927</v>
      </c>
      <c r="F921" s="2" t="e">
        <v>#N/A</v>
      </c>
      <c r="G921" s="2" t="s">
        <v>1</v>
      </c>
      <c r="H921" s="2" t="s">
        <v>120</v>
      </c>
      <c r="I921" s="2" t="s">
        <v>140</v>
      </c>
      <c r="J921" s="2" t="e">
        <v>#N/A</v>
      </c>
      <c r="K921" s="2" t="e">
        <v>#N/A</v>
      </c>
      <c r="L921" s="2" t="e">
        <v>#N/A</v>
      </c>
      <c r="M921" s="2" t="e">
        <v>#N/A</v>
      </c>
      <c r="N921" s="2" t="e">
        <v>#N/A</v>
      </c>
      <c r="O921" s="2" t="e">
        <v>#N/A</v>
      </c>
      <c r="P921" s="2" t="e">
        <v>#N/A</v>
      </c>
      <c r="Q921" s="2" t="e">
        <v>#N/A</v>
      </c>
      <c r="R921" s="29" t="e">
        <f>IF(INDEX(#REF!,MATCH('data '!$B921,#REF!,0),MATCH('data '!R$3,#REF!,0))=0,"",INDEX(#REF!,MATCH('data '!$B921,#REF!,0),MATCH('data '!R$3,#REF!,0)))</f>
        <v>#REF!</v>
      </c>
      <c r="S921" s="29" t="e">
        <f>IF(INDEX(#REF!,MATCH('data '!$B921,#REF!,0),MATCH('data '!S$3,#REF!,0))=0,"",INDEX(#REF!,MATCH('data '!$B921,#REF!,0),MATCH('data '!S$3,#REF!,0)))</f>
        <v>#REF!</v>
      </c>
      <c r="T921" s="29" t="e">
        <f>IF(INDEX(#REF!,MATCH('data '!$B921,#REF!,0),MATCH('data '!T$3,#REF!,0))=0,"",INDEX(#REF!,MATCH('data '!$B921,#REF!,0),MATCH('data '!T$3,#REF!,0)))</f>
        <v>#REF!</v>
      </c>
      <c r="V921" s="25">
        <v>0</v>
      </c>
      <c r="W921" s="25">
        <v>0</v>
      </c>
      <c r="AC921" s="8" t="e">
        <f>VLOOKUP(B921,#REF!,19,0)</f>
        <v>#REF!</v>
      </c>
      <c r="AP921" s="8" t="str">
        <f t="shared" si="36"/>
        <v>Not yet endorsed</v>
      </c>
      <c r="AQ921" s="10" t="b" cm="1">
        <f t="array" aca="1" ref="AQ921" ca="1">IF(AM921&gt;0,(TODAY()-AM921),IF(AL921&gt;0,(TODAY()-AL921),IF(AK921&gt;0,(TODAY()-AK921,IF(AI921&gt;0,(TODAY()-AI921),IF(AG921&gt;0,(TODAY()-AG921),IF(AF921&gt;0,(TODAY()-AF921),IF(X921&gt;0,(TODAY()-X921)," "))))))))</f>
        <v>0</v>
      </c>
      <c r="BD921" s="2" t="str">
        <f t="shared" si="37"/>
        <v>Not yet endorsed</v>
      </c>
      <c r="BE921" s="2" t="s">
        <v>75</v>
      </c>
      <c r="BG921" s="2" t="e">
        <v>#N/A</v>
      </c>
    </row>
    <row r="922" spans="2:59" hidden="1" x14ac:dyDescent="0.25">
      <c r="B922" s="2" t="s">
        <v>3928</v>
      </c>
      <c r="C922" s="2" t="s">
        <v>3929</v>
      </c>
      <c r="D922" s="44" t="s">
        <v>3930</v>
      </c>
      <c r="F922" s="2" t="e">
        <v>#N/A</v>
      </c>
      <c r="G922" s="2" t="s">
        <v>1</v>
      </c>
      <c r="H922" s="2" t="s">
        <v>120</v>
      </c>
      <c r="I922" s="2" t="s">
        <v>140</v>
      </c>
      <c r="J922" s="2" t="e">
        <v>#N/A</v>
      </c>
      <c r="K922" s="2" t="e">
        <v>#N/A</v>
      </c>
      <c r="L922" s="2" t="e">
        <v>#N/A</v>
      </c>
      <c r="M922" s="2" t="e">
        <v>#N/A</v>
      </c>
      <c r="N922" s="2" t="e">
        <v>#N/A</v>
      </c>
      <c r="O922" s="2" t="e">
        <v>#N/A</v>
      </c>
      <c r="P922" s="2" t="e">
        <v>#N/A</v>
      </c>
      <c r="Q922" s="2" t="e">
        <v>#N/A</v>
      </c>
      <c r="R922" s="29" t="e">
        <f>IF(INDEX(#REF!,MATCH('data '!$B922,#REF!,0),MATCH('data '!R$3,#REF!,0))=0,"",INDEX(#REF!,MATCH('data '!$B922,#REF!,0),MATCH('data '!R$3,#REF!,0)))</f>
        <v>#REF!</v>
      </c>
      <c r="S922" s="29" t="e">
        <f>IF(INDEX(#REF!,MATCH('data '!$B922,#REF!,0),MATCH('data '!S$3,#REF!,0))=0,"",INDEX(#REF!,MATCH('data '!$B922,#REF!,0),MATCH('data '!S$3,#REF!,0)))</f>
        <v>#REF!</v>
      </c>
      <c r="T922" s="29" t="e">
        <f>IF(INDEX(#REF!,MATCH('data '!$B922,#REF!,0),MATCH('data '!T$3,#REF!,0))=0,"",INDEX(#REF!,MATCH('data '!$B922,#REF!,0),MATCH('data '!T$3,#REF!,0)))</f>
        <v>#REF!</v>
      </c>
      <c r="V922" s="25">
        <v>0</v>
      </c>
      <c r="W922" s="25">
        <v>0</v>
      </c>
      <c r="AC922" s="8" t="e">
        <f>VLOOKUP(B922,#REF!,19,0)</f>
        <v>#REF!</v>
      </c>
      <c r="AP922" s="8" t="str">
        <f t="shared" si="36"/>
        <v>Not yet endorsed</v>
      </c>
      <c r="AQ922" s="10" t="b" cm="1">
        <f t="array" aca="1" ref="AQ922" ca="1">IF(AM922&gt;0,(TODAY()-AM922),IF(AL922&gt;0,(TODAY()-AL922),IF(AK922&gt;0,(TODAY()-AK922,IF(AI922&gt;0,(TODAY()-AI922),IF(AG922&gt;0,(TODAY()-AG922),IF(AF922&gt;0,(TODAY()-AF922),IF(X922&gt;0,(TODAY()-X922)," "))))))))</f>
        <v>0</v>
      </c>
      <c r="BD922" s="2" t="str">
        <f t="shared" si="37"/>
        <v>Not yet endorsed</v>
      </c>
      <c r="BE922" s="2" t="s">
        <v>75</v>
      </c>
      <c r="BG922" s="2" t="e">
        <v>#N/A</v>
      </c>
    </row>
    <row r="923" spans="2:59" hidden="1" x14ac:dyDescent="0.25">
      <c r="B923" s="2" t="s">
        <v>3931</v>
      </c>
      <c r="C923" s="2" t="s">
        <v>3932</v>
      </c>
      <c r="D923" s="44" t="s">
        <v>3933</v>
      </c>
      <c r="F923" s="2" t="e">
        <v>#N/A</v>
      </c>
      <c r="G923" s="2" t="s">
        <v>1</v>
      </c>
      <c r="H923" s="2" t="s">
        <v>139</v>
      </c>
      <c r="I923" s="2" t="s">
        <v>140</v>
      </c>
      <c r="J923" s="2" t="e">
        <v>#N/A</v>
      </c>
      <c r="K923" s="2" t="e">
        <v>#N/A</v>
      </c>
      <c r="L923" s="2" t="e">
        <v>#N/A</v>
      </c>
      <c r="M923" s="2" t="e">
        <v>#N/A</v>
      </c>
      <c r="N923" s="2" t="e">
        <v>#N/A</v>
      </c>
      <c r="O923" s="2" t="e">
        <v>#N/A</v>
      </c>
      <c r="P923" s="2" t="e">
        <v>#N/A</v>
      </c>
      <c r="Q923" s="2" t="e">
        <v>#N/A</v>
      </c>
      <c r="R923" s="29" t="e">
        <f>IF(INDEX(#REF!,MATCH('data '!$B923,#REF!,0),MATCH('data '!R$3,#REF!,0))=0,"",INDEX(#REF!,MATCH('data '!$B923,#REF!,0),MATCH('data '!R$3,#REF!,0)))</f>
        <v>#REF!</v>
      </c>
      <c r="S923" s="29" t="e">
        <f>IF(INDEX(#REF!,MATCH('data '!$B923,#REF!,0),MATCH('data '!S$3,#REF!,0))=0,"",INDEX(#REF!,MATCH('data '!$B923,#REF!,0),MATCH('data '!S$3,#REF!,0)))</f>
        <v>#REF!</v>
      </c>
      <c r="T923" s="29" t="e">
        <f>IF(INDEX(#REF!,MATCH('data '!$B923,#REF!,0),MATCH('data '!T$3,#REF!,0))=0,"",INDEX(#REF!,MATCH('data '!$B923,#REF!,0),MATCH('data '!T$3,#REF!,0)))</f>
        <v>#REF!</v>
      </c>
      <c r="V923" s="25">
        <v>0</v>
      </c>
      <c r="W923" s="25">
        <v>0</v>
      </c>
      <c r="AC923" s="8" t="e">
        <f>VLOOKUP(B923,#REF!,19,0)</f>
        <v>#REF!</v>
      </c>
      <c r="AP923" s="8" t="str">
        <f t="shared" si="36"/>
        <v>Not yet endorsed</v>
      </c>
      <c r="AQ923" s="10" t="b" cm="1">
        <f t="array" aca="1" ref="AQ923" ca="1">IF(AM923&gt;0,(TODAY()-AM923),IF(AL923&gt;0,(TODAY()-AL923),IF(AK923&gt;0,(TODAY()-AK923,IF(AI923&gt;0,(TODAY()-AI923),IF(AG923&gt;0,(TODAY()-AG923),IF(AF923&gt;0,(TODAY()-AF923),IF(X923&gt;0,(TODAY()-X923)," "))))))))</f>
        <v>0</v>
      </c>
      <c r="BD923" s="2" t="str">
        <f t="shared" si="37"/>
        <v>Not yet endorsed</v>
      </c>
      <c r="BE923" s="2" t="s">
        <v>75</v>
      </c>
      <c r="BG923" s="2" t="e">
        <v>#N/A</v>
      </c>
    </row>
    <row r="924" spans="2:59" hidden="1" x14ac:dyDescent="0.25">
      <c r="B924" s="2" t="s">
        <v>3934</v>
      </c>
      <c r="C924" s="2" t="s">
        <v>3935</v>
      </c>
      <c r="D924" s="44" t="s">
        <v>3936</v>
      </c>
      <c r="F924" s="2" t="e">
        <v>#N/A</v>
      </c>
      <c r="G924" s="2" t="s">
        <v>1</v>
      </c>
      <c r="H924" s="2" t="s">
        <v>139</v>
      </c>
      <c r="I924" s="2" t="s">
        <v>140</v>
      </c>
      <c r="J924" s="2" t="e">
        <v>#N/A</v>
      </c>
      <c r="K924" s="2" t="e">
        <v>#N/A</v>
      </c>
      <c r="L924" s="2" t="e">
        <v>#N/A</v>
      </c>
      <c r="M924" s="2" t="e">
        <v>#N/A</v>
      </c>
      <c r="N924" s="2" t="e">
        <v>#N/A</v>
      </c>
      <c r="O924" s="2" t="e">
        <v>#N/A</v>
      </c>
      <c r="P924" s="2" t="e">
        <v>#N/A</v>
      </c>
      <c r="Q924" s="2" t="e">
        <v>#N/A</v>
      </c>
      <c r="R924" s="29" t="e">
        <f>IF(INDEX(#REF!,MATCH('data '!$B924,#REF!,0),MATCH('data '!R$3,#REF!,0))=0,"",INDEX(#REF!,MATCH('data '!$B924,#REF!,0),MATCH('data '!R$3,#REF!,0)))</f>
        <v>#REF!</v>
      </c>
      <c r="S924" s="29" t="e">
        <f>IF(INDEX(#REF!,MATCH('data '!$B924,#REF!,0),MATCH('data '!S$3,#REF!,0))=0,"",INDEX(#REF!,MATCH('data '!$B924,#REF!,0),MATCH('data '!S$3,#REF!,0)))</f>
        <v>#REF!</v>
      </c>
      <c r="T924" s="29" t="e">
        <f>IF(INDEX(#REF!,MATCH('data '!$B924,#REF!,0),MATCH('data '!T$3,#REF!,0))=0,"",INDEX(#REF!,MATCH('data '!$B924,#REF!,0),MATCH('data '!T$3,#REF!,0)))</f>
        <v>#REF!</v>
      </c>
      <c r="V924" s="25">
        <v>0</v>
      </c>
      <c r="W924" s="25">
        <v>0</v>
      </c>
      <c r="AC924" s="8" t="e">
        <f>VLOOKUP(B924,#REF!,19,0)</f>
        <v>#REF!</v>
      </c>
      <c r="AP924" s="8" t="str">
        <f t="shared" si="36"/>
        <v>Not yet endorsed</v>
      </c>
      <c r="AQ924" s="10" t="b" cm="1">
        <f t="array" aca="1" ref="AQ924" ca="1">IF(AM924&gt;0,(TODAY()-AM924),IF(AL924&gt;0,(TODAY()-AL924),IF(AK924&gt;0,(TODAY()-AK924,IF(AI924&gt;0,(TODAY()-AI924),IF(AG924&gt;0,(TODAY()-AG924),IF(AF924&gt;0,(TODAY()-AF924),IF(X924&gt;0,(TODAY()-X924)," "))))))))</f>
        <v>0</v>
      </c>
      <c r="BD924" s="2" t="str">
        <f t="shared" si="37"/>
        <v>Not yet endorsed</v>
      </c>
      <c r="BE924" s="2" t="s">
        <v>75</v>
      </c>
      <c r="BG924" s="2" t="e">
        <v>#N/A</v>
      </c>
    </row>
    <row r="925" spans="2:59" hidden="1" x14ac:dyDescent="0.25">
      <c r="B925" s="2" t="s">
        <v>3937</v>
      </c>
      <c r="C925" s="2" t="s">
        <v>3938</v>
      </c>
      <c r="D925" s="44" t="s">
        <v>3939</v>
      </c>
      <c r="F925" s="2" t="e">
        <v>#N/A</v>
      </c>
      <c r="G925" s="2" t="s">
        <v>1</v>
      </c>
      <c r="H925" s="2" t="s">
        <v>120</v>
      </c>
      <c r="I925" s="2" t="s">
        <v>140</v>
      </c>
      <c r="J925" s="2" t="e">
        <v>#N/A</v>
      </c>
      <c r="K925" s="2" t="e">
        <v>#N/A</v>
      </c>
      <c r="L925" s="2" t="e">
        <v>#N/A</v>
      </c>
      <c r="M925" s="2" t="e">
        <v>#N/A</v>
      </c>
      <c r="N925" s="2" t="e">
        <v>#N/A</v>
      </c>
      <c r="O925" s="2" t="e">
        <v>#N/A</v>
      </c>
      <c r="P925" s="2" t="e">
        <v>#N/A</v>
      </c>
      <c r="Q925" s="2" t="e">
        <v>#N/A</v>
      </c>
      <c r="R925" s="29" t="e">
        <f>IF(INDEX(#REF!,MATCH('data '!$B925,#REF!,0),MATCH('data '!R$3,#REF!,0))=0,"",INDEX(#REF!,MATCH('data '!$B925,#REF!,0),MATCH('data '!R$3,#REF!,0)))</f>
        <v>#REF!</v>
      </c>
      <c r="S925" s="29" t="e">
        <f>IF(INDEX(#REF!,MATCH('data '!$B925,#REF!,0),MATCH('data '!S$3,#REF!,0))=0,"",INDEX(#REF!,MATCH('data '!$B925,#REF!,0),MATCH('data '!S$3,#REF!,0)))</f>
        <v>#REF!</v>
      </c>
      <c r="T925" s="29" t="e">
        <f>IF(INDEX(#REF!,MATCH('data '!$B925,#REF!,0),MATCH('data '!T$3,#REF!,0))=0,"",INDEX(#REF!,MATCH('data '!$B925,#REF!,0),MATCH('data '!T$3,#REF!,0)))</f>
        <v>#REF!</v>
      </c>
      <c r="V925" s="25">
        <v>0</v>
      </c>
      <c r="W925" s="25">
        <v>0</v>
      </c>
      <c r="AC925" s="8" t="e">
        <f>VLOOKUP(B925,#REF!,19,0)</f>
        <v>#REF!</v>
      </c>
      <c r="AP925" s="8" t="str">
        <f t="shared" si="36"/>
        <v>Not yet endorsed</v>
      </c>
      <c r="AQ925" s="10" t="b" cm="1">
        <f t="array" aca="1" ref="AQ925" ca="1">IF(AM925&gt;0,(TODAY()-AM925),IF(AL925&gt;0,(TODAY()-AL925),IF(AK925&gt;0,(TODAY()-AK925,IF(AI925&gt;0,(TODAY()-AI925),IF(AG925&gt;0,(TODAY()-AG925),IF(AF925&gt;0,(TODAY()-AF925),IF(X925&gt;0,(TODAY()-X925)," "))))))))</f>
        <v>0</v>
      </c>
      <c r="BD925" s="2" t="str">
        <f t="shared" si="37"/>
        <v>Not yet endorsed</v>
      </c>
      <c r="BE925" s="2" t="s">
        <v>75</v>
      </c>
      <c r="BG925" s="2" t="e">
        <v>#N/A</v>
      </c>
    </row>
    <row r="926" spans="2:59" hidden="1" x14ac:dyDescent="0.25">
      <c r="B926" s="2" t="s">
        <v>3940</v>
      </c>
      <c r="C926" s="2" t="s">
        <v>3941</v>
      </c>
      <c r="D926" s="44" t="s">
        <v>3942</v>
      </c>
      <c r="F926" s="2" t="e">
        <v>#N/A</v>
      </c>
      <c r="G926" s="2" t="s">
        <v>1</v>
      </c>
      <c r="H926" s="2" t="s">
        <v>120</v>
      </c>
      <c r="I926" s="2" t="s">
        <v>140</v>
      </c>
      <c r="J926" s="2" t="e">
        <v>#N/A</v>
      </c>
      <c r="K926" s="2" t="e">
        <v>#N/A</v>
      </c>
      <c r="L926" s="2" t="e">
        <v>#N/A</v>
      </c>
      <c r="M926" s="2" t="e">
        <v>#N/A</v>
      </c>
      <c r="N926" s="2" t="e">
        <v>#N/A</v>
      </c>
      <c r="O926" s="2" t="e">
        <v>#N/A</v>
      </c>
      <c r="P926" s="2" t="e">
        <v>#N/A</v>
      </c>
      <c r="Q926" s="2" t="e">
        <v>#N/A</v>
      </c>
      <c r="R926" s="29" t="e">
        <f>IF(INDEX(#REF!,MATCH('data '!$B926,#REF!,0),MATCH('data '!R$3,#REF!,0))=0,"",INDEX(#REF!,MATCH('data '!$B926,#REF!,0),MATCH('data '!R$3,#REF!,0)))</f>
        <v>#REF!</v>
      </c>
      <c r="S926" s="29" t="e">
        <f>IF(INDEX(#REF!,MATCH('data '!$B926,#REF!,0),MATCH('data '!S$3,#REF!,0))=0,"",INDEX(#REF!,MATCH('data '!$B926,#REF!,0),MATCH('data '!S$3,#REF!,0)))</f>
        <v>#REF!</v>
      </c>
      <c r="T926" s="29" t="e">
        <f>IF(INDEX(#REF!,MATCH('data '!$B926,#REF!,0),MATCH('data '!T$3,#REF!,0))=0,"",INDEX(#REF!,MATCH('data '!$B926,#REF!,0),MATCH('data '!T$3,#REF!,0)))</f>
        <v>#REF!</v>
      </c>
      <c r="V926" s="25">
        <v>0</v>
      </c>
      <c r="W926" s="25">
        <v>0</v>
      </c>
      <c r="AC926" s="8" t="e">
        <f>VLOOKUP(B926,#REF!,19,0)</f>
        <v>#REF!</v>
      </c>
      <c r="AP926" s="8" t="str">
        <f t="shared" si="36"/>
        <v>Not yet endorsed</v>
      </c>
      <c r="AQ926" s="10" t="b" cm="1">
        <f t="array" aca="1" ref="AQ926" ca="1">IF(AM926&gt;0,(TODAY()-AM926),IF(AL926&gt;0,(TODAY()-AL926),IF(AK926&gt;0,(TODAY()-AK926,IF(AI926&gt;0,(TODAY()-AI926),IF(AG926&gt;0,(TODAY()-AG926),IF(AF926&gt;0,(TODAY()-AF926),IF(X926&gt;0,(TODAY()-X926)," "))))))))</f>
        <v>0</v>
      </c>
      <c r="BD926" s="2" t="str">
        <f t="shared" si="37"/>
        <v>Not yet endorsed</v>
      </c>
      <c r="BE926" s="2" t="s">
        <v>75</v>
      </c>
      <c r="BG926" s="2" t="e">
        <v>#N/A</v>
      </c>
    </row>
    <row r="927" spans="2:59" hidden="1" x14ac:dyDescent="0.25">
      <c r="B927" s="2" t="s">
        <v>3943</v>
      </c>
      <c r="C927" s="2" t="s">
        <v>3944</v>
      </c>
      <c r="D927" s="44" t="s">
        <v>3945</v>
      </c>
      <c r="F927" s="2" t="e">
        <v>#N/A</v>
      </c>
      <c r="G927" s="2" t="s">
        <v>1</v>
      </c>
      <c r="H927" s="2" t="s">
        <v>120</v>
      </c>
      <c r="I927" s="2" t="s">
        <v>140</v>
      </c>
      <c r="J927" s="2" t="e">
        <v>#N/A</v>
      </c>
      <c r="K927" s="2" t="e">
        <v>#N/A</v>
      </c>
      <c r="L927" s="2" t="e">
        <v>#N/A</v>
      </c>
      <c r="M927" s="2" t="e">
        <v>#N/A</v>
      </c>
      <c r="N927" s="2" t="e">
        <v>#N/A</v>
      </c>
      <c r="O927" s="2" t="e">
        <v>#N/A</v>
      </c>
      <c r="P927" s="2" t="e">
        <v>#N/A</v>
      </c>
      <c r="Q927" s="2" t="e">
        <v>#N/A</v>
      </c>
      <c r="R927" s="29" t="e">
        <f>IF(INDEX(#REF!,MATCH('data '!$B927,#REF!,0),MATCH('data '!R$3,#REF!,0))=0,"",INDEX(#REF!,MATCH('data '!$B927,#REF!,0),MATCH('data '!R$3,#REF!,0)))</f>
        <v>#REF!</v>
      </c>
      <c r="S927" s="29" t="e">
        <f>IF(INDEX(#REF!,MATCH('data '!$B927,#REF!,0),MATCH('data '!S$3,#REF!,0))=0,"",INDEX(#REF!,MATCH('data '!$B927,#REF!,0),MATCH('data '!S$3,#REF!,0)))</f>
        <v>#REF!</v>
      </c>
      <c r="T927" s="29" t="e">
        <f>IF(INDEX(#REF!,MATCH('data '!$B927,#REF!,0),MATCH('data '!T$3,#REF!,0))=0,"",INDEX(#REF!,MATCH('data '!$B927,#REF!,0),MATCH('data '!T$3,#REF!,0)))</f>
        <v>#REF!</v>
      </c>
      <c r="V927" s="25">
        <v>0</v>
      </c>
      <c r="W927" s="25">
        <v>0</v>
      </c>
      <c r="AC927" s="8" t="e">
        <f>VLOOKUP(B927,#REF!,19,0)</f>
        <v>#REF!</v>
      </c>
      <c r="AP927" s="8" t="str">
        <f t="shared" si="36"/>
        <v>Not yet endorsed</v>
      </c>
      <c r="AQ927" s="10" t="b" cm="1">
        <f t="array" aca="1" ref="AQ927" ca="1">IF(AM927&gt;0,(TODAY()-AM927),IF(AL927&gt;0,(TODAY()-AL927),IF(AK927&gt;0,(TODAY()-AK927,IF(AI927&gt;0,(TODAY()-AI927),IF(AG927&gt;0,(TODAY()-AG927),IF(AF927&gt;0,(TODAY()-AF927),IF(X927&gt;0,(TODAY()-X927)," "))))))))</f>
        <v>0</v>
      </c>
      <c r="BD927" s="2" t="str">
        <f t="shared" si="37"/>
        <v>Not yet endorsed</v>
      </c>
      <c r="BE927" s="2" t="s">
        <v>75</v>
      </c>
      <c r="BG927" s="2" t="e">
        <v>#N/A</v>
      </c>
    </row>
    <row r="928" spans="2:59" hidden="1" x14ac:dyDescent="0.25">
      <c r="B928" s="2" t="s">
        <v>3946</v>
      </c>
      <c r="C928" s="2" t="s">
        <v>3947</v>
      </c>
      <c r="D928" s="44" t="s">
        <v>3948</v>
      </c>
      <c r="F928" s="2" t="e">
        <v>#N/A</v>
      </c>
      <c r="G928" s="2" t="s">
        <v>1</v>
      </c>
      <c r="H928" s="2" t="s">
        <v>120</v>
      </c>
      <c r="I928" s="2" t="s">
        <v>140</v>
      </c>
      <c r="J928" s="2" t="e">
        <v>#N/A</v>
      </c>
      <c r="K928" s="2" t="e">
        <v>#N/A</v>
      </c>
      <c r="L928" s="2" t="e">
        <v>#N/A</v>
      </c>
      <c r="M928" s="2" t="e">
        <v>#N/A</v>
      </c>
      <c r="N928" s="2" t="e">
        <v>#N/A</v>
      </c>
      <c r="O928" s="2" t="e">
        <v>#N/A</v>
      </c>
      <c r="P928" s="2" t="e">
        <v>#N/A</v>
      </c>
      <c r="Q928" s="2" t="e">
        <v>#N/A</v>
      </c>
      <c r="R928" s="29" t="e">
        <f>IF(INDEX(#REF!,MATCH('data '!$B928,#REF!,0),MATCH('data '!R$3,#REF!,0))=0,"",INDEX(#REF!,MATCH('data '!$B928,#REF!,0),MATCH('data '!R$3,#REF!,0)))</f>
        <v>#REF!</v>
      </c>
      <c r="S928" s="29" t="e">
        <f>IF(INDEX(#REF!,MATCH('data '!$B928,#REF!,0),MATCH('data '!S$3,#REF!,0))=0,"",INDEX(#REF!,MATCH('data '!$B928,#REF!,0),MATCH('data '!S$3,#REF!,0)))</f>
        <v>#REF!</v>
      </c>
      <c r="T928" s="29" t="e">
        <f>IF(INDEX(#REF!,MATCH('data '!$B928,#REF!,0),MATCH('data '!T$3,#REF!,0))=0,"",INDEX(#REF!,MATCH('data '!$B928,#REF!,0),MATCH('data '!T$3,#REF!,0)))</f>
        <v>#REF!</v>
      </c>
      <c r="V928" s="25">
        <v>0</v>
      </c>
      <c r="W928" s="25">
        <v>0</v>
      </c>
      <c r="AC928" s="8" t="e">
        <f>VLOOKUP(B928,#REF!,19,0)</f>
        <v>#REF!</v>
      </c>
      <c r="AP928" s="8" t="str">
        <f t="shared" si="36"/>
        <v>Not yet endorsed</v>
      </c>
      <c r="AQ928" s="10" t="b" cm="1">
        <f t="array" aca="1" ref="AQ928" ca="1">IF(AM928&gt;0,(TODAY()-AM928),IF(AL928&gt;0,(TODAY()-AL928),IF(AK928&gt;0,(TODAY()-AK928,IF(AI928&gt;0,(TODAY()-AI928),IF(AG928&gt;0,(TODAY()-AG928),IF(AF928&gt;0,(TODAY()-AF928),IF(X928&gt;0,(TODAY()-X928)," "))))))))</f>
        <v>0</v>
      </c>
      <c r="BD928" s="2" t="str">
        <f t="shared" si="37"/>
        <v>Not yet endorsed</v>
      </c>
      <c r="BE928" s="2" t="s">
        <v>75</v>
      </c>
      <c r="BG928" s="2" t="e">
        <v>#N/A</v>
      </c>
    </row>
    <row r="929" spans="2:59" hidden="1" x14ac:dyDescent="0.25">
      <c r="B929" s="2" t="s">
        <v>3949</v>
      </c>
      <c r="C929" s="2" t="s">
        <v>3950</v>
      </c>
      <c r="D929" s="44" t="s">
        <v>3951</v>
      </c>
      <c r="E929" s="2" t="s">
        <v>6</v>
      </c>
      <c r="F929" s="2" t="s">
        <v>3952</v>
      </c>
      <c r="G929" s="2" t="s">
        <v>1</v>
      </c>
      <c r="H929" s="2" t="s">
        <v>111</v>
      </c>
      <c r="I929" s="2" t="s">
        <v>112</v>
      </c>
      <c r="J929" s="2" t="s">
        <v>130</v>
      </c>
      <c r="K929" s="2" t="s">
        <v>3953</v>
      </c>
      <c r="L929" s="2" t="s">
        <v>3954</v>
      </c>
      <c r="M929" s="2">
        <v>0</v>
      </c>
      <c r="N929" s="2">
        <v>11.60937</v>
      </c>
      <c r="O929" s="2">
        <v>125.43076000000001</v>
      </c>
      <c r="P929" s="2" t="s">
        <v>87</v>
      </c>
      <c r="Q929" s="2" t="s">
        <v>198</v>
      </c>
      <c r="R929" s="29" t="e">
        <f>IF(INDEX(#REF!,MATCH('data '!$B929,#REF!,0),MATCH('data '!R$3,#REF!,0))=0,"",INDEX(#REF!,MATCH('data '!$B929,#REF!,0),MATCH('data '!R$3,#REF!,0)))</f>
        <v>#REF!</v>
      </c>
      <c r="S929" s="29" t="e">
        <f>IF(INDEX(#REF!,MATCH('data '!$B929,#REF!,0),MATCH('data '!S$3,#REF!,0))=0,"",INDEX(#REF!,MATCH('data '!$B929,#REF!,0),MATCH('data '!S$3,#REF!,0)))</f>
        <v>#REF!</v>
      </c>
      <c r="T929" s="29" t="e">
        <f>IF(INDEX(#REF!,MATCH('data '!$B929,#REF!,0),MATCH('data '!T$3,#REF!,0))=0,"",INDEX(#REF!,MATCH('data '!$B929,#REF!,0),MATCH('data '!T$3,#REF!,0)))</f>
        <v>#REF!</v>
      </c>
      <c r="U929" s="8" t="s">
        <v>25</v>
      </c>
      <c r="V929" s="25" t="s">
        <v>266</v>
      </c>
      <c r="W929" s="25" t="s">
        <v>144</v>
      </c>
      <c r="X929" s="43" t="s">
        <v>25</v>
      </c>
      <c r="Y929" s="43">
        <v>45848</v>
      </c>
      <c r="AC929" s="8" t="e">
        <f>VLOOKUP(B929,#REF!,19,0)</f>
        <v>#REF!</v>
      </c>
      <c r="AP929" s="8" t="str">
        <f t="shared" si="36"/>
        <v>BP Secured</v>
      </c>
      <c r="AQ929" s="10" t="b" cm="1">
        <f t="array" aca="1" ref="AQ929" ca="1">IF(AM929&gt;0,(TODAY()-AM929),IF(AL929&gt;0,(TODAY()-AL929),IF(AK929&gt;0,(TODAY()-AK929,IF(AI929&gt;0,(TODAY()-AI929),IF(AG929&gt;0,(TODAY()-AG929),IF(AF929&gt;0,(TODAY()-AF929),IF(X929&gt;0,(TODAY()-X929)," "))))))))</f>
        <v>0</v>
      </c>
      <c r="BD929" s="2" t="str">
        <f t="shared" si="37"/>
        <v>BP Secured</v>
      </c>
      <c r="BE929" s="2" t="e">
        <v>#VALUE!</v>
      </c>
      <c r="BG929" s="2" t="e">
        <v>#N/A</v>
      </c>
    </row>
    <row r="930" spans="2:59" hidden="1" x14ac:dyDescent="0.25">
      <c r="B930" s="2" t="s">
        <v>3955</v>
      </c>
      <c r="C930" s="2" t="s">
        <v>3956</v>
      </c>
      <c r="D930" s="44" t="s">
        <v>3957</v>
      </c>
      <c r="E930" s="2" t="s">
        <v>6</v>
      </c>
      <c r="F930" s="2">
        <v>0</v>
      </c>
      <c r="G930" s="2" t="s">
        <v>1</v>
      </c>
      <c r="H930" s="2" t="s">
        <v>111</v>
      </c>
      <c r="I930" s="2" t="s">
        <v>112</v>
      </c>
      <c r="J930" s="2" t="s">
        <v>344</v>
      </c>
      <c r="K930" s="2" t="s">
        <v>3958</v>
      </c>
      <c r="L930" s="2">
        <v>0</v>
      </c>
      <c r="M930" s="2">
        <v>0</v>
      </c>
      <c r="N930" s="2">
        <v>11.4185683</v>
      </c>
      <c r="O930" s="2">
        <v>122.8938967</v>
      </c>
      <c r="P930" s="2" t="s">
        <v>87</v>
      </c>
      <c r="Q930" s="2" t="s">
        <v>219</v>
      </c>
      <c r="R930" s="29" t="e">
        <f>IF(INDEX(#REF!,MATCH('data '!$B930,#REF!,0),MATCH('data '!R$3,#REF!,0))=0,"",INDEX(#REF!,MATCH('data '!$B930,#REF!,0),MATCH('data '!R$3,#REF!,0)))</f>
        <v>#REF!</v>
      </c>
      <c r="S930" s="29" t="e">
        <f>IF(INDEX(#REF!,MATCH('data '!$B930,#REF!,0),MATCH('data '!S$3,#REF!,0))=0,"",INDEX(#REF!,MATCH('data '!$B930,#REF!,0),MATCH('data '!S$3,#REF!,0)))</f>
        <v>#REF!</v>
      </c>
      <c r="T930" s="29" t="e">
        <f>IF(INDEX(#REF!,MATCH('data '!$B930,#REF!,0),MATCH('data '!T$3,#REF!,0))=0,"",INDEX(#REF!,MATCH('data '!$B930,#REF!,0),MATCH('data '!T$3,#REF!,0)))</f>
        <v>#REF!</v>
      </c>
      <c r="V930" s="25" t="s">
        <v>266</v>
      </c>
      <c r="W930" s="25" t="s">
        <v>144</v>
      </c>
      <c r="X930" s="43" t="s">
        <v>25</v>
      </c>
      <c r="Y930" s="43">
        <v>45911</v>
      </c>
      <c r="AC930" s="8" t="e">
        <f>VLOOKUP(B930,#REF!,19,0)</f>
        <v>#REF!</v>
      </c>
      <c r="AP930" s="8" t="str">
        <f t="shared" si="36"/>
        <v>BP Secured</v>
      </c>
      <c r="AQ930" s="10" t="b" cm="1">
        <f t="array" aca="1" ref="AQ930" ca="1">IF(AM930&gt;0,(TODAY()-AM930),IF(AL930&gt;0,(TODAY()-AL930),IF(AK930&gt;0,(TODAY()-AK930,IF(AI930&gt;0,(TODAY()-AI930),IF(AG930&gt;0,(TODAY()-AG930),IF(AF930&gt;0,(TODAY()-AF930),IF(X930&gt;0,(TODAY()-X930)," "))))))))</f>
        <v>0</v>
      </c>
      <c r="BD930" s="2" t="str">
        <f t="shared" si="37"/>
        <v>BP Secured</v>
      </c>
      <c r="BE930" s="2" t="e">
        <v>#VALUE!</v>
      </c>
      <c r="BG930" s="2" t="e">
        <v>#N/A</v>
      </c>
    </row>
    <row r="931" spans="2:59" hidden="1" x14ac:dyDescent="0.25">
      <c r="B931" s="2" t="s">
        <v>3959</v>
      </c>
      <c r="C931" s="2" t="s">
        <v>3960</v>
      </c>
      <c r="D931" s="44" t="s">
        <v>3961</v>
      </c>
      <c r="E931" s="2" t="s">
        <v>6</v>
      </c>
      <c r="F931" s="2" t="s">
        <v>3612</v>
      </c>
      <c r="G931" s="2" t="s">
        <v>1</v>
      </c>
      <c r="H931" s="2" t="s">
        <v>111</v>
      </c>
      <c r="I931" s="2" t="s">
        <v>112</v>
      </c>
      <c r="J931" s="2" t="s">
        <v>130</v>
      </c>
      <c r="K931" s="2" t="s">
        <v>3613</v>
      </c>
      <c r="L931" s="2" t="s">
        <v>2085</v>
      </c>
      <c r="M931" s="2">
        <v>0</v>
      </c>
      <c r="N931" s="2">
        <v>11.417529999999999</v>
      </c>
      <c r="O931" s="2">
        <v>125.00302000000001</v>
      </c>
      <c r="P931" s="2" t="s">
        <v>87</v>
      </c>
      <c r="Q931" s="2" t="s">
        <v>265</v>
      </c>
      <c r="R931" s="29" t="e">
        <f>IF(INDEX(#REF!,MATCH('data '!$B931,#REF!,0),MATCH('data '!R$3,#REF!,0))=0,"",INDEX(#REF!,MATCH('data '!$B931,#REF!,0),MATCH('data '!R$3,#REF!,0)))</f>
        <v>#REF!</v>
      </c>
      <c r="S931" s="29" t="e">
        <f>IF(INDEX(#REF!,MATCH('data '!$B931,#REF!,0),MATCH('data '!S$3,#REF!,0))=0,"",INDEX(#REF!,MATCH('data '!$B931,#REF!,0),MATCH('data '!S$3,#REF!,0)))</f>
        <v>#REF!</v>
      </c>
      <c r="T931" s="29" t="e">
        <f>IF(INDEX(#REF!,MATCH('data '!$B931,#REF!,0),MATCH('data '!T$3,#REF!,0))=0,"",INDEX(#REF!,MATCH('data '!$B931,#REF!,0),MATCH('data '!T$3,#REF!,0)))</f>
        <v>#REF!</v>
      </c>
      <c r="U931" s="8" t="s">
        <v>25</v>
      </c>
      <c r="V931" s="25" t="s">
        <v>266</v>
      </c>
      <c r="W931" s="25" t="s">
        <v>144</v>
      </c>
      <c r="X931" s="9" t="s">
        <v>25</v>
      </c>
      <c r="Y931" s="9">
        <v>45840</v>
      </c>
      <c r="Z931" s="8">
        <v>45723</v>
      </c>
      <c r="AA931" s="8" t="s">
        <v>986</v>
      </c>
      <c r="AC931" s="8" t="e">
        <f>VLOOKUP(B931,#REF!,19,0)</f>
        <v>#REF!</v>
      </c>
      <c r="AE931" s="8" t="s">
        <v>3962</v>
      </c>
      <c r="AP931" s="8" t="str">
        <f t="shared" si="36"/>
        <v>BP Secured</v>
      </c>
      <c r="AQ931" s="10" t="b" cm="1">
        <f t="array" aca="1" ref="AQ931" ca="1">IF(AM931&gt;0,(TODAY()-AM931),IF(AL931&gt;0,(TODAY()-AL931),IF(AK931&gt;0,(TODAY()-AK931,IF(AI931&gt;0,(TODAY()-AI931),IF(AG931&gt;0,(TODAY()-AG931),IF(AF931&gt;0,(TODAY()-AF931),IF(X931&gt;0,(TODAY()-X931)," "))))))))</f>
        <v>0</v>
      </c>
      <c r="AT931" s="8" t="s">
        <v>155</v>
      </c>
      <c r="AU931" s="8">
        <v>45870</v>
      </c>
      <c r="AV931" s="8">
        <v>45873</v>
      </c>
      <c r="AX931" s="8">
        <v>45876</v>
      </c>
      <c r="BD931" s="2" t="str">
        <f t="shared" si="37"/>
        <v>PO Issued</v>
      </c>
      <c r="BE931" s="2">
        <v>64</v>
      </c>
      <c r="BG931" s="2" t="e">
        <v>#N/A</v>
      </c>
    </row>
    <row r="932" spans="2:59" hidden="1" x14ac:dyDescent="0.25">
      <c r="B932" s="2" t="s">
        <v>3963</v>
      </c>
      <c r="C932" s="2" t="s">
        <v>3964</v>
      </c>
      <c r="D932" s="44" t="s">
        <v>3965</v>
      </c>
      <c r="E932" s="2" t="s">
        <v>6</v>
      </c>
      <c r="F932" s="2" t="s">
        <v>3612</v>
      </c>
      <c r="G932" s="2" t="s">
        <v>1</v>
      </c>
      <c r="H932" s="2" t="s">
        <v>111</v>
      </c>
      <c r="I932" s="2" t="s">
        <v>112</v>
      </c>
      <c r="J932" s="2" t="s">
        <v>130</v>
      </c>
      <c r="K932" s="2" t="s">
        <v>3613</v>
      </c>
      <c r="L932" s="2" t="s">
        <v>3966</v>
      </c>
      <c r="M932" s="2">
        <v>0</v>
      </c>
      <c r="N932" s="2">
        <v>11.1052283</v>
      </c>
      <c r="O932" s="2">
        <v>125.21510000000001</v>
      </c>
      <c r="P932" s="2" t="s">
        <v>87</v>
      </c>
      <c r="Q932" s="2" t="s">
        <v>265</v>
      </c>
      <c r="R932" s="29" t="e">
        <f>IF(INDEX(#REF!,MATCH('data '!$B932,#REF!,0),MATCH('data '!R$3,#REF!,0))=0,"",INDEX(#REF!,MATCH('data '!$B932,#REF!,0),MATCH('data '!R$3,#REF!,0)))</f>
        <v>#REF!</v>
      </c>
      <c r="S932" s="29" t="e">
        <f>IF(INDEX(#REF!,MATCH('data '!$B932,#REF!,0),MATCH('data '!S$3,#REF!,0))=0,"",INDEX(#REF!,MATCH('data '!$B932,#REF!,0),MATCH('data '!S$3,#REF!,0)))</f>
        <v>#REF!</v>
      </c>
      <c r="T932" s="29" t="e">
        <f>IF(INDEX(#REF!,MATCH('data '!$B932,#REF!,0),MATCH('data '!T$3,#REF!,0))=0,"",INDEX(#REF!,MATCH('data '!$B932,#REF!,0),MATCH('data '!T$3,#REF!,0)))</f>
        <v>#REF!</v>
      </c>
      <c r="U932" s="8" t="s">
        <v>25</v>
      </c>
      <c r="V932" s="25" t="s">
        <v>266</v>
      </c>
      <c r="W932" s="25" t="s">
        <v>144</v>
      </c>
      <c r="X932" s="9" t="s">
        <v>25</v>
      </c>
      <c r="Y932" s="9">
        <v>45777</v>
      </c>
      <c r="Z932" s="8">
        <v>45874</v>
      </c>
      <c r="AA932" s="8" t="s">
        <v>3967</v>
      </c>
      <c r="AB932" s="8">
        <v>45917</v>
      </c>
      <c r="AC932" s="8" t="e">
        <f>VLOOKUP(B932,#REF!,19,0)</f>
        <v>#REF!</v>
      </c>
      <c r="AE932" s="8" t="s">
        <v>3962</v>
      </c>
      <c r="AP932" s="8" t="str">
        <f t="shared" si="36"/>
        <v>BP Secured</v>
      </c>
      <c r="AQ932" s="10" t="b" cm="1">
        <f t="array" aca="1" ref="AQ932" ca="1">IF(AM932&gt;0,(TODAY()-AM932),IF(AL932&gt;0,(TODAY()-AL932),IF(AK932&gt;0,(TODAY()-AK932,IF(AI932&gt;0,(TODAY()-AI932),IF(AG932&gt;0,(TODAY()-AG932),IF(AF932&gt;0,(TODAY()-AF932),IF(X932&gt;0,(TODAY()-X932)," "))))))))</f>
        <v>0</v>
      </c>
      <c r="AT932" s="8" t="s">
        <v>155</v>
      </c>
      <c r="AU932" s="8">
        <v>45862</v>
      </c>
      <c r="AV932" s="8">
        <v>45863</v>
      </c>
      <c r="AX932" s="8">
        <v>45866</v>
      </c>
      <c r="BA932" s="8">
        <v>45918</v>
      </c>
      <c r="BD932" s="2" t="str">
        <f t="shared" si="37"/>
        <v>Line Construction Completed</v>
      </c>
      <c r="BE932" s="2">
        <v>22</v>
      </c>
      <c r="BG932" s="2" t="e">
        <v>#N/A</v>
      </c>
    </row>
    <row r="933" spans="2:59" hidden="1" x14ac:dyDescent="0.25">
      <c r="B933" s="2" t="s">
        <v>3968</v>
      </c>
      <c r="C933" s="2" t="s">
        <v>3969</v>
      </c>
      <c r="D933" s="44" t="s">
        <v>3970</v>
      </c>
      <c r="E933" s="2" t="s">
        <v>6</v>
      </c>
      <c r="F933" s="2" t="s">
        <v>1014</v>
      </c>
      <c r="G933" s="2" t="s">
        <v>1</v>
      </c>
      <c r="H933" s="2" t="s">
        <v>111</v>
      </c>
      <c r="I933" s="2" t="s">
        <v>112</v>
      </c>
      <c r="J933" s="2" t="s">
        <v>113</v>
      </c>
      <c r="K933" s="2" t="s">
        <v>114</v>
      </c>
      <c r="L933" s="2" t="s">
        <v>1015</v>
      </c>
      <c r="M933" s="2">
        <v>0</v>
      </c>
      <c r="N933" s="2">
        <v>10.292400000000001</v>
      </c>
      <c r="O933" s="2">
        <v>123.9474</v>
      </c>
      <c r="P933" s="2" t="s">
        <v>87</v>
      </c>
      <c r="Q933" s="2" t="s">
        <v>265</v>
      </c>
      <c r="R933" s="29" t="e">
        <f>IF(INDEX(#REF!,MATCH('data '!$B933,#REF!,0),MATCH('data '!R$3,#REF!,0))=0,"",INDEX(#REF!,MATCH('data '!$B933,#REF!,0),MATCH('data '!R$3,#REF!,0)))</f>
        <v>#REF!</v>
      </c>
      <c r="S933" s="29" t="e">
        <f>IF(INDEX(#REF!,MATCH('data '!$B933,#REF!,0),MATCH('data '!S$3,#REF!,0))=0,"",INDEX(#REF!,MATCH('data '!$B933,#REF!,0),MATCH('data '!S$3,#REF!,0)))</f>
        <v>#REF!</v>
      </c>
      <c r="T933" s="29" t="e">
        <f>IF(INDEX(#REF!,MATCH('data '!$B933,#REF!,0),MATCH('data '!T$3,#REF!,0))=0,"",INDEX(#REF!,MATCH('data '!$B933,#REF!,0),MATCH('data '!T$3,#REF!,0)))</f>
        <v>#REF!</v>
      </c>
      <c r="U933" s="8" t="s">
        <v>25</v>
      </c>
      <c r="V933" s="25" t="s">
        <v>266</v>
      </c>
      <c r="W933" s="25" t="s">
        <v>144</v>
      </c>
      <c r="X933" s="43" t="s">
        <v>25</v>
      </c>
      <c r="Y933" s="43">
        <v>45856</v>
      </c>
      <c r="AA933" s="8" t="s">
        <v>2804</v>
      </c>
      <c r="AB933" s="8">
        <v>45909</v>
      </c>
      <c r="AC933" s="8" t="e">
        <f>VLOOKUP(B933,#REF!,19,0)</f>
        <v>#REF!</v>
      </c>
      <c r="AE933" s="8" t="s">
        <v>3971</v>
      </c>
      <c r="AP933" s="8" t="str">
        <f t="shared" si="36"/>
        <v>BP Secured</v>
      </c>
      <c r="AQ933" s="10" t="b" cm="1">
        <f t="array" aca="1" ref="AQ933" ca="1">IF(AM933&gt;0,(TODAY()-AM933),IF(AL933&gt;0,(TODAY()-AL933),IF(AK933&gt;0,(TODAY()-AK933,IF(AI933&gt;0,(TODAY()-AI933),IF(AG933&gt;0,(TODAY()-AG933),IF(AF933&gt;0,(TODAY()-AF933),IF(X933&gt;0,(TODAY()-X933)," "))))))))</f>
        <v>0</v>
      </c>
      <c r="AT933" s="8">
        <v>45911</v>
      </c>
      <c r="AU933" s="8">
        <v>45930</v>
      </c>
      <c r="AV933" s="8">
        <v>45927</v>
      </c>
      <c r="AX933" s="8">
        <v>45930</v>
      </c>
      <c r="BD933" s="2" t="str">
        <f t="shared" si="37"/>
        <v>PO Issued</v>
      </c>
      <c r="BE933" s="2">
        <v>10</v>
      </c>
      <c r="BG933" s="2" t="e">
        <v>#N/A</v>
      </c>
    </row>
    <row r="934" spans="2:59" hidden="1" x14ac:dyDescent="0.25">
      <c r="B934" s="2" t="s">
        <v>3972</v>
      </c>
      <c r="C934" s="2" t="s">
        <v>3973</v>
      </c>
      <c r="D934" s="44" t="s">
        <v>3974</v>
      </c>
      <c r="E934" s="2" t="s">
        <v>6</v>
      </c>
      <c r="F934" s="2" t="s">
        <v>110</v>
      </c>
      <c r="G934" s="2" t="s">
        <v>1</v>
      </c>
      <c r="H934" s="2" t="s">
        <v>111</v>
      </c>
      <c r="I934" s="2" t="s">
        <v>112</v>
      </c>
      <c r="J934" s="2" t="s">
        <v>113</v>
      </c>
      <c r="K934" s="2" t="s">
        <v>114</v>
      </c>
      <c r="L934" s="2" t="s">
        <v>3455</v>
      </c>
      <c r="M934" s="2">
        <v>0</v>
      </c>
      <c r="N934" s="2">
        <v>10.256328</v>
      </c>
      <c r="O934" s="2">
        <v>123.846034</v>
      </c>
      <c r="P934" s="2" t="s">
        <v>87</v>
      </c>
      <c r="Q934" s="2" t="s">
        <v>265</v>
      </c>
      <c r="R934" s="29" t="e">
        <f>IF(INDEX(#REF!,MATCH('data '!$B934,#REF!,0),MATCH('data '!R$3,#REF!,0))=0,"",INDEX(#REF!,MATCH('data '!$B934,#REF!,0),MATCH('data '!R$3,#REF!,0)))</f>
        <v>#REF!</v>
      </c>
      <c r="S934" s="29" t="e">
        <f>IF(INDEX(#REF!,MATCH('data '!$B934,#REF!,0),MATCH('data '!S$3,#REF!,0))=0,"",INDEX(#REF!,MATCH('data '!$B934,#REF!,0),MATCH('data '!S$3,#REF!,0)))</f>
        <v>#REF!</v>
      </c>
      <c r="T934" s="29" t="e">
        <f>IF(INDEX(#REF!,MATCH('data '!$B934,#REF!,0),MATCH('data '!T$3,#REF!,0))=0,"",INDEX(#REF!,MATCH('data '!$B934,#REF!,0),MATCH('data '!T$3,#REF!,0)))</f>
        <v>#REF!</v>
      </c>
      <c r="U934" s="8" t="s">
        <v>25</v>
      </c>
      <c r="V934" s="25" t="s">
        <v>266</v>
      </c>
      <c r="W934" s="25" t="s">
        <v>144</v>
      </c>
      <c r="X934" s="43" t="s">
        <v>25</v>
      </c>
      <c r="Y934" s="43">
        <v>45859</v>
      </c>
      <c r="AA934" s="8">
        <v>45817</v>
      </c>
      <c r="AC934" s="8" t="e">
        <f>VLOOKUP(B934,#REF!,19,0)</f>
        <v>#REF!</v>
      </c>
      <c r="AE934" s="8" t="s">
        <v>582</v>
      </c>
      <c r="AP934" s="8" t="str">
        <f t="shared" si="36"/>
        <v>BP Secured</v>
      </c>
      <c r="AQ934" s="10" t="b" cm="1">
        <f t="array" aca="1" ref="AQ934" ca="1">IF(AM934&gt;0,(TODAY()-AM934),IF(AL934&gt;0,(TODAY()-AL934),IF(AK934&gt;0,(TODAY()-AK934,IF(AI934&gt;0,(TODAY()-AI934),IF(AG934&gt;0,(TODAY()-AG934),IF(AF934&gt;0,(TODAY()-AF934),IF(X934&gt;0,(TODAY()-X934)," "))))))))</f>
        <v>0</v>
      </c>
      <c r="AT934" s="8" t="s">
        <v>155</v>
      </c>
      <c r="AU934" s="8">
        <v>45901</v>
      </c>
      <c r="AV934" s="8">
        <v>45901</v>
      </c>
      <c r="AX934" s="8">
        <v>45904</v>
      </c>
      <c r="BD934" s="2" t="str">
        <f t="shared" si="37"/>
        <v>PO Issued</v>
      </c>
      <c r="BE934" s="2">
        <v>36</v>
      </c>
      <c r="BG934" s="2" t="e">
        <v>#N/A</v>
      </c>
    </row>
    <row r="935" spans="2:59" hidden="1" x14ac:dyDescent="0.25">
      <c r="B935" s="2" t="s">
        <v>3975</v>
      </c>
      <c r="C935" s="2" t="s">
        <v>3976</v>
      </c>
      <c r="D935" s="44" t="s">
        <v>3977</v>
      </c>
      <c r="E935" s="2" t="s">
        <v>6</v>
      </c>
      <c r="F935" s="2" t="s">
        <v>110</v>
      </c>
      <c r="G935" s="2" t="s">
        <v>1</v>
      </c>
      <c r="H935" s="2" t="s">
        <v>111</v>
      </c>
      <c r="I935" s="2" t="s">
        <v>112</v>
      </c>
      <c r="J935" s="2" t="s">
        <v>113</v>
      </c>
      <c r="K935" s="2" t="s">
        <v>114</v>
      </c>
      <c r="L935" s="2" t="s">
        <v>115</v>
      </c>
      <c r="M935" s="2">
        <v>0</v>
      </c>
      <c r="N935" s="2">
        <v>10.285854</v>
      </c>
      <c r="O935" s="2">
        <v>123.85729600000001</v>
      </c>
      <c r="P935" s="2" t="s">
        <v>87</v>
      </c>
      <c r="Q935" s="2" t="s">
        <v>265</v>
      </c>
      <c r="R935" s="29" t="e">
        <f>IF(INDEX(#REF!,MATCH('data '!$B935,#REF!,0),MATCH('data '!R$3,#REF!,0))=0,"",INDEX(#REF!,MATCH('data '!$B935,#REF!,0),MATCH('data '!R$3,#REF!,0)))</f>
        <v>#REF!</v>
      </c>
      <c r="S935" s="29" t="e">
        <f>IF(INDEX(#REF!,MATCH('data '!$B935,#REF!,0),MATCH('data '!S$3,#REF!,0))=0,"",INDEX(#REF!,MATCH('data '!$B935,#REF!,0),MATCH('data '!S$3,#REF!,0)))</f>
        <v>#REF!</v>
      </c>
      <c r="T935" s="29" t="e">
        <f>IF(INDEX(#REF!,MATCH('data '!$B935,#REF!,0),MATCH('data '!T$3,#REF!,0))=0,"",INDEX(#REF!,MATCH('data '!$B935,#REF!,0),MATCH('data '!T$3,#REF!,0)))</f>
        <v>#REF!</v>
      </c>
      <c r="U935" s="8" t="s">
        <v>25</v>
      </c>
      <c r="V935" s="25" t="s">
        <v>266</v>
      </c>
      <c r="W935" s="25" t="s">
        <v>144</v>
      </c>
      <c r="X935" s="9" t="s">
        <v>25</v>
      </c>
      <c r="Y935" s="9">
        <v>45835</v>
      </c>
      <c r="Z935" s="8">
        <v>45723</v>
      </c>
      <c r="AB935" s="8">
        <v>45917</v>
      </c>
      <c r="AC935" s="8" t="e">
        <f>VLOOKUP(B935,#REF!,19,0)</f>
        <v>#REF!</v>
      </c>
      <c r="AE935" s="8" t="s">
        <v>582</v>
      </c>
      <c r="AK935" s="8">
        <v>45910</v>
      </c>
      <c r="AP935" s="8" t="str">
        <f t="shared" si="36"/>
        <v>COOP Surveyed</v>
      </c>
      <c r="AQ935" s="10" t="e" cm="1">
        <f t="array" aca="1" ref="AQ935" ca="1">IF(AM935&gt;0,(TODAY()-AM935),IF(AL935&gt;0,(TODAY()-AL935),IF(AK935&gt;0,(TODAY()-AK935,IF(AI935&gt;0,(TODAY()-AI935),IF(AG935&gt;0,(TODAY()-AG935),IF(AF935&gt;0,(TODAY()-AF935),IF(X935&gt;0,(TODAY()-X935)," "))))))))</f>
        <v>#VALUE!</v>
      </c>
      <c r="AT935" s="8" t="s">
        <v>155</v>
      </c>
      <c r="AU935" s="8">
        <v>45883</v>
      </c>
      <c r="AV935" s="8">
        <v>45884</v>
      </c>
      <c r="AX935" s="8">
        <v>45887</v>
      </c>
      <c r="BD935" s="2" t="str">
        <f t="shared" si="37"/>
        <v>PO Issued</v>
      </c>
      <c r="BE935" s="2">
        <v>53</v>
      </c>
      <c r="BG935" s="2" t="e">
        <v>#N/A</v>
      </c>
    </row>
    <row r="936" spans="2:59" hidden="1" x14ac:dyDescent="0.25">
      <c r="B936" s="2" t="s">
        <v>3978</v>
      </c>
      <c r="C936" s="2" t="s">
        <v>3979</v>
      </c>
      <c r="D936" s="44" t="s">
        <v>3980</v>
      </c>
      <c r="E936" s="2" t="s">
        <v>6</v>
      </c>
      <c r="F936" s="2" t="s">
        <v>110</v>
      </c>
      <c r="G936" s="2" t="s">
        <v>1</v>
      </c>
      <c r="H936" s="2" t="s">
        <v>111</v>
      </c>
      <c r="I936" s="2" t="s">
        <v>112</v>
      </c>
      <c r="J936" s="2" t="s">
        <v>113</v>
      </c>
      <c r="K936" s="2" t="s">
        <v>114</v>
      </c>
      <c r="L936" s="2" t="s">
        <v>1029</v>
      </c>
      <c r="M936" s="2">
        <v>0</v>
      </c>
      <c r="N936" s="2">
        <v>10.3447</v>
      </c>
      <c r="O936" s="2">
        <v>123.9517</v>
      </c>
      <c r="P936" s="2" t="s">
        <v>87</v>
      </c>
      <c r="Q936" s="2" t="s">
        <v>265</v>
      </c>
      <c r="R936" s="29" t="e">
        <f>IF(INDEX(#REF!,MATCH('data '!$B936,#REF!,0),MATCH('data '!R$3,#REF!,0))=0,"",INDEX(#REF!,MATCH('data '!$B936,#REF!,0),MATCH('data '!R$3,#REF!,0)))</f>
        <v>#REF!</v>
      </c>
      <c r="S936" s="29" t="e">
        <f>IF(INDEX(#REF!,MATCH('data '!$B936,#REF!,0),MATCH('data '!S$3,#REF!,0))=0,"",INDEX(#REF!,MATCH('data '!$B936,#REF!,0),MATCH('data '!S$3,#REF!,0)))</f>
        <v>#REF!</v>
      </c>
      <c r="T936" s="29" t="e">
        <f>IF(INDEX(#REF!,MATCH('data '!$B936,#REF!,0),MATCH('data '!T$3,#REF!,0))=0,"",INDEX(#REF!,MATCH('data '!$B936,#REF!,0),MATCH('data '!T$3,#REF!,0)))</f>
        <v>#REF!</v>
      </c>
      <c r="U936" s="8" t="s">
        <v>25</v>
      </c>
      <c r="V936" s="25" t="s">
        <v>266</v>
      </c>
      <c r="W936" s="25" t="s">
        <v>144</v>
      </c>
      <c r="X936" s="43" t="s">
        <v>25</v>
      </c>
      <c r="Y936" s="43">
        <v>45831</v>
      </c>
      <c r="AA936" s="8" t="s">
        <v>3144</v>
      </c>
      <c r="AB936" s="8">
        <v>45917</v>
      </c>
      <c r="AC936" s="8" t="e">
        <f>VLOOKUP(B936,#REF!,19,0)</f>
        <v>#REF!</v>
      </c>
      <c r="AE936" s="8" t="s">
        <v>582</v>
      </c>
      <c r="AP936" s="8" t="str">
        <f t="shared" si="36"/>
        <v>BP Secured</v>
      </c>
      <c r="AQ936" s="10" t="b" cm="1">
        <f t="array" aca="1" ref="AQ936" ca="1">IF(AM936&gt;0,(TODAY()-AM936),IF(AL936&gt;0,(TODAY()-AL936),IF(AK936&gt;0,(TODAY()-AK936,IF(AI936&gt;0,(TODAY()-AI936),IF(AG936&gt;0,(TODAY()-AG936),IF(AF936&gt;0,(TODAY()-AF936),IF(X936&gt;0,(TODAY()-X936)," "))))))))</f>
        <v>0</v>
      </c>
      <c r="AT936" s="8" t="s">
        <v>155</v>
      </c>
      <c r="AU936" s="8">
        <v>45883</v>
      </c>
      <c r="AV936" s="8">
        <v>45884</v>
      </c>
      <c r="AX936" s="8">
        <v>45887</v>
      </c>
      <c r="BD936" s="2" t="str">
        <f t="shared" si="37"/>
        <v>PO Issued</v>
      </c>
      <c r="BE936" s="2">
        <v>53</v>
      </c>
      <c r="BG936" s="2" t="e">
        <v>#N/A</v>
      </c>
    </row>
    <row r="937" spans="2:59" hidden="1" x14ac:dyDescent="0.25">
      <c r="B937" s="2" t="s">
        <v>3981</v>
      </c>
      <c r="C937" s="2" t="s">
        <v>3982</v>
      </c>
      <c r="D937" s="44" t="s">
        <v>3983</v>
      </c>
      <c r="E937" s="2" t="s">
        <v>6</v>
      </c>
      <c r="F937" s="2" t="s">
        <v>3984</v>
      </c>
      <c r="G937" s="2" t="s">
        <v>1</v>
      </c>
      <c r="H937" s="2" t="s">
        <v>111</v>
      </c>
      <c r="I937" s="2" t="s">
        <v>112</v>
      </c>
      <c r="J937" s="2" t="s">
        <v>113</v>
      </c>
      <c r="K937" s="2" t="s">
        <v>202</v>
      </c>
      <c r="L937" s="2" t="s">
        <v>203</v>
      </c>
      <c r="M937" s="2">
        <v>0</v>
      </c>
      <c r="N937" s="2">
        <v>9.6612282999999994</v>
      </c>
      <c r="O937" s="2">
        <v>123.861525</v>
      </c>
      <c r="P937" s="2" t="s">
        <v>87</v>
      </c>
      <c r="Q937" s="2" t="s">
        <v>265</v>
      </c>
      <c r="R937" s="29" t="e">
        <f>IF(INDEX(#REF!,MATCH('data '!$B937,#REF!,0),MATCH('data '!R$3,#REF!,0))=0,"",INDEX(#REF!,MATCH('data '!$B937,#REF!,0),MATCH('data '!R$3,#REF!,0)))</f>
        <v>#REF!</v>
      </c>
      <c r="S937" s="29" t="e">
        <f>IF(INDEX(#REF!,MATCH('data '!$B937,#REF!,0),MATCH('data '!S$3,#REF!,0))=0,"",INDEX(#REF!,MATCH('data '!$B937,#REF!,0),MATCH('data '!S$3,#REF!,0)))</f>
        <v>#REF!</v>
      </c>
      <c r="T937" s="29" t="e">
        <f>IF(INDEX(#REF!,MATCH('data '!$B937,#REF!,0),MATCH('data '!T$3,#REF!,0))=0,"",INDEX(#REF!,MATCH('data '!$B937,#REF!,0),MATCH('data '!T$3,#REF!,0)))</f>
        <v>#REF!</v>
      </c>
      <c r="U937" s="8" t="s">
        <v>25</v>
      </c>
      <c r="V937" s="25" t="s">
        <v>266</v>
      </c>
      <c r="W937" s="25" t="s">
        <v>144</v>
      </c>
      <c r="X937" s="43" t="s">
        <v>25</v>
      </c>
      <c r="Y937" s="43">
        <v>45853</v>
      </c>
      <c r="AA937" s="8" t="s">
        <v>3985</v>
      </c>
      <c r="AC937" s="8" t="e">
        <f>VLOOKUP(B937,#REF!,19,0)</f>
        <v>#REF!</v>
      </c>
      <c r="AE937" s="8" t="s">
        <v>1289</v>
      </c>
      <c r="AP937" s="8" t="str">
        <f t="shared" si="36"/>
        <v>BP Secured</v>
      </c>
      <c r="AQ937" s="10" t="b" cm="1">
        <f t="array" aca="1" ref="AQ937" ca="1">IF(AM937&gt;0,(TODAY()-AM937),IF(AL937&gt;0,(TODAY()-AL937),IF(AK937&gt;0,(TODAY()-AK937,IF(AI937&gt;0,(TODAY()-AI937),IF(AG937&gt;0,(TODAY()-AG937),IF(AF937&gt;0,(TODAY()-AF937),IF(X937&gt;0,(TODAY()-X937)," "))))))))</f>
        <v>0</v>
      </c>
      <c r="AT937" s="8" t="s">
        <v>155</v>
      </c>
      <c r="AU937" s="8">
        <v>45916</v>
      </c>
      <c r="AV937" s="8">
        <v>45913</v>
      </c>
      <c r="AX937" s="8">
        <v>45916</v>
      </c>
      <c r="BD937" s="2" t="str">
        <f t="shared" si="37"/>
        <v>PO Issued</v>
      </c>
      <c r="BE937" s="2">
        <v>24</v>
      </c>
      <c r="BG937" s="2" t="e">
        <v>#N/A</v>
      </c>
    </row>
    <row r="938" spans="2:59" hidden="1" x14ac:dyDescent="0.25">
      <c r="B938" s="2" t="s">
        <v>3986</v>
      </c>
      <c r="C938" s="2" t="s">
        <v>3987</v>
      </c>
      <c r="D938" s="44" t="s">
        <v>3988</v>
      </c>
      <c r="E938" s="2" t="s">
        <v>6</v>
      </c>
      <c r="F938" s="2">
        <v>0</v>
      </c>
      <c r="G938" s="2" t="s">
        <v>1</v>
      </c>
      <c r="H938" s="2" t="s">
        <v>111</v>
      </c>
      <c r="I938" s="2" t="s">
        <v>112</v>
      </c>
      <c r="J938" s="2" t="s">
        <v>344</v>
      </c>
      <c r="K938" s="2" t="s">
        <v>620</v>
      </c>
      <c r="L938" s="2">
        <v>0</v>
      </c>
      <c r="M938" s="2">
        <v>0</v>
      </c>
      <c r="N938" s="2">
        <v>10.367357</v>
      </c>
      <c r="O938" s="2">
        <v>123.027492</v>
      </c>
      <c r="P938" s="2" t="s">
        <v>87</v>
      </c>
      <c r="Q938" s="2" t="s">
        <v>227</v>
      </c>
      <c r="R938" s="29" t="e">
        <f>IF(INDEX(#REF!,MATCH('data '!$B938,#REF!,0),MATCH('data '!R$3,#REF!,0))=0,"",INDEX(#REF!,MATCH('data '!$B938,#REF!,0),MATCH('data '!R$3,#REF!,0)))</f>
        <v>#REF!</v>
      </c>
      <c r="S938" s="29" t="e">
        <f>IF(INDEX(#REF!,MATCH('data '!$B938,#REF!,0),MATCH('data '!S$3,#REF!,0))=0,"",INDEX(#REF!,MATCH('data '!$B938,#REF!,0),MATCH('data '!S$3,#REF!,0)))</f>
        <v>#REF!</v>
      </c>
      <c r="T938" s="29" t="e">
        <f>IF(INDEX(#REF!,MATCH('data '!$B938,#REF!,0),MATCH('data '!T$3,#REF!,0))=0,"",INDEX(#REF!,MATCH('data '!$B938,#REF!,0),MATCH('data '!T$3,#REF!,0)))</f>
        <v>#REF!</v>
      </c>
      <c r="V938" s="25" t="s">
        <v>185</v>
      </c>
      <c r="W938" s="25" t="s">
        <v>144</v>
      </c>
      <c r="X938" s="9" t="s">
        <v>25</v>
      </c>
      <c r="Y938" s="9">
        <v>45911</v>
      </c>
      <c r="AC938" s="8" t="e">
        <f>VLOOKUP(B938,#REF!,19,0)</f>
        <v>#REF!</v>
      </c>
      <c r="AP938" s="8" t="str">
        <f t="shared" si="36"/>
        <v>BP Secured</v>
      </c>
      <c r="AQ938" s="10" t="b" cm="1">
        <f t="array" aca="1" ref="AQ938" ca="1">IF(AM938&gt;0,(TODAY()-AM938),IF(AL938&gt;0,(TODAY()-AL938),IF(AK938&gt;0,(TODAY()-AK938,IF(AI938&gt;0,(TODAY()-AI938),IF(AG938&gt;0,(TODAY()-AG938),IF(AF938&gt;0,(TODAY()-AF938),IF(X938&gt;0,(TODAY()-X938)," "))))))))</f>
        <v>0</v>
      </c>
      <c r="BD938" s="2" t="str">
        <f t="shared" si="37"/>
        <v>BP Secured</v>
      </c>
      <c r="BE938" s="2" t="e">
        <v>#VALUE!</v>
      </c>
      <c r="BG938" s="2" t="e">
        <v>#N/A</v>
      </c>
    </row>
    <row r="939" spans="2:59" hidden="1" x14ac:dyDescent="0.25">
      <c r="B939" s="2" t="s">
        <v>3989</v>
      </c>
      <c r="C939" s="2" t="s">
        <v>3990</v>
      </c>
      <c r="D939" s="44" t="s">
        <v>3991</v>
      </c>
      <c r="E939" s="2" t="s">
        <v>6</v>
      </c>
      <c r="F939" s="2" t="s">
        <v>3130</v>
      </c>
      <c r="G939" s="2" t="s">
        <v>1</v>
      </c>
      <c r="H939" s="2" t="s">
        <v>111</v>
      </c>
      <c r="I939" s="2" t="s">
        <v>112</v>
      </c>
      <c r="J939" s="2" t="s">
        <v>344</v>
      </c>
      <c r="K939" s="2" t="s">
        <v>620</v>
      </c>
      <c r="L939" s="2" t="s">
        <v>3992</v>
      </c>
      <c r="M939" s="2">
        <v>0</v>
      </c>
      <c r="N939" s="2">
        <v>10.581379999999999</v>
      </c>
      <c r="O939" s="2">
        <v>123.41551</v>
      </c>
      <c r="P939" s="2" t="s">
        <v>87</v>
      </c>
      <c r="Q939" s="2" t="s">
        <v>265</v>
      </c>
      <c r="R939" s="29" t="e">
        <f>IF(INDEX(#REF!,MATCH('data '!$B939,#REF!,0),MATCH('data '!R$3,#REF!,0))=0,"",INDEX(#REF!,MATCH('data '!$B939,#REF!,0),MATCH('data '!R$3,#REF!,0)))</f>
        <v>#REF!</v>
      </c>
      <c r="S939" s="29" t="e">
        <f>IF(INDEX(#REF!,MATCH('data '!$B939,#REF!,0),MATCH('data '!S$3,#REF!,0))=0,"",INDEX(#REF!,MATCH('data '!$B939,#REF!,0),MATCH('data '!S$3,#REF!,0)))</f>
        <v>#REF!</v>
      </c>
      <c r="T939" s="29" t="e">
        <f>IF(INDEX(#REF!,MATCH('data '!$B939,#REF!,0),MATCH('data '!T$3,#REF!,0))=0,"",INDEX(#REF!,MATCH('data '!$B939,#REF!,0),MATCH('data '!T$3,#REF!,0)))</f>
        <v>#REF!</v>
      </c>
      <c r="U939" s="8" t="s">
        <v>25</v>
      </c>
      <c r="V939" s="25" t="s">
        <v>266</v>
      </c>
      <c r="W939" s="25" t="s">
        <v>144</v>
      </c>
      <c r="X939" s="43" t="s">
        <v>25</v>
      </c>
      <c r="Y939" s="43">
        <v>45884</v>
      </c>
      <c r="AA939" s="8" t="s">
        <v>2421</v>
      </c>
      <c r="AB939" s="8">
        <v>45933</v>
      </c>
      <c r="AC939" s="8" t="e">
        <f>VLOOKUP(B939,#REF!,19,0)</f>
        <v>#REF!</v>
      </c>
      <c r="AE939" s="8" t="s">
        <v>770</v>
      </c>
      <c r="AK939" s="8">
        <v>45910</v>
      </c>
      <c r="AP939" s="8" t="str">
        <f t="shared" si="36"/>
        <v>COOP Surveyed</v>
      </c>
      <c r="AQ939" s="10" t="e" cm="1">
        <f t="array" aca="1" ref="AQ939" ca="1">IF(AM939&gt;0,(TODAY()-AM939),IF(AL939&gt;0,(TODAY()-AL939),IF(AK939&gt;0,(TODAY()-AK939,IF(AI939&gt;0,(TODAY()-AI939),IF(AG939&gt;0,(TODAY()-AG939),IF(AF939&gt;0,(TODAY()-AF939),IF(X939&gt;0,(TODAY()-X939)," "))))))))</f>
        <v>#VALUE!</v>
      </c>
      <c r="AT939" s="8">
        <v>45931</v>
      </c>
      <c r="AU939" s="8">
        <v>45932</v>
      </c>
      <c r="BD939" s="2" t="str">
        <f t="shared" si="37"/>
        <v>BoQ Approved</v>
      </c>
      <c r="BE939" s="2">
        <v>8</v>
      </c>
      <c r="BG939" s="2" t="e">
        <v>#N/A</v>
      </c>
    </row>
    <row r="940" spans="2:59" hidden="1" x14ac:dyDescent="0.25">
      <c r="B940" s="2" t="s">
        <v>3993</v>
      </c>
      <c r="C940" s="2" t="s">
        <v>3994</v>
      </c>
      <c r="D940" s="44" t="s">
        <v>3995</v>
      </c>
      <c r="E940" s="2" t="s">
        <v>6</v>
      </c>
      <c r="F940" s="2">
        <v>0</v>
      </c>
      <c r="G940" s="2" t="s">
        <v>1</v>
      </c>
      <c r="H940" s="2" t="s">
        <v>111</v>
      </c>
      <c r="I940" s="2" t="s">
        <v>112</v>
      </c>
      <c r="J940" s="2" t="s">
        <v>113</v>
      </c>
      <c r="K940" s="2" t="s">
        <v>411</v>
      </c>
      <c r="L940" s="2">
        <v>0</v>
      </c>
      <c r="M940" s="2">
        <v>0</v>
      </c>
      <c r="N940" s="2">
        <v>9.5221739999999997</v>
      </c>
      <c r="O940" s="2">
        <v>123.133662</v>
      </c>
      <c r="P940" s="2" t="s">
        <v>87</v>
      </c>
      <c r="Q940" s="2" t="s">
        <v>227</v>
      </c>
      <c r="R940" s="29" t="e">
        <f>IF(INDEX(#REF!,MATCH('data '!$B940,#REF!,0),MATCH('data '!R$3,#REF!,0))=0,"",INDEX(#REF!,MATCH('data '!$B940,#REF!,0),MATCH('data '!R$3,#REF!,0)))</f>
        <v>#REF!</v>
      </c>
      <c r="S940" s="29" t="e">
        <f>IF(INDEX(#REF!,MATCH('data '!$B940,#REF!,0),MATCH('data '!S$3,#REF!,0))=0,"",INDEX(#REF!,MATCH('data '!$B940,#REF!,0),MATCH('data '!S$3,#REF!,0)))</f>
        <v>#REF!</v>
      </c>
      <c r="T940" s="29" t="e">
        <f>IF(INDEX(#REF!,MATCH('data '!$B940,#REF!,0),MATCH('data '!T$3,#REF!,0))=0,"",INDEX(#REF!,MATCH('data '!$B940,#REF!,0),MATCH('data '!T$3,#REF!,0)))</f>
        <v>#REF!</v>
      </c>
      <c r="V940" s="25" t="s">
        <v>383</v>
      </c>
      <c r="W940" s="25" t="s">
        <v>144</v>
      </c>
      <c r="X940" s="9" t="s">
        <v>25</v>
      </c>
      <c r="Y940" s="9">
        <v>45911</v>
      </c>
      <c r="AC940" s="8" t="e">
        <f>VLOOKUP(B940,#REF!,19,0)</f>
        <v>#REF!</v>
      </c>
      <c r="AP940" s="8" t="str">
        <f t="shared" si="36"/>
        <v>BP Secured</v>
      </c>
      <c r="AQ940" s="10" t="b" cm="1">
        <f t="array" aca="1" ref="AQ940" ca="1">IF(AM940&gt;0,(TODAY()-AM940),IF(AL940&gt;0,(TODAY()-AL940),IF(AK940&gt;0,(TODAY()-AK940,IF(AI940&gt;0,(TODAY()-AI940),IF(AG940&gt;0,(TODAY()-AG940),IF(AF940&gt;0,(TODAY()-AF940),IF(X940&gt;0,(TODAY()-X940)," "))))))))</f>
        <v>0</v>
      </c>
      <c r="BD940" s="2" t="str">
        <f t="shared" si="37"/>
        <v>BP Secured</v>
      </c>
      <c r="BE940" s="2" t="e">
        <v>#VALUE!</v>
      </c>
      <c r="BG940" s="2" t="e">
        <v>#N/A</v>
      </c>
    </row>
    <row r="941" spans="2:59" hidden="1" x14ac:dyDescent="0.25">
      <c r="B941" s="2" t="s">
        <v>3996</v>
      </c>
      <c r="C941" s="2" t="s">
        <v>3997</v>
      </c>
      <c r="D941" s="44" t="s">
        <v>3998</v>
      </c>
      <c r="E941" s="2" t="s">
        <v>6</v>
      </c>
      <c r="F941" s="2" t="s">
        <v>768</v>
      </c>
      <c r="G941" s="2" t="s">
        <v>1</v>
      </c>
      <c r="H941" s="2" t="s">
        <v>111</v>
      </c>
      <c r="I941" s="2" t="s">
        <v>112</v>
      </c>
      <c r="J941" s="2" t="s">
        <v>344</v>
      </c>
      <c r="K941" s="2" t="s">
        <v>620</v>
      </c>
      <c r="L941" s="2" t="s">
        <v>769</v>
      </c>
      <c r="M941" s="2" t="s">
        <v>3999</v>
      </c>
      <c r="N941" s="2">
        <v>10.71285</v>
      </c>
      <c r="O941" s="2">
        <v>122.949291</v>
      </c>
      <c r="P941" s="2" t="s">
        <v>87</v>
      </c>
      <c r="Q941" s="2" t="s">
        <v>265</v>
      </c>
      <c r="R941" s="29" t="e">
        <f>IF(INDEX(#REF!,MATCH('data '!$B941,#REF!,0),MATCH('data '!R$3,#REF!,0))=0,"",INDEX(#REF!,MATCH('data '!$B941,#REF!,0),MATCH('data '!R$3,#REF!,0)))</f>
        <v>#REF!</v>
      </c>
      <c r="S941" s="29" t="e">
        <f>IF(INDEX(#REF!,MATCH('data '!$B941,#REF!,0),MATCH('data '!S$3,#REF!,0))=0,"",INDEX(#REF!,MATCH('data '!$B941,#REF!,0),MATCH('data '!S$3,#REF!,0)))</f>
        <v>#REF!</v>
      </c>
      <c r="T941" s="29" t="e">
        <f>IF(INDEX(#REF!,MATCH('data '!$B941,#REF!,0),MATCH('data '!T$3,#REF!,0))=0,"",INDEX(#REF!,MATCH('data '!$B941,#REF!,0),MATCH('data '!T$3,#REF!,0)))</f>
        <v>#REF!</v>
      </c>
      <c r="U941" s="8" t="s">
        <v>25</v>
      </c>
      <c r="V941" s="25" t="s">
        <v>266</v>
      </c>
      <c r="W941" s="25" t="s">
        <v>144</v>
      </c>
      <c r="X941" s="43" t="s">
        <v>25</v>
      </c>
      <c r="Y941" s="43">
        <v>45831</v>
      </c>
      <c r="AA941" s="8" t="s">
        <v>2435</v>
      </c>
      <c r="AB941" s="8">
        <v>45917</v>
      </c>
      <c r="AC941" s="8" t="e">
        <f>VLOOKUP(B941,#REF!,19,0)</f>
        <v>#REF!</v>
      </c>
      <c r="AE941" s="8" t="s">
        <v>770</v>
      </c>
      <c r="AK941" s="8">
        <v>45910</v>
      </c>
      <c r="AP941" s="8" t="str">
        <f t="shared" si="36"/>
        <v>COOP Surveyed</v>
      </c>
      <c r="AQ941" s="10" t="e" cm="1">
        <f t="array" aca="1" ref="AQ941" ca="1">IF(AM941&gt;0,(TODAY()-AM941),IF(AL941&gt;0,(TODAY()-AL941),IF(AK941&gt;0,(TODAY()-AK941,IF(AI941&gt;0,(TODAY()-AI941),IF(AG941&gt;0,(TODAY()-AG941),IF(AF941&gt;0,(TODAY()-AF941),IF(X941&gt;0,(TODAY()-X941)," "))))))))</f>
        <v>#VALUE!</v>
      </c>
      <c r="AT941" s="8">
        <v>45908</v>
      </c>
      <c r="AU941" s="8">
        <v>45922</v>
      </c>
      <c r="AV941" s="8">
        <v>45927</v>
      </c>
      <c r="AX941" s="8">
        <v>45930</v>
      </c>
      <c r="BD941" s="2" t="str">
        <f t="shared" si="37"/>
        <v>PO Issued</v>
      </c>
      <c r="BE941" s="2">
        <v>10</v>
      </c>
      <c r="BG941" s="2" t="e">
        <v>#N/A</v>
      </c>
    </row>
    <row r="942" spans="2:59" hidden="1" x14ac:dyDescent="0.25">
      <c r="B942" s="2" t="s">
        <v>4000</v>
      </c>
      <c r="C942" s="2" t="s">
        <v>4001</v>
      </c>
      <c r="D942" s="44" t="s">
        <v>4002</v>
      </c>
      <c r="E942" s="2" t="s">
        <v>6</v>
      </c>
      <c r="F942" s="2" t="s">
        <v>768</v>
      </c>
      <c r="G942" s="2" t="s">
        <v>1</v>
      </c>
      <c r="H942" s="2" t="s">
        <v>111</v>
      </c>
      <c r="I942" s="2" t="s">
        <v>112</v>
      </c>
      <c r="J942" s="2" t="s">
        <v>344</v>
      </c>
      <c r="K942" s="2" t="s">
        <v>620</v>
      </c>
      <c r="L942" s="2" t="s">
        <v>4003</v>
      </c>
      <c r="M942" s="2">
        <v>0</v>
      </c>
      <c r="N942" s="2">
        <v>10.45772</v>
      </c>
      <c r="O942" s="2">
        <v>123.02135</v>
      </c>
      <c r="P942" s="2" t="s">
        <v>87</v>
      </c>
      <c r="Q942" s="2" t="s">
        <v>265</v>
      </c>
      <c r="R942" s="29" t="e">
        <f>IF(INDEX(#REF!,MATCH('data '!$B942,#REF!,0),MATCH('data '!R$3,#REF!,0))=0,"",INDEX(#REF!,MATCH('data '!$B942,#REF!,0),MATCH('data '!R$3,#REF!,0)))</f>
        <v>#REF!</v>
      </c>
      <c r="S942" s="29" t="e">
        <f>IF(INDEX(#REF!,MATCH('data '!$B942,#REF!,0),MATCH('data '!S$3,#REF!,0))=0,"",INDEX(#REF!,MATCH('data '!$B942,#REF!,0),MATCH('data '!S$3,#REF!,0)))</f>
        <v>#REF!</v>
      </c>
      <c r="T942" s="29" t="e">
        <f>IF(INDEX(#REF!,MATCH('data '!$B942,#REF!,0),MATCH('data '!T$3,#REF!,0))=0,"",INDEX(#REF!,MATCH('data '!$B942,#REF!,0),MATCH('data '!T$3,#REF!,0)))</f>
        <v>#REF!</v>
      </c>
      <c r="U942" s="8" t="s">
        <v>25</v>
      </c>
      <c r="V942" s="25" t="s">
        <v>266</v>
      </c>
      <c r="W942" s="25" t="s">
        <v>144</v>
      </c>
      <c r="X942" s="43" t="s">
        <v>25</v>
      </c>
      <c r="Y942" s="43">
        <v>45834</v>
      </c>
      <c r="Z942" s="8">
        <v>45695</v>
      </c>
      <c r="AA942" s="8">
        <v>45816</v>
      </c>
      <c r="AB942" s="8">
        <v>45898</v>
      </c>
      <c r="AC942" s="8" t="e">
        <f>VLOOKUP(B942,#REF!,19,0)</f>
        <v>#REF!</v>
      </c>
      <c r="AE942" s="8" t="s">
        <v>770</v>
      </c>
      <c r="AP942" s="8" t="str">
        <f t="shared" si="36"/>
        <v>BP Secured</v>
      </c>
      <c r="AQ942" s="10" t="b" cm="1">
        <f t="array" aca="1" ref="AQ942" ca="1">IF(AM942&gt;0,(TODAY()-AM942),IF(AL942&gt;0,(TODAY()-AL942),IF(AK942&gt;0,(TODAY()-AK942,IF(AI942&gt;0,(TODAY()-AI942),IF(AG942&gt;0,(TODAY()-AG942),IF(AF942&gt;0,(TODAY()-AF942),IF(X942&gt;0,(TODAY()-X942)," "))))))))</f>
        <v>0</v>
      </c>
      <c r="AT942" s="8" t="s">
        <v>155</v>
      </c>
      <c r="AU942" s="8">
        <v>45916</v>
      </c>
      <c r="AV942" s="8">
        <v>45914</v>
      </c>
      <c r="AX942" s="8">
        <v>45917</v>
      </c>
      <c r="BD942" s="2" t="str">
        <f t="shared" si="37"/>
        <v>PO Issued</v>
      </c>
      <c r="BE942" s="2">
        <v>23</v>
      </c>
      <c r="BG942" s="2" t="e">
        <v>#N/A</v>
      </c>
    </row>
    <row r="943" spans="2:59" hidden="1" x14ac:dyDescent="0.25">
      <c r="B943" s="2" t="s">
        <v>4004</v>
      </c>
      <c r="C943" s="2" t="s">
        <v>4005</v>
      </c>
      <c r="D943" s="44" t="s">
        <v>4006</v>
      </c>
      <c r="E943" s="2" t="s">
        <v>6</v>
      </c>
      <c r="F943" s="2" t="s">
        <v>962</v>
      </c>
      <c r="G943" s="2" t="s">
        <v>1</v>
      </c>
      <c r="H943" s="2" t="s">
        <v>111</v>
      </c>
      <c r="I943" s="2" t="s">
        <v>112</v>
      </c>
      <c r="J943" s="2" t="s">
        <v>344</v>
      </c>
      <c r="K943" s="2" t="s">
        <v>963</v>
      </c>
      <c r="L943" s="2" t="s">
        <v>964</v>
      </c>
      <c r="M943" s="2">
        <v>0</v>
      </c>
      <c r="N943" s="2">
        <v>11.930199999999999</v>
      </c>
      <c r="O943" s="2">
        <v>121.955</v>
      </c>
      <c r="P943" s="2" t="s">
        <v>87</v>
      </c>
      <c r="Q943" s="2" t="s">
        <v>265</v>
      </c>
      <c r="R943" s="29" t="e">
        <f>IF(INDEX(#REF!,MATCH('data '!$B943,#REF!,0),MATCH('data '!R$3,#REF!,0))=0,"",INDEX(#REF!,MATCH('data '!$B943,#REF!,0),MATCH('data '!R$3,#REF!,0)))</f>
        <v>#REF!</v>
      </c>
      <c r="S943" s="29" t="e">
        <f>IF(INDEX(#REF!,MATCH('data '!$B943,#REF!,0),MATCH('data '!S$3,#REF!,0))=0,"",INDEX(#REF!,MATCH('data '!$B943,#REF!,0),MATCH('data '!S$3,#REF!,0)))</f>
        <v>#REF!</v>
      </c>
      <c r="T943" s="29" t="e">
        <f>IF(INDEX(#REF!,MATCH('data '!$B943,#REF!,0),MATCH('data '!T$3,#REF!,0))=0,"",INDEX(#REF!,MATCH('data '!$B943,#REF!,0),MATCH('data '!T$3,#REF!,0)))</f>
        <v>#REF!</v>
      </c>
      <c r="U943" s="8" t="s">
        <v>25</v>
      </c>
      <c r="V943" s="25" t="s">
        <v>266</v>
      </c>
      <c r="W943" s="25" t="s">
        <v>144</v>
      </c>
      <c r="X943" s="9" t="s">
        <v>25</v>
      </c>
      <c r="Y943" s="9">
        <v>45822</v>
      </c>
      <c r="AA943" s="8">
        <v>45878</v>
      </c>
      <c r="AC943" s="8" t="e">
        <f>VLOOKUP(B943,#REF!,19,0)</f>
        <v>#REF!</v>
      </c>
      <c r="AE943" s="8" t="s">
        <v>966</v>
      </c>
      <c r="AP943" s="8" t="str">
        <f t="shared" si="36"/>
        <v>BP Secured</v>
      </c>
      <c r="AQ943" s="10" t="b" cm="1">
        <f t="array" aca="1" ref="AQ943" ca="1">IF(AM943&gt;0,(TODAY()-AM943),IF(AL943&gt;0,(TODAY()-AL943),IF(AK943&gt;0,(TODAY()-AK943,IF(AI943&gt;0,(TODAY()-AI943),IF(AG943&gt;0,(TODAY()-AG943),IF(AF943&gt;0,(TODAY()-AF943),IF(X943&gt;0,(TODAY()-X943)," "))))))))</f>
        <v>0</v>
      </c>
      <c r="AT943" s="8" t="s">
        <v>155</v>
      </c>
      <c r="AU943" s="8">
        <v>45905</v>
      </c>
      <c r="AV943" s="8">
        <v>45906</v>
      </c>
      <c r="AX943" s="8">
        <v>45909</v>
      </c>
      <c r="BD943" s="2" t="str">
        <f t="shared" si="37"/>
        <v>PO Issued</v>
      </c>
      <c r="BE943" s="2">
        <v>31</v>
      </c>
      <c r="BG943" s="2" t="e">
        <v>#N/A</v>
      </c>
    </row>
    <row r="944" spans="2:59" hidden="1" x14ac:dyDescent="0.25">
      <c r="R944" s="25"/>
      <c r="S944" s="25"/>
      <c r="T944" s="25"/>
      <c r="V944" s="2"/>
      <c r="W944" s="25"/>
      <c r="AE944" s="24" t="s">
        <v>4007</v>
      </c>
    </row>
    <row r="945" spans="11:51" ht="15" customHeight="1" x14ac:dyDescent="0.25">
      <c r="V945" s="2"/>
    </row>
    <row r="946" spans="11:51" ht="15" customHeight="1" x14ac:dyDescent="0.25">
      <c r="K946" s="2" t="s">
        <v>75</v>
      </c>
      <c r="V946" s="2"/>
      <c r="AY946" s="8" t="s">
        <v>4008</v>
      </c>
    </row>
  </sheetData>
  <autoFilter ref="A3:BH944" xr:uid="{91833586-92DF-48CB-B1D8-33CED2E7CF4F}">
    <filterColumn colId="4">
      <filters>
        <filter val="Arjay"/>
      </filters>
    </filterColumn>
    <filterColumn colId="8">
      <filters>
        <filter val="NLZ"/>
      </filters>
    </filterColumn>
    <filterColumn colId="30">
      <filters>
        <filter val="Bangayan Electrical Services"/>
      </filters>
    </filterColumn>
  </autoFilter>
  <mergeCells count="3">
    <mergeCell ref="AG2:AM2"/>
    <mergeCell ref="AT2:BC2"/>
    <mergeCell ref="V2:W2"/>
  </mergeCells>
  <conditionalFormatting sqref="B1:B1048576">
    <cfRule type="duplicateValues" dxfId="1" priority="10"/>
  </conditionalFormatting>
  <conditionalFormatting sqref="C953:C955">
    <cfRule type="duplicateValues" dxfId="0" priority="4"/>
  </conditionalFormatting>
  <dataValidations count="1">
    <dataValidation type="list" allowBlank="1" showInputMessage="1" showErrorMessage="1" sqref="E4:E1048576" xr:uid="{C21D089E-A08F-4AE5-97D8-1F7F99F1DC74}">
      <formula1>"Arjay,CJ,Marilyn,Ralph,Marlone"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2BF7-5B2B-4CF7-945F-545AF6F8B3A2}">
  <dimension ref="A1"/>
  <sheetViews>
    <sheetView topLeftCell="A2" zoomScale="59" workbookViewId="0">
      <selection activeCell="Z30" sqref="Z30"/>
    </sheetView>
  </sheetViews>
  <sheetFormatPr defaultColWidth="8.7109375" defaultRowHeight="15" x14ac:dyDescent="0.25"/>
  <cols>
    <col min="1" max="16384" width="8.7109375" style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9DBA4D2B7E784B9AF47DCCC53ACE3D" ma:contentTypeVersion="3" ma:contentTypeDescription="Create a new document." ma:contentTypeScope="" ma:versionID="6452d834f4fd6ef5362cd99544a42ae4">
  <xsd:schema xmlns:xsd="http://www.w3.org/2001/XMLSchema" xmlns:xs="http://www.w3.org/2001/XMLSchema" xmlns:p="http://schemas.microsoft.com/office/2006/metadata/properties" xmlns:ns2="6957ee70-040a-43ae-b0b6-f9710872ddf3" targetNamespace="http://schemas.microsoft.com/office/2006/metadata/properties" ma:root="true" ma:fieldsID="d72460d6ab057678d80bc54f7114b72e" ns2:_="">
    <xsd:import namespace="6957ee70-040a-43ae-b0b6-f9710872d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7ee70-040a-43ae-b0b6-f9710872d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28B519-0004-4C7A-A245-563B0F4AF1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050FC5-AC49-45D2-9A77-49293A9099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80BBAB1-1D56-492A-8934-416E33AF3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57ee70-040a-43ae-b0b6-f9710872d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 Nuevo</dc:creator>
  <cp:keywords/>
  <dc:description/>
  <cp:lastModifiedBy>Keneth Dale Tuazon</cp:lastModifiedBy>
  <cp:revision/>
  <dcterms:created xsi:type="dcterms:W3CDTF">2025-10-03T01:55:02Z</dcterms:created>
  <dcterms:modified xsi:type="dcterms:W3CDTF">2026-03-25T16:39:49Z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0x0101008B9DBA4D2B7E784B9AF47DCCC53ACE3D</vt:lpwstr>
  </property>
</Properties>
</file>